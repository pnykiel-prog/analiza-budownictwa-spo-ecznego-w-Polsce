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en_skoroszyt"/>
  <xr:revisionPtr revIDLastSave="174" documentId="13_ncr:1_{B20BC1B9-4950-4F43-B23E-CE722819A8B9}" xr6:coauthVersionLast="47" xr6:coauthVersionMax="47" xr10:uidLastSave="{3C1006EA-44AB-4072-B7ED-CFF999DDE77E}"/>
  <bookViews>
    <workbookView xWindow="-108" yWindow="-108" windowWidth="23256" windowHeight="12456" activeTab="2" xr2:uid="{00000000-000D-0000-FFFF-FFFF00000000}"/>
  </bookViews>
  <sheets>
    <sheet name="Wybór" sheetId="17" r:id="rId1"/>
    <sheet name="Wniosek art 3 budowa" sheetId="23" r:id="rId2"/>
    <sheet name="Wniosek art 3 remontlubprzebudo" sheetId="24" r:id="rId3"/>
    <sheet name="Wniosek inne " sheetId="2" r:id="rId4"/>
    <sheet name="Wniosek kupno" sheetId="5" r:id="rId5"/>
    <sheet name="Wniosek art 5 budowa" sheetId="9" r:id="rId6"/>
    <sheet name="Wniosek art 5a budowa" sheetId="21" r:id="rId7"/>
    <sheet name="Wnioski art 5 inne" sheetId="20" r:id="rId8"/>
    <sheet name="Wnioski art 5a inne" sheetId="34" r:id="rId9"/>
    <sheet name="Wniosek SAN" sheetId="33" r:id="rId10"/>
    <sheet name="Noclegownia" sheetId="12" r:id="rId11"/>
    <sheet name="Schronisko" sheetId="16" r:id="rId12"/>
    <sheet name="Ogrzewalnia" sheetId="15" r:id="rId13"/>
    <sheet name="Budowa_Ogrzewalni_mieszane" sheetId="18" r:id="rId14"/>
    <sheet name="Przedsięwzięcia infrast powiat" sheetId="30" r:id="rId15"/>
    <sheet name="Przedsięwzięcia infrast gzm" sheetId="27" r:id="rId16"/>
    <sheet name="Słowniki" sheetId="3" state="hidden" r:id="rId17"/>
    <sheet name="Słownik N_S_O" sheetId="13" state="hidden" r:id="rId18"/>
    <sheet name="Słownik Infrasr" sheetId="28" state="hidden" r:id="rId19"/>
    <sheet name="Słownik woj_powiaty" sheetId="26" state="hidden" r:id="rId20"/>
  </sheets>
  <definedNames>
    <definedName name="_edn1" localSheetId="16">Słowniki!$H$5</definedName>
    <definedName name="_edn10" localSheetId="16">Słowniki!$J$43</definedName>
    <definedName name="_edn11" localSheetId="16">Słowniki!$J$44</definedName>
    <definedName name="_edn12" localSheetId="16">Słowniki!$J$45</definedName>
    <definedName name="_edn2" localSheetId="16">Słowniki!$J$35</definedName>
    <definedName name="_edn3" localSheetId="16">Słowniki!$J$36</definedName>
    <definedName name="_edn4" localSheetId="16">Słowniki!$J$37</definedName>
    <definedName name="_edn5" localSheetId="16">Słowniki!$J$38</definedName>
    <definedName name="_edn6" localSheetId="16">Słowniki!$J$39</definedName>
    <definedName name="_edn7" localSheetId="16">Słowniki!$J$40</definedName>
    <definedName name="_edn8" localSheetId="16">Słowniki!$J$41</definedName>
    <definedName name="_edn9" localSheetId="16">Słowniki!$J$42</definedName>
    <definedName name="_ednref1" localSheetId="16">Słowniki!$H$2</definedName>
    <definedName name="_ednref10" localSheetId="16">Słowniki!#REF!</definedName>
    <definedName name="_ednref11" localSheetId="16">Słowniki!#REF!</definedName>
    <definedName name="_ednref12" localSheetId="16">Słowniki!#REF!</definedName>
    <definedName name="_ednref2" localSheetId="16">Słowniki!#REF!</definedName>
    <definedName name="_ednref3" localSheetId="16">Słowniki!#REF!</definedName>
    <definedName name="_ednref4" localSheetId="16">Słowniki!#REF!</definedName>
    <definedName name="_ednref5" localSheetId="16">Słowniki!#REF!</definedName>
    <definedName name="_ednref6" localSheetId="16">Słowniki!#REF!</definedName>
    <definedName name="_ednref7" localSheetId="16">Słowniki!#REF!</definedName>
    <definedName name="_ednref8" localSheetId="16">Słowniki!#REF!</definedName>
    <definedName name="_ednref9" localSheetId="16">Słowniki!#REF!</definedName>
    <definedName name="_ftn1" localSheetId="16">Słowniki!$D$33</definedName>
    <definedName name="_ftnref1" localSheetId="16">Słowniki!$D$16</definedName>
    <definedName name="_Hlk108901557" localSheetId="16">Słowniki!$D$30</definedName>
    <definedName name="_Hlk146545562" localSheetId="5">'Wniosek art 5 budowa'!$AM$59</definedName>
    <definedName name="_Hlk53499634" localSheetId="16">Słowniki!$D$22</definedName>
    <definedName name="_Hlk59545887" localSheetId="16">Słowniki!$E$18</definedName>
    <definedName name="_Hlk63413254" localSheetId="16">Słowniki!$D$5</definedName>
    <definedName name="ListaRob">'Słownik woj_powiaty'!$E$3:$F$381</definedName>
    <definedName name="_xlnm.Print_Area" localSheetId="13">Budowa_Ogrzewalni_mieszane!$A$3:$AL$195</definedName>
    <definedName name="_xlnm.Print_Area" localSheetId="10">Noclegownia!$A$3:$AL$166</definedName>
    <definedName name="_xlnm.Print_Area" localSheetId="12">Ogrzewalnia!$A$3:$AL$137</definedName>
    <definedName name="_xlnm.Print_Area" localSheetId="15">'Przedsięwzięcia infrast gzm'!$A$3:$AL$185</definedName>
    <definedName name="_xlnm.Print_Area" localSheetId="14">'Przedsięwzięcia infrast powiat'!$A$3:$AL$178</definedName>
    <definedName name="_xlnm.Print_Area" localSheetId="11">Schronisko!$A$3:$AL$166</definedName>
    <definedName name="_xlnm.Print_Area" localSheetId="1">'Wniosek art 3 budowa'!$A$3:$AL$187</definedName>
    <definedName name="_xlnm.Print_Area" localSheetId="2">'Wniosek art 3 remontlubprzebudo'!$A$3:$AL$202</definedName>
    <definedName name="_xlnm.Print_Area" localSheetId="5">'Wniosek art 5 budowa'!$A$3:$AL$206</definedName>
    <definedName name="_xlnm.Print_Area" localSheetId="6">'Wniosek art 5a budowa'!$A$3:$AL$200</definedName>
    <definedName name="_xlnm.Print_Area" localSheetId="3">'Wniosek inne '!$A$3:$AL$153</definedName>
    <definedName name="_xlnm.Print_Area" localSheetId="4">'Wniosek kupno'!$A$2:$AL$147</definedName>
    <definedName name="_xlnm.Print_Area" localSheetId="9">'Wniosek SAN'!$A$3:$AL$174</definedName>
    <definedName name="_xlnm.Print_Area" localSheetId="7">'Wnioski art 5 inne'!$A$3:$AL$189</definedName>
    <definedName name="_xlnm.Print_Area" localSheetId="8">'Wnioski art 5a inne'!$A$3:$AL$185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5" i="20" l="1"/>
  <c r="T153" i="20"/>
  <c r="T163" i="9"/>
  <c r="A98" i="21"/>
  <c r="A93" i="9" l="1"/>
  <c r="A73" i="20" l="1"/>
  <c r="T162" i="9"/>
  <c r="P145" i="18"/>
  <c r="P146" i="18"/>
  <c r="P147" i="18"/>
  <c r="P148" i="18"/>
  <c r="P149" i="18"/>
  <c r="P150" i="18"/>
  <c r="P151" i="18"/>
  <c r="P152" i="18"/>
  <c r="P153" i="18"/>
  <c r="P154" i="18"/>
  <c r="P155" i="18"/>
  <c r="P156" i="18"/>
  <c r="P157" i="18"/>
  <c r="P158" i="18"/>
  <c r="P159" i="18"/>
  <c r="P160" i="18"/>
  <c r="P161" i="18"/>
  <c r="P162" i="18"/>
  <c r="P163" i="18"/>
  <c r="P164" i="18"/>
  <c r="P165" i="18"/>
  <c r="P144" i="18"/>
  <c r="P87" i="15"/>
  <c r="P88" i="15"/>
  <c r="P89" i="15"/>
  <c r="P90" i="15"/>
  <c r="P91" i="15"/>
  <c r="P92" i="15"/>
  <c r="P93" i="15"/>
  <c r="P94" i="15"/>
  <c r="P95" i="15"/>
  <c r="P96" i="15"/>
  <c r="P97" i="15"/>
  <c r="P98" i="15"/>
  <c r="P99" i="15"/>
  <c r="P100" i="15"/>
  <c r="P101" i="15"/>
  <c r="P102" i="15"/>
  <c r="P103" i="15"/>
  <c r="P104" i="15"/>
  <c r="P105" i="15"/>
  <c r="P106" i="15"/>
  <c r="P107" i="15"/>
  <c r="P86" i="15"/>
  <c r="P116" i="16"/>
  <c r="P117" i="16"/>
  <c r="P118" i="16"/>
  <c r="P119" i="16"/>
  <c r="P120" i="16"/>
  <c r="P121" i="16"/>
  <c r="P122" i="16"/>
  <c r="P123" i="16"/>
  <c r="P124" i="16"/>
  <c r="P125" i="16"/>
  <c r="P126" i="16"/>
  <c r="P127" i="16"/>
  <c r="P128" i="16"/>
  <c r="P129" i="16"/>
  <c r="P130" i="16"/>
  <c r="P131" i="16"/>
  <c r="P132" i="16"/>
  <c r="P133" i="16"/>
  <c r="P134" i="16"/>
  <c r="P135" i="16"/>
  <c r="P136" i="16"/>
  <c r="P115" i="16"/>
  <c r="P116" i="12"/>
  <c r="P117" i="12"/>
  <c r="P118" i="12"/>
  <c r="P119" i="12"/>
  <c r="P120" i="12"/>
  <c r="P121" i="12"/>
  <c r="P122" i="12"/>
  <c r="P123" i="12"/>
  <c r="P124" i="12"/>
  <c r="P125" i="12"/>
  <c r="P126" i="12"/>
  <c r="P127" i="12"/>
  <c r="P128" i="12"/>
  <c r="P129" i="12"/>
  <c r="P130" i="12"/>
  <c r="P131" i="12"/>
  <c r="P132" i="12"/>
  <c r="P133" i="12"/>
  <c r="P134" i="12"/>
  <c r="P135" i="12"/>
  <c r="P136" i="12"/>
  <c r="P115" i="12"/>
  <c r="W116" i="33"/>
  <c r="W117" i="33"/>
  <c r="W118" i="33"/>
  <c r="W119" i="33"/>
  <c r="W120" i="33"/>
  <c r="W121" i="33"/>
  <c r="W122" i="33"/>
  <c r="W123" i="33"/>
  <c r="W124" i="33"/>
  <c r="W125" i="33"/>
  <c r="W126" i="33"/>
  <c r="W127" i="33"/>
  <c r="W128" i="33"/>
  <c r="W129" i="33"/>
  <c r="W130" i="33"/>
  <c r="W131" i="33"/>
  <c r="W132" i="33"/>
  <c r="W133" i="33"/>
  <c r="W134" i="33"/>
  <c r="W135" i="33"/>
  <c r="W136" i="33"/>
  <c r="W115" i="33"/>
  <c r="W129" i="34"/>
  <c r="W130" i="34"/>
  <c r="W131" i="34"/>
  <c r="W132" i="34"/>
  <c r="W133" i="34"/>
  <c r="W134" i="34"/>
  <c r="W135" i="34"/>
  <c r="W136" i="34"/>
  <c r="W137" i="34"/>
  <c r="W138" i="34"/>
  <c r="W139" i="34"/>
  <c r="W140" i="34"/>
  <c r="W141" i="34"/>
  <c r="W142" i="34"/>
  <c r="W143" i="34"/>
  <c r="W144" i="34"/>
  <c r="W145" i="34"/>
  <c r="W146" i="34"/>
  <c r="W147" i="34"/>
  <c r="W148" i="34"/>
  <c r="W149" i="34"/>
  <c r="W128" i="34"/>
  <c r="W129" i="20"/>
  <c r="W130" i="20"/>
  <c r="W131" i="20"/>
  <c r="W132" i="20"/>
  <c r="W133" i="20"/>
  <c r="W134" i="20"/>
  <c r="W135" i="20"/>
  <c r="W136" i="20"/>
  <c r="W137" i="20"/>
  <c r="W138" i="20"/>
  <c r="W139" i="20"/>
  <c r="W140" i="20"/>
  <c r="W141" i="20"/>
  <c r="W142" i="20"/>
  <c r="W143" i="20"/>
  <c r="W144" i="20"/>
  <c r="W145" i="20"/>
  <c r="W146" i="20"/>
  <c r="W147" i="20"/>
  <c r="W148" i="20"/>
  <c r="W149" i="20"/>
  <c r="W128" i="20"/>
  <c r="P137" i="21"/>
  <c r="P138" i="21"/>
  <c r="P139" i="21"/>
  <c r="P140" i="21"/>
  <c r="P141" i="21"/>
  <c r="P142" i="21"/>
  <c r="P143" i="21"/>
  <c r="P144" i="21"/>
  <c r="P145" i="21"/>
  <c r="P146" i="21"/>
  <c r="P147" i="21"/>
  <c r="P148" i="21"/>
  <c r="P149" i="21"/>
  <c r="P150" i="21"/>
  <c r="P151" i="21"/>
  <c r="P152" i="21"/>
  <c r="P153" i="21"/>
  <c r="P154" i="21"/>
  <c r="P155" i="21"/>
  <c r="P156" i="21"/>
  <c r="P157" i="21"/>
  <c r="P136" i="21"/>
  <c r="P139" i="9"/>
  <c r="P140" i="9"/>
  <c r="P141" i="9"/>
  <c r="P142" i="9"/>
  <c r="P143" i="9"/>
  <c r="P144" i="9"/>
  <c r="P145" i="9"/>
  <c r="P146" i="9"/>
  <c r="P147" i="9"/>
  <c r="P148" i="9"/>
  <c r="P149" i="9"/>
  <c r="P150" i="9"/>
  <c r="P151" i="9"/>
  <c r="P152" i="9"/>
  <c r="P153" i="9"/>
  <c r="P154" i="9"/>
  <c r="P155" i="9"/>
  <c r="P156" i="9"/>
  <c r="P157" i="9"/>
  <c r="P158" i="9"/>
  <c r="P159" i="9"/>
  <c r="P138" i="9"/>
  <c r="P104" i="5"/>
  <c r="P105" i="5"/>
  <c r="P106" i="5"/>
  <c r="P107" i="5"/>
  <c r="P108" i="5"/>
  <c r="P109" i="5"/>
  <c r="P110" i="5"/>
  <c r="P111" i="5"/>
  <c r="P112" i="5"/>
  <c r="P103" i="5"/>
  <c r="P100" i="2"/>
  <c r="P101" i="2"/>
  <c r="P102" i="2"/>
  <c r="P103" i="2"/>
  <c r="P104" i="2"/>
  <c r="P105" i="2"/>
  <c r="P106" i="2"/>
  <c r="P107" i="2"/>
  <c r="P108" i="2"/>
  <c r="P109" i="2"/>
  <c r="P110" i="2"/>
  <c r="P111" i="2"/>
  <c r="P112" i="2"/>
  <c r="P113" i="2"/>
  <c r="P114" i="2"/>
  <c r="P115" i="2"/>
  <c r="P116" i="2"/>
  <c r="P117" i="2"/>
  <c r="P118" i="2"/>
  <c r="P119" i="2"/>
  <c r="P120" i="2"/>
  <c r="P99" i="2"/>
  <c r="W153" i="24"/>
  <c r="W154" i="24"/>
  <c r="W155" i="24"/>
  <c r="W156" i="24"/>
  <c r="W157" i="24"/>
  <c r="W158" i="24"/>
  <c r="W159" i="24"/>
  <c r="W160" i="24"/>
  <c r="W161" i="24"/>
  <c r="W162" i="24"/>
  <c r="W163" i="24"/>
  <c r="W164" i="24"/>
  <c r="W165" i="24"/>
  <c r="W166" i="24"/>
  <c r="W167" i="24"/>
  <c r="W168" i="24"/>
  <c r="W169" i="24"/>
  <c r="W125" i="24"/>
  <c r="W126" i="24"/>
  <c r="W127" i="24"/>
  <c r="W128" i="24"/>
  <c r="W129" i="24"/>
  <c r="W130" i="24"/>
  <c r="W131" i="24"/>
  <c r="W132" i="24"/>
  <c r="W133" i="24"/>
  <c r="W134" i="24"/>
  <c r="W135" i="24"/>
  <c r="W136" i="24"/>
  <c r="W137" i="24"/>
  <c r="W138" i="24"/>
  <c r="W139" i="24"/>
  <c r="W140" i="24"/>
  <c r="W141" i="24"/>
  <c r="W142" i="24"/>
  <c r="W143" i="24"/>
  <c r="W144" i="24"/>
  <c r="W145" i="24"/>
  <c r="W146" i="24"/>
  <c r="W147" i="24"/>
  <c r="W148" i="24"/>
  <c r="W149" i="24"/>
  <c r="W150" i="24"/>
  <c r="W151" i="24"/>
  <c r="W152" i="24"/>
  <c r="W124" i="24"/>
  <c r="P127" i="23" l="1"/>
  <c r="P128" i="23"/>
  <c r="P129" i="23"/>
  <c r="P130" i="23"/>
  <c r="P131" i="23"/>
  <c r="P132" i="23"/>
  <c r="P133" i="23"/>
  <c r="P134" i="23"/>
  <c r="P135" i="23"/>
  <c r="P136" i="23"/>
  <c r="P137" i="23"/>
  <c r="P138" i="23"/>
  <c r="P139" i="23"/>
  <c r="P140" i="23"/>
  <c r="P141" i="23"/>
  <c r="P142" i="23"/>
  <c r="P143" i="23"/>
  <c r="P144" i="23"/>
  <c r="P145" i="23"/>
  <c r="P146" i="23"/>
  <c r="P147" i="23"/>
  <c r="P126" i="23"/>
  <c r="A173" i="34" l="1"/>
  <c r="A184" i="21"/>
  <c r="A177" i="20"/>
  <c r="A190" i="9"/>
  <c r="A79" i="23" l="1"/>
  <c r="A85" i="23" s="1"/>
  <c r="A62" i="5"/>
  <c r="A63" i="2"/>
  <c r="A57" i="24"/>
  <c r="AJ108" i="16"/>
  <c r="AJ109" i="33"/>
  <c r="AJ129" i="21"/>
  <c r="AJ131" i="9"/>
  <c r="AH116" i="16" l="1"/>
  <c r="AH117" i="16"/>
  <c r="AH125" i="16"/>
  <c r="AH133" i="16"/>
  <c r="AH123" i="16"/>
  <c r="AH118" i="16"/>
  <c r="AH126" i="16"/>
  <c r="AH134" i="16"/>
  <c r="AH136" i="16"/>
  <c r="AH132" i="16"/>
  <c r="AH119" i="16"/>
  <c r="AH127" i="16"/>
  <c r="AH135" i="16"/>
  <c r="AH128" i="16"/>
  <c r="AH124" i="16"/>
  <c r="AH120" i="16"/>
  <c r="AH121" i="16"/>
  <c r="AH129" i="16"/>
  <c r="AH115" i="16"/>
  <c r="AH122" i="16"/>
  <c r="AH130" i="16"/>
  <c r="AH131" i="16"/>
  <c r="AH138" i="21"/>
  <c r="AH146" i="21"/>
  <c r="AH154" i="21"/>
  <c r="AH157" i="21"/>
  <c r="AH144" i="21"/>
  <c r="AH153" i="21"/>
  <c r="AH139" i="21"/>
  <c r="AH147" i="21"/>
  <c r="AH155" i="21"/>
  <c r="AH149" i="21"/>
  <c r="AH152" i="21"/>
  <c r="AH140" i="21"/>
  <c r="AH148" i="21"/>
  <c r="AH156" i="21"/>
  <c r="AH141" i="21"/>
  <c r="AH137" i="21"/>
  <c r="AH142" i="21"/>
  <c r="AH150" i="21"/>
  <c r="AH136" i="21"/>
  <c r="AH143" i="21"/>
  <c r="AH151" i="21"/>
  <c r="AH145" i="21"/>
  <c r="AH142" i="9"/>
  <c r="AH150" i="9"/>
  <c r="AH158" i="9"/>
  <c r="AH152" i="9"/>
  <c r="AH138" i="9"/>
  <c r="AH153" i="9"/>
  <c r="AH148" i="9"/>
  <c r="AH149" i="9"/>
  <c r="AH143" i="9"/>
  <c r="AH151" i="9"/>
  <c r="AH159" i="9"/>
  <c r="AH144" i="9"/>
  <c r="AH145" i="9"/>
  <c r="AH156" i="9"/>
  <c r="AH157" i="9"/>
  <c r="AH146" i="9"/>
  <c r="AH154" i="9"/>
  <c r="AH139" i="9"/>
  <c r="AH147" i="9"/>
  <c r="AH155" i="9"/>
  <c r="AH140" i="9"/>
  <c r="AH141" i="9"/>
  <c r="AJ119" i="23"/>
  <c r="AJ108" i="12"/>
  <c r="AH115" i="12" s="1"/>
  <c r="AJ132" i="9"/>
  <c r="AJ93" i="2"/>
  <c r="P150" i="34"/>
  <c r="AA149" i="34"/>
  <c r="AA148" i="34"/>
  <c r="AA147" i="34"/>
  <c r="AA146" i="34"/>
  <c r="AA145" i="34"/>
  <c r="AA144" i="34"/>
  <c r="AA143" i="34"/>
  <c r="AA142" i="34"/>
  <c r="AA141" i="34"/>
  <c r="AA140" i="34"/>
  <c r="AA139" i="34"/>
  <c r="AA138" i="34"/>
  <c r="AA137" i="34"/>
  <c r="AA136" i="34"/>
  <c r="AA135" i="34"/>
  <c r="AA134" i="34"/>
  <c r="AA133" i="34"/>
  <c r="AA132" i="34"/>
  <c r="AA131" i="34"/>
  <c r="AA130" i="34"/>
  <c r="AA129" i="34"/>
  <c r="AA128" i="34"/>
  <c r="P150" i="20"/>
  <c r="AA149" i="20"/>
  <c r="AA148" i="20"/>
  <c r="AA147" i="20"/>
  <c r="AA146" i="20"/>
  <c r="AA145" i="20"/>
  <c r="AA144" i="20"/>
  <c r="AA143" i="20"/>
  <c r="AA142" i="20"/>
  <c r="AA141" i="20"/>
  <c r="AA140" i="20"/>
  <c r="AA139" i="20"/>
  <c r="AA138" i="20"/>
  <c r="AA137" i="20"/>
  <c r="AA136" i="20"/>
  <c r="AA135" i="20"/>
  <c r="AA134" i="20"/>
  <c r="AA133" i="20"/>
  <c r="AA132" i="20"/>
  <c r="AA131" i="20"/>
  <c r="AA130" i="20"/>
  <c r="AA129" i="20"/>
  <c r="AA128" i="20"/>
  <c r="AH116" i="12" l="1"/>
  <c r="AH124" i="12"/>
  <c r="AH132" i="12"/>
  <c r="AH126" i="12"/>
  <c r="AH122" i="12"/>
  <c r="AH117" i="12"/>
  <c r="AH125" i="12"/>
  <c r="AH133" i="12"/>
  <c r="AH130" i="12"/>
  <c r="AH118" i="12"/>
  <c r="AH119" i="12"/>
  <c r="AH127" i="12"/>
  <c r="AH135" i="12"/>
  <c r="AH129" i="12"/>
  <c r="AH120" i="12"/>
  <c r="AH128" i="12"/>
  <c r="AH136" i="12"/>
  <c r="AH121" i="12"/>
  <c r="AH123" i="12"/>
  <c r="AH131" i="12"/>
  <c r="AH134" i="12"/>
  <c r="AH127" i="23"/>
  <c r="AH135" i="23"/>
  <c r="AH143" i="23"/>
  <c r="AH136" i="23"/>
  <c r="AH144" i="23"/>
  <c r="AH137" i="23"/>
  <c r="AH128" i="23"/>
  <c r="AH129" i="23"/>
  <c r="AH145" i="23"/>
  <c r="AH130" i="23"/>
  <c r="AH138" i="23"/>
  <c r="AH146" i="23"/>
  <c r="AH131" i="23"/>
  <c r="AH139" i="23"/>
  <c r="AH147" i="23"/>
  <c r="AH142" i="23"/>
  <c r="AH132" i="23"/>
  <c r="AH140" i="23"/>
  <c r="AH126" i="23"/>
  <c r="AH133" i="23"/>
  <c r="AH141" i="23"/>
  <c r="AH134" i="23"/>
  <c r="AA150" i="34"/>
  <c r="AA150" i="20"/>
  <c r="AJ122" i="34"/>
  <c r="AJ137" i="18"/>
  <c r="AJ138" i="18"/>
  <c r="AJ80" i="15"/>
  <c r="AH88" i="15" s="1"/>
  <c r="AJ109" i="16"/>
  <c r="AJ109" i="12"/>
  <c r="AJ118" i="24"/>
  <c r="AH169" i="24" s="1"/>
  <c r="AH116" i="33"/>
  <c r="AJ130" i="21"/>
  <c r="AH120" i="2"/>
  <c r="T44" i="27" a="1"/>
  <c r="T44" i="27" s="1"/>
  <c r="T44" i="30" a="1"/>
  <c r="T44" i="30" s="1"/>
  <c r="T38" i="18" a="1"/>
  <c r="T38" i="18" s="1"/>
  <c r="T38" i="15" a="1"/>
  <c r="T38" i="15" s="1"/>
  <c r="T38" i="16" a="1"/>
  <c r="T38" i="16" s="1"/>
  <c r="T38" i="12" a="1"/>
  <c r="T38" i="12" s="1"/>
  <c r="T44" i="33" a="1"/>
  <c r="T44" i="33" s="1"/>
  <c r="T44" i="34" a="1"/>
  <c r="T44" i="34" s="1"/>
  <c r="T44" i="20" a="1"/>
  <c r="T44" i="20" s="1"/>
  <c r="T45" i="21" a="1"/>
  <c r="T45" i="21" s="1"/>
  <c r="T45" i="9" a="1"/>
  <c r="T45" i="9" s="1"/>
  <c r="T37" i="5" a="1"/>
  <c r="T37" i="5" s="1"/>
  <c r="T38" i="2" a="1"/>
  <c r="T38" i="2" s="1"/>
  <c r="T38" i="24" a="1"/>
  <c r="T38" i="24" s="1"/>
  <c r="T38" i="23" a="1"/>
  <c r="T38" i="23" s="1"/>
  <c r="AJ120" i="23"/>
  <c r="A69" i="34"/>
  <c r="A87" i="21"/>
  <c r="AH145" i="18" l="1"/>
  <c r="AH153" i="18"/>
  <c r="AH161" i="18"/>
  <c r="AH152" i="18"/>
  <c r="AH146" i="18"/>
  <c r="AH154" i="18"/>
  <c r="AH162" i="18"/>
  <c r="AH147" i="18"/>
  <c r="AH155" i="18"/>
  <c r="AH163" i="18"/>
  <c r="AH148" i="18"/>
  <c r="AH156" i="18"/>
  <c r="AH164" i="18"/>
  <c r="AH149" i="18"/>
  <c r="AH157" i="18"/>
  <c r="AH165" i="18"/>
  <c r="AH159" i="18"/>
  <c r="AH150" i="18"/>
  <c r="AH158" i="18"/>
  <c r="AH144" i="18"/>
  <c r="AH151" i="18"/>
  <c r="AH160" i="18"/>
  <c r="AH87" i="15"/>
  <c r="AH132" i="34"/>
  <c r="AK132" i="34" s="1"/>
  <c r="AH140" i="34"/>
  <c r="AK140" i="34" s="1"/>
  <c r="AH148" i="34"/>
  <c r="AK148" i="34" s="1"/>
  <c r="AH133" i="34"/>
  <c r="AK133" i="34" s="1"/>
  <c r="AH141" i="34"/>
  <c r="AK141" i="34" s="1"/>
  <c r="AH149" i="34"/>
  <c r="AK149" i="34" s="1"/>
  <c r="AH134" i="34"/>
  <c r="AK134" i="34" s="1"/>
  <c r="AH142" i="34"/>
  <c r="AK142" i="34" s="1"/>
  <c r="AH128" i="34"/>
  <c r="AK128" i="34" s="1"/>
  <c r="AH135" i="34"/>
  <c r="AK135" i="34" s="1"/>
  <c r="AH143" i="34"/>
  <c r="AK143" i="34" s="1"/>
  <c r="AH129" i="34"/>
  <c r="AK129" i="34" s="1"/>
  <c r="AH137" i="34"/>
  <c r="AK137" i="34" s="1"/>
  <c r="AH145" i="34"/>
  <c r="AK145" i="34" s="1"/>
  <c r="AH136" i="34"/>
  <c r="AK136" i="34" s="1"/>
  <c r="AH144" i="34"/>
  <c r="AK144" i="34" s="1"/>
  <c r="AH130" i="34"/>
  <c r="AK130" i="34" s="1"/>
  <c r="AH138" i="34"/>
  <c r="AK138" i="34" s="1"/>
  <c r="AH146" i="34"/>
  <c r="AK146" i="34" s="1"/>
  <c r="AH131" i="34"/>
  <c r="AK131" i="34" s="1"/>
  <c r="AH139" i="34"/>
  <c r="AK139" i="34" s="1"/>
  <c r="AH147" i="34"/>
  <c r="AK147" i="34" s="1"/>
  <c r="AH132" i="24"/>
  <c r="AH148" i="24"/>
  <c r="AH164" i="24"/>
  <c r="AH103" i="15"/>
  <c r="AH95" i="15"/>
  <c r="AH106" i="2"/>
  <c r="AH134" i="24"/>
  <c r="AH150" i="24"/>
  <c r="AH166" i="24"/>
  <c r="AH138" i="24"/>
  <c r="AH154" i="24"/>
  <c r="AH124" i="24"/>
  <c r="AH140" i="24"/>
  <c r="AH156" i="24"/>
  <c r="AH155" i="24"/>
  <c r="AH126" i="24"/>
  <c r="AH142" i="24"/>
  <c r="AH158" i="24"/>
  <c r="AH130" i="24"/>
  <c r="AH146" i="24"/>
  <c r="AH162" i="24"/>
  <c r="AH139" i="24"/>
  <c r="AH131" i="24"/>
  <c r="AH147" i="24"/>
  <c r="AH163" i="24"/>
  <c r="AH131" i="33"/>
  <c r="AH115" i="33"/>
  <c r="AH129" i="33"/>
  <c r="AH121" i="33"/>
  <c r="AH136" i="33"/>
  <c r="AH128" i="33"/>
  <c r="AH120" i="33"/>
  <c r="AH135" i="33"/>
  <c r="AH127" i="33"/>
  <c r="AH119" i="33"/>
  <c r="AH122" i="33"/>
  <c r="AH134" i="33"/>
  <c r="AH126" i="33"/>
  <c r="AH118" i="33"/>
  <c r="AH133" i="33"/>
  <c r="AH125" i="33"/>
  <c r="AH117" i="33"/>
  <c r="AH123" i="33"/>
  <c r="AH130" i="33"/>
  <c r="AH132" i="33"/>
  <c r="AH124" i="33"/>
  <c r="AH101" i="15"/>
  <c r="AH93" i="15"/>
  <c r="AH86" i="15"/>
  <c r="AH100" i="15"/>
  <c r="AH92" i="15"/>
  <c r="AH102" i="15"/>
  <c r="AH107" i="15"/>
  <c r="AH99" i="15"/>
  <c r="AH91" i="15"/>
  <c r="AH98" i="15"/>
  <c r="AH105" i="15"/>
  <c r="AH97" i="15"/>
  <c r="AH89" i="15"/>
  <c r="AH94" i="15"/>
  <c r="AH106" i="15"/>
  <c r="AH90" i="15"/>
  <c r="AH104" i="15"/>
  <c r="AH96" i="15"/>
  <c r="AH125" i="24"/>
  <c r="AH133" i="24"/>
  <c r="AH141" i="24"/>
  <c r="AH149" i="24"/>
  <c r="AH157" i="24"/>
  <c r="AH165" i="24"/>
  <c r="AH127" i="24"/>
  <c r="AH135" i="24"/>
  <c r="AH143" i="24"/>
  <c r="AH151" i="24"/>
  <c r="AH159" i="24"/>
  <c r="AH167" i="24"/>
  <c r="AH128" i="24"/>
  <c r="AH136" i="24"/>
  <c r="AH144" i="24"/>
  <c r="AH152" i="24"/>
  <c r="AH160" i="24"/>
  <c r="AH168" i="24"/>
  <c r="AH129" i="24"/>
  <c r="AH137" i="24"/>
  <c r="AH145" i="24"/>
  <c r="AH153" i="24"/>
  <c r="AH161" i="24"/>
  <c r="AH104" i="2"/>
  <c r="AH99" i="2"/>
  <c r="AH100" i="2"/>
  <c r="AH116" i="2"/>
  <c r="AH114" i="2"/>
  <c r="AH113" i="2"/>
  <c r="AH112" i="2"/>
  <c r="AH108" i="2"/>
  <c r="AH105" i="2"/>
  <c r="AH119" i="2"/>
  <c r="AH111" i="2"/>
  <c r="AH103" i="2"/>
  <c r="AH118" i="2"/>
  <c r="AH110" i="2"/>
  <c r="AH102" i="2"/>
  <c r="AH117" i="2"/>
  <c r="AH109" i="2"/>
  <c r="AH101" i="2"/>
  <c r="AH115" i="2"/>
  <c r="AH107" i="2"/>
  <c r="AK86" i="5"/>
  <c r="A131" i="5" s="1"/>
  <c r="Q86" i="5"/>
  <c r="AB86" i="5"/>
  <c r="AJ96" i="5" s="1"/>
  <c r="AK150" i="34" l="1"/>
  <c r="AH104" i="5"/>
  <c r="AH105" i="5"/>
  <c r="AH106" i="5"/>
  <c r="AH103" i="5"/>
  <c r="AH111" i="5"/>
  <c r="AH112" i="5"/>
  <c r="AH102" i="5"/>
  <c r="AH107" i="5"/>
  <c r="AH108" i="5"/>
  <c r="AH109" i="5"/>
  <c r="AH110" i="5"/>
  <c r="A162" i="23"/>
  <c r="X90" i="33" l="1"/>
  <c r="A92" i="33" l="1"/>
  <c r="A101" i="34"/>
  <c r="A99" i="34"/>
  <c r="AK97" i="34"/>
  <c r="A109" i="34" s="1"/>
  <c r="AF97" i="34"/>
  <c r="A107" i="34" s="1"/>
  <c r="X97" i="34"/>
  <c r="Q97" i="34"/>
  <c r="A105" i="34" s="1"/>
  <c r="AK99" i="20"/>
  <c r="A109" i="20" s="1"/>
  <c r="AF99" i="20"/>
  <c r="A107" i="20" s="1"/>
  <c r="X99" i="20"/>
  <c r="Q99" i="20"/>
  <c r="A105" i="20" s="1"/>
  <c r="AJ122" i="20" s="1"/>
  <c r="AH131" i="20" l="1"/>
  <c r="AK131" i="20" s="1"/>
  <c r="AH128" i="20"/>
  <c r="AK128" i="20" s="1"/>
  <c r="AH129" i="20"/>
  <c r="AK129" i="20" s="1"/>
  <c r="AH149" i="20"/>
  <c r="AK149" i="20" s="1"/>
  <c r="AH146" i="20"/>
  <c r="AK146" i="20" s="1"/>
  <c r="AH141" i="20"/>
  <c r="AK141" i="20" s="1"/>
  <c r="AH144" i="20"/>
  <c r="AK144" i="20" s="1"/>
  <c r="AH136" i="20"/>
  <c r="AK136" i="20" s="1"/>
  <c r="AH133" i="20"/>
  <c r="AK133" i="20" s="1"/>
  <c r="AH143" i="20"/>
  <c r="AK143" i="20" s="1"/>
  <c r="AH147" i="20"/>
  <c r="AK147" i="20" s="1"/>
  <c r="AH137" i="20"/>
  <c r="AK137" i="20" s="1"/>
  <c r="AH135" i="20"/>
  <c r="AK135" i="20" s="1"/>
  <c r="AH142" i="20"/>
  <c r="AK142" i="20" s="1"/>
  <c r="AH139" i="20"/>
  <c r="AK139" i="20" s="1"/>
  <c r="AH140" i="20"/>
  <c r="AK140" i="20" s="1"/>
  <c r="AH138" i="20"/>
  <c r="AK138" i="20" s="1"/>
  <c r="AH148" i="20"/>
  <c r="AK148" i="20" s="1"/>
  <c r="AH130" i="20"/>
  <c r="AK130" i="20" s="1"/>
  <c r="AH134" i="20"/>
  <c r="AK134" i="20" s="1"/>
  <c r="AH132" i="20"/>
  <c r="AK132" i="20" s="1"/>
  <c r="AH145" i="20"/>
  <c r="AK145" i="20" s="1"/>
  <c r="A166" i="34"/>
  <c r="A174" i="21"/>
  <c r="A129" i="5"/>
  <c r="A135" i="2"/>
  <c r="A184" i="24"/>
  <c r="AK150" i="20" l="1"/>
  <c r="T154" i="20" s="1"/>
  <c r="A101" i="20"/>
  <c r="A100" i="21"/>
  <c r="A102" i="9"/>
  <c r="T156" i="20" l="1"/>
  <c r="B47" i="20" s="1"/>
  <c r="Z61" i="20"/>
  <c r="AK61" i="20" s="1"/>
  <c r="AJ94" i="30"/>
  <c r="AJ101" i="27"/>
  <c r="A153" i="33" l="1"/>
  <c r="A162" i="34"/>
  <c r="A168" i="20"/>
  <c r="A170" i="21"/>
  <c r="A178" i="9"/>
  <c r="A125" i="5"/>
  <c r="A131" i="2"/>
  <c r="A180" i="24"/>
  <c r="A158" i="23"/>
  <c r="A168" i="34"/>
  <c r="A172" i="20"/>
  <c r="A176" i="21"/>
  <c r="A164" i="23"/>
  <c r="A182" i="9"/>
  <c r="A137" i="2"/>
  <c r="A178" i="18" l="1"/>
  <c r="A120" i="15"/>
  <c r="A149" i="16"/>
  <c r="A149" i="12"/>
  <c r="A133" i="5"/>
  <c r="A139" i="2"/>
  <c r="A188" i="24"/>
  <c r="A166" i="23"/>
  <c r="P170" i="24" l="1"/>
  <c r="A184" i="34" l="1"/>
  <c r="H4" i="34"/>
  <c r="T154" i="34" l="1"/>
  <c r="AA169" i="24"/>
  <c r="AK169" i="24" s="1"/>
  <c r="AA168" i="24"/>
  <c r="AK168" i="24" s="1"/>
  <c r="AA167" i="24"/>
  <c r="AK167" i="24" s="1"/>
  <c r="AA166" i="24"/>
  <c r="AK166" i="24" s="1"/>
  <c r="AA165" i="24"/>
  <c r="AK165" i="24" s="1"/>
  <c r="AA164" i="24"/>
  <c r="AK164" i="24" s="1"/>
  <c r="AA163" i="24"/>
  <c r="AK163" i="24" s="1"/>
  <c r="AA162" i="24"/>
  <c r="AK162" i="24" s="1"/>
  <c r="AA161" i="24"/>
  <c r="AK161" i="24" s="1"/>
  <c r="AA160" i="24"/>
  <c r="AK160" i="24" s="1"/>
  <c r="AA159" i="24"/>
  <c r="AK159" i="24" s="1"/>
  <c r="AA158" i="24"/>
  <c r="AK158" i="24" s="1"/>
  <c r="AA157" i="24"/>
  <c r="AK157" i="24" s="1"/>
  <c r="AA156" i="24"/>
  <c r="AK156" i="24" s="1"/>
  <c r="AA155" i="24"/>
  <c r="AK155" i="24" s="1"/>
  <c r="AA154" i="24"/>
  <c r="AK154" i="24" s="1"/>
  <c r="AA153" i="24"/>
  <c r="AK153" i="24" s="1"/>
  <c r="AA152" i="24"/>
  <c r="AK152" i="24" s="1"/>
  <c r="AA151" i="24"/>
  <c r="AK151" i="24" s="1"/>
  <c r="AA150" i="24"/>
  <c r="AK150" i="24" s="1"/>
  <c r="AA149" i="24"/>
  <c r="AK149" i="24" s="1"/>
  <c r="AA148" i="24"/>
  <c r="AK148" i="24" s="1"/>
  <c r="AA147" i="24"/>
  <c r="AK147" i="24" s="1"/>
  <c r="AA146" i="24"/>
  <c r="AK146" i="24" s="1"/>
  <c r="AK107" i="24"/>
  <c r="A186" i="24" s="1"/>
  <c r="AB107" i="24"/>
  <c r="Q107" i="24"/>
  <c r="B47" i="34" l="1"/>
  <c r="Z56" i="34" s="1"/>
  <c r="Z59" i="34" s="1"/>
  <c r="AK90" i="33"/>
  <c r="A98" i="33" s="1"/>
  <c r="Q90" i="33"/>
  <c r="A96" i="33" s="1"/>
  <c r="P137" i="33"/>
  <c r="AA136" i="33"/>
  <c r="AK136" i="33" s="1"/>
  <c r="AA135" i="33"/>
  <c r="AK135" i="33" s="1"/>
  <c r="AA134" i="33"/>
  <c r="AK134" i="33" s="1"/>
  <c r="AA133" i="33"/>
  <c r="AK133" i="33" s="1"/>
  <c r="AA132" i="33"/>
  <c r="AK132" i="33" s="1"/>
  <c r="AA131" i="33"/>
  <c r="AK131" i="33" s="1"/>
  <c r="AA130" i="33"/>
  <c r="AK130" i="33" s="1"/>
  <c r="AA129" i="33"/>
  <c r="AK129" i="33" s="1"/>
  <c r="AA128" i="33"/>
  <c r="AK128" i="33" s="1"/>
  <c r="AA127" i="33"/>
  <c r="AK127" i="33" s="1"/>
  <c r="AA126" i="33"/>
  <c r="AK126" i="33" s="1"/>
  <c r="AA125" i="33"/>
  <c r="AK125" i="33" s="1"/>
  <c r="AA124" i="33"/>
  <c r="AK124" i="33" s="1"/>
  <c r="AA123" i="33"/>
  <c r="AK123" i="33" s="1"/>
  <c r="AA122" i="33"/>
  <c r="AK122" i="33" s="1"/>
  <c r="AA121" i="33"/>
  <c r="AK121" i="33" s="1"/>
  <c r="AA120" i="33"/>
  <c r="AK120" i="33" s="1"/>
  <c r="AA119" i="33"/>
  <c r="AK119" i="33" s="1"/>
  <c r="AA118" i="33"/>
  <c r="AK118" i="33" s="1"/>
  <c r="AA117" i="33"/>
  <c r="AK117" i="33" s="1"/>
  <c r="AA116" i="33"/>
  <c r="AK116" i="33" s="1"/>
  <c r="AA115" i="33"/>
  <c r="AK115" i="33" s="1"/>
  <c r="A173" i="33"/>
  <c r="AM153" i="33"/>
  <c r="H4" i="33"/>
  <c r="AK137" i="33" l="1"/>
  <c r="T141" i="33" s="1"/>
  <c r="AA137" i="33"/>
  <c r="AK55" i="34" l="1"/>
  <c r="AK57" i="34"/>
  <c r="AK54" i="34"/>
  <c r="AK58" i="34"/>
  <c r="AK56" i="34"/>
  <c r="L154" i="27"/>
  <c r="AA153" i="27"/>
  <c r="AK153" i="27" s="1"/>
  <c r="AA152" i="27"/>
  <c r="AK152" i="27" s="1"/>
  <c r="AA151" i="27"/>
  <c r="AK151" i="27" s="1"/>
  <c r="AA150" i="27"/>
  <c r="AK150" i="27" s="1"/>
  <c r="AA149" i="27"/>
  <c r="AK149" i="27" s="1"/>
  <c r="AA148" i="27"/>
  <c r="AK148" i="27" s="1"/>
  <c r="AA147" i="27"/>
  <c r="AK147" i="27" s="1"/>
  <c r="AA146" i="27"/>
  <c r="AK146" i="27" s="1"/>
  <c r="AA145" i="27"/>
  <c r="AK145" i="27" s="1"/>
  <c r="AA144" i="27"/>
  <c r="AK144" i="27" s="1"/>
  <c r="AA143" i="27"/>
  <c r="AK143" i="27" s="1"/>
  <c r="AA142" i="27"/>
  <c r="AK142" i="27" s="1"/>
  <c r="AA141" i="27"/>
  <c r="AK141" i="27" s="1"/>
  <c r="AA140" i="27"/>
  <c r="AK140" i="27" s="1"/>
  <c r="AA139" i="27"/>
  <c r="AK139" i="27" s="1"/>
  <c r="AA138" i="27"/>
  <c r="AK138" i="27" s="1"/>
  <c r="AA137" i="27"/>
  <c r="AK137" i="27" s="1"/>
  <c r="AA136" i="27"/>
  <c r="AK136" i="27" s="1"/>
  <c r="AA135" i="27"/>
  <c r="AK135" i="27" s="1"/>
  <c r="AA134" i="27"/>
  <c r="AK134" i="27" s="1"/>
  <c r="AA133" i="27"/>
  <c r="AK133" i="27" s="1"/>
  <c r="AA132" i="27"/>
  <c r="L147" i="30"/>
  <c r="AA146" i="30"/>
  <c r="AK146" i="30" s="1"/>
  <c r="AA145" i="30"/>
  <c r="AK145" i="30" s="1"/>
  <c r="AA144" i="30"/>
  <c r="AK144" i="30" s="1"/>
  <c r="AA143" i="30"/>
  <c r="AK143" i="30" s="1"/>
  <c r="AA142" i="30"/>
  <c r="AK142" i="30" s="1"/>
  <c r="AA141" i="30"/>
  <c r="AK141" i="30" s="1"/>
  <c r="AA140" i="30"/>
  <c r="AK140" i="30" s="1"/>
  <c r="AA139" i="30"/>
  <c r="AK139" i="30" s="1"/>
  <c r="AA138" i="30"/>
  <c r="AK138" i="30" s="1"/>
  <c r="AA137" i="30"/>
  <c r="AK137" i="30" s="1"/>
  <c r="AA136" i="30"/>
  <c r="AK136" i="30" s="1"/>
  <c r="AA135" i="30"/>
  <c r="AK135" i="30" s="1"/>
  <c r="AA134" i="30"/>
  <c r="AK134" i="30" s="1"/>
  <c r="AA133" i="30"/>
  <c r="AK133" i="30" s="1"/>
  <c r="AA132" i="30"/>
  <c r="AK132" i="30" s="1"/>
  <c r="AA131" i="30"/>
  <c r="AK131" i="30" s="1"/>
  <c r="AA130" i="30"/>
  <c r="AK130" i="30" s="1"/>
  <c r="AA129" i="30"/>
  <c r="AK129" i="30" s="1"/>
  <c r="AA128" i="30"/>
  <c r="AK128" i="30" s="1"/>
  <c r="AA127" i="30"/>
  <c r="AK127" i="30" s="1"/>
  <c r="AA126" i="30"/>
  <c r="AK126" i="30" s="1"/>
  <c r="AA125" i="30"/>
  <c r="L166" i="18"/>
  <c r="AA165" i="18"/>
  <c r="AK165" i="18" s="1"/>
  <c r="AA164" i="18"/>
  <c r="AK164" i="18" s="1"/>
  <c r="AA163" i="18"/>
  <c r="AK163" i="18" s="1"/>
  <c r="AA162" i="18"/>
  <c r="AK162" i="18" s="1"/>
  <c r="AA161" i="18"/>
  <c r="AK161" i="18" s="1"/>
  <c r="AA160" i="18"/>
  <c r="AK160" i="18" s="1"/>
  <c r="AA159" i="18"/>
  <c r="AK159" i="18" s="1"/>
  <c r="AA158" i="18"/>
  <c r="AK158" i="18" s="1"/>
  <c r="AA157" i="18"/>
  <c r="AK157" i="18" s="1"/>
  <c r="AA156" i="18"/>
  <c r="AK156" i="18" s="1"/>
  <c r="AA155" i="18"/>
  <c r="AK155" i="18" s="1"/>
  <c r="AA154" i="18"/>
  <c r="AK154" i="18" s="1"/>
  <c r="AA153" i="18"/>
  <c r="AK153" i="18" s="1"/>
  <c r="AA152" i="18"/>
  <c r="AK152" i="18" s="1"/>
  <c r="AA151" i="18"/>
  <c r="AK151" i="18" s="1"/>
  <c r="AA150" i="18"/>
  <c r="AK150" i="18" s="1"/>
  <c r="AA149" i="18"/>
  <c r="AK149" i="18" s="1"/>
  <c r="AA148" i="18"/>
  <c r="AK148" i="18" s="1"/>
  <c r="AA147" i="18"/>
  <c r="AK147" i="18" s="1"/>
  <c r="AA146" i="18"/>
  <c r="AK146" i="18" s="1"/>
  <c r="AA145" i="18"/>
  <c r="AK145" i="18" s="1"/>
  <c r="AA144" i="18"/>
  <c r="AK144" i="18" s="1"/>
  <c r="L108" i="15"/>
  <c r="AA107" i="15"/>
  <c r="AK107" i="15" s="1"/>
  <c r="AA106" i="15"/>
  <c r="AK106" i="15" s="1"/>
  <c r="AA105" i="15"/>
  <c r="AK105" i="15" s="1"/>
  <c r="AA104" i="15"/>
  <c r="AK104" i="15" s="1"/>
  <c r="AA103" i="15"/>
  <c r="AK103" i="15" s="1"/>
  <c r="AA102" i="15"/>
  <c r="AK102" i="15" s="1"/>
  <c r="AA101" i="15"/>
  <c r="AK101" i="15" s="1"/>
  <c r="AA100" i="15"/>
  <c r="AK100" i="15" s="1"/>
  <c r="AA99" i="15"/>
  <c r="AK99" i="15" s="1"/>
  <c r="AA98" i="15"/>
  <c r="AK98" i="15" s="1"/>
  <c r="AA97" i="15"/>
  <c r="AK97" i="15" s="1"/>
  <c r="AA96" i="15"/>
  <c r="AK96" i="15" s="1"/>
  <c r="AA95" i="15"/>
  <c r="AK95" i="15" s="1"/>
  <c r="AA94" i="15"/>
  <c r="AK94" i="15" s="1"/>
  <c r="AA93" i="15"/>
  <c r="AK93" i="15" s="1"/>
  <c r="AA92" i="15"/>
  <c r="AK92" i="15" s="1"/>
  <c r="AA91" i="15"/>
  <c r="AK91" i="15" s="1"/>
  <c r="AA90" i="15"/>
  <c r="AK90" i="15" s="1"/>
  <c r="AA89" i="15"/>
  <c r="AK89" i="15" s="1"/>
  <c r="AA88" i="15"/>
  <c r="AK88" i="15" s="1"/>
  <c r="AA87" i="15"/>
  <c r="AK87" i="15" s="1"/>
  <c r="AA86" i="15"/>
  <c r="L137" i="16"/>
  <c r="AA136" i="16"/>
  <c r="AK136" i="16" s="1"/>
  <c r="AA135" i="16"/>
  <c r="AK135" i="16" s="1"/>
  <c r="AA134" i="16"/>
  <c r="AK134" i="16" s="1"/>
  <c r="AA133" i="16"/>
  <c r="AK133" i="16" s="1"/>
  <c r="AA132" i="16"/>
  <c r="AK132" i="16" s="1"/>
  <c r="AA131" i="16"/>
  <c r="AK131" i="16" s="1"/>
  <c r="AA130" i="16"/>
  <c r="AK130" i="16" s="1"/>
  <c r="AA129" i="16"/>
  <c r="AK129" i="16" s="1"/>
  <c r="AA128" i="16"/>
  <c r="AK128" i="16" s="1"/>
  <c r="AA127" i="16"/>
  <c r="AK127" i="16" s="1"/>
  <c r="AA126" i="16"/>
  <c r="AK126" i="16" s="1"/>
  <c r="AA125" i="16"/>
  <c r="AK125" i="16" s="1"/>
  <c r="AA124" i="16"/>
  <c r="AK124" i="16" s="1"/>
  <c r="AA123" i="16"/>
  <c r="AK123" i="16" s="1"/>
  <c r="AA122" i="16"/>
  <c r="AK122" i="16" s="1"/>
  <c r="AA121" i="16"/>
  <c r="AK121" i="16" s="1"/>
  <c r="AA120" i="16"/>
  <c r="AK120" i="16" s="1"/>
  <c r="AA119" i="16"/>
  <c r="AK119" i="16" s="1"/>
  <c r="AA118" i="16"/>
  <c r="AK118" i="16" s="1"/>
  <c r="AA117" i="16"/>
  <c r="AK117" i="16" s="1"/>
  <c r="AA116" i="16"/>
  <c r="AK116" i="16" s="1"/>
  <c r="AA115" i="16"/>
  <c r="L137" i="12"/>
  <c r="AA136" i="12"/>
  <c r="AK136" i="12" s="1"/>
  <c r="AA135" i="12"/>
  <c r="AK135" i="12" s="1"/>
  <c r="AA134" i="12"/>
  <c r="AK134" i="12" s="1"/>
  <c r="AA133" i="12"/>
  <c r="AK133" i="12" s="1"/>
  <c r="AA132" i="12"/>
  <c r="AK132" i="12" s="1"/>
  <c r="AA131" i="12"/>
  <c r="AK131" i="12" s="1"/>
  <c r="AA130" i="12"/>
  <c r="AK130" i="12" s="1"/>
  <c r="AA129" i="12"/>
  <c r="AK129" i="12" s="1"/>
  <c r="AA128" i="12"/>
  <c r="AK128" i="12" s="1"/>
  <c r="AA127" i="12"/>
  <c r="AK127" i="12" s="1"/>
  <c r="AA126" i="12"/>
  <c r="AK126" i="12" s="1"/>
  <c r="AA125" i="12"/>
  <c r="AK125" i="12" s="1"/>
  <c r="AA124" i="12"/>
  <c r="AK124" i="12" s="1"/>
  <c r="AA123" i="12"/>
  <c r="AK123" i="12" s="1"/>
  <c r="AA122" i="12"/>
  <c r="AK122" i="12" s="1"/>
  <c r="AA121" i="12"/>
  <c r="AK121" i="12" s="1"/>
  <c r="AA120" i="12"/>
  <c r="AK120" i="12" s="1"/>
  <c r="AA119" i="12"/>
  <c r="AK119" i="12" s="1"/>
  <c r="AA118" i="12"/>
  <c r="AK118" i="12" s="1"/>
  <c r="AA117" i="12"/>
  <c r="AK117" i="12" s="1"/>
  <c r="AA116" i="12"/>
  <c r="AK116" i="12" s="1"/>
  <c r="AA115" i="12"/>
  <c r="L158" i="21"/>
  <c r="AA157" i="21"/>
  <c r="AK157" i="21" s="1"/>
  <c r="AA156" i="21"/>
  <c r="AK156" i="21" s="1"/>
  <c r="AA155" i="21"/>
  <c r="AK155" i="21" s="1"/>
  <c r="AA154" i="21"/>
  <c r="AK154" i="21" s="1"/>
  <c r="AA153" i="21"/>
  <c r="AK153" i="21" s="1"/>
  <c r="AA152" i="21"/>
  <c r="AK152" i="21" s="1"/>
  <c r="AA151" i="21"/>
  <c r="AK151" i="21" s="1"/>
  <c r="AA150" i="21"/>
  <c r="AK150" i="21" s="1"/>
  <c r="AA149" i="21"/>
  <c r="AK149" i="21" s="1"/>
  <c r="AA148" i="21"/>
  <c r="AK148" i="21" s="1"/>
  <c r="AA147" i="21"/>
  <c r="AK147" i="21" s="1"/>
  <c r="AA146" i="21"/>
  <c r="AK146" i="21" s="1"/>
  <c r="AA145" i="21"/>
  <c r="AK145" i="21" s="1"/>
  <c r="AA144" i="21"/>
  <c r="AK144" i="21" s="1"/>
  <c r="AA143" i="21"/>
  <c r="AK143" i="21" s="1"/>
  <c r="AA142" i="21"/>
  <c r="AK142" i="21" s="1"/>
  <c r="AA141" i="21"/>
  <c r="AK141" i="21" s="1"/>
  <c r="AA140" i="21"/>
  <c r="AK140" i="21" s="1"/>
  <c r="AA139" i="21"/>
  <c r="AK139" i="21" s="1"/>
  <c r="AA138" i="21"/>
  <c r="AK138" i="21" s="1"/>
  <c r="AA137" i="21"/>
  <c r="AK137" i="21" s="1"/>
  <c r="AA136" i="21"/>
  <c r="L160" i="9"/>
  <c r="AA159" i="9"/>
  <c r="AK159" i="9" s="1"/>
  <c r="AA158" i="9"/>
  <c r="AK158" i="9" s="1"/>
  <c r="AA157" i="9"/>
  <c r="AK157" i="9" s="1"/>
  <c r="AA156" i="9"/>
  <c r="AK156" i="9" s="1"/>
  <c r="AA155" i="9"/>
  <c r="AK155" i="9" s="1"/>
  <c r="AA154" i="9"/>
  <c r="AK154" i="9" s="1"/>
  <c r="AA153" i="9"/>
  <c r="AK153" i="9" s="1"/>
  <c r="AA152" i="9"/>
  <c r="AK152" i="9" s="1"/>
  <c r="AA151" i="9"/>
  <c r="AK151" i="9" s="1"/>
  <c r="AA150" i="9"/>
  <c r="AK150" i="9" s="1"/>
  <c r="AA149" i="9"/>
  <c r="AK149" i="9" s="1"/>
  <c r="AA148" i="9"/>
  <c r="AK148" i="9" s="1"/>
  <c r="AA147" i="9"/>
  <c r="AK147" i="9" s="1"/>
  <c r="AA146" i="9"/>
  <c r="AK146" i="9" s="1"/>
  <c r="AA145" i="9"/>
  <c r="AK145" i="9" s="1"/>
  <c r="AA144" i="9"/>
  <c r="AK144" i="9" s="1"/>
  <c r="AA143" i="9"/>
  <c r="AK143" i="9" s="1"/>
  <c r="AA142" i="9"/>
  <c r="AK142" i="9" s="1"/>
  <c r="AA141" i="9"/>
  <c r="AK141" i="9" s="1"/>
  <c r="AA140" i="9"/>
  <c r="AK140" i="9" s="1"/>
  <c r="AA139" i="9"/>
  <c r="AK139" i="9" s="1"/>
  <c r="AA138" i="9"/>
  <c r="L113" i="5"/>
  <c r="AA112" i="5"/>
  <c r="AK112" i="5" s="1"/>
  <c r="AA111" i="5"/>
  <c r="AK111" i="5" s="1"/>
  <c r="AA110" i="5"/>
  <c r="AK110" i="5" s="1"/>
  <c r="AA109" i="5"/>
  <c r="AK109" i="5" s="1"/>
  <c r="AA108" i="5"/>
  <c r="AK108" i="5" s="1"/>
  <c r="AA107" i="5"/>
  <c r="AK107" i="5" s="1"/>
  <c r="AA106" i="5"/>
  <c r="AK106" i="5" s="1"/>
  <c r="AA105" i="5"/>
  <c r="AK105" i="5" s="1"/>
  <c r="AA104" i="5"/>
  <c r="AK104" i="5" s="1"/>
  <c r="AA103" i="5"/>
  <c r="AK103" i="5" s="1"/>
  <c r="AA102" i="5"/>
  <c r="L121" i="2"/>
  <c r="AA120" i="2"/>
  <c r="AK120" i="2" s="1"/>
  <c r="AA119" i="2"/>
  <c r="AK119" i="2" s="1"/>
  <c r="AA118" i="2"/>
  <c r="AK118" i="2" s="1"/>
  <c r="AA117" i="2"/>
  <c r="AK117" i="2" s="1"/>
  <c r="AA116" i="2"/>
  <c r="AK116" i="2" s="1"/>
  <c r="AA115" i="2"/>
  <c r="AK115" i="2" s="1"/>
  <c r="AA114" i="2"/>
  <c r="AK114" i="2" s="1"/>
  <c r="AA113" i="2"/>
  <c r="AK113" i="2" s="1"/>
  <c r="AA112" i="2"/>
  <c r="AK112" i="2" s="1"/>
  <c r="AA111" i="2"/>
  <c r="AK111" i="2" s="1"/>
  <c r="AA110" i="2"/>
  <c r="AK110" i="2" s="1"/>
  <c r="AA109" i="2"/>
  <c r="AK109" i="2" s="1"/>
  <c r="AA108" i="2"/>
  <c r="AK108" i="2" s="1"/>
  <c r="AA107" i="2"/>
  <c r="AK107" i="2" s="1"/>
  <c r="AA106" i="2"/>
  <c r="AK106" i="2" s="1"/>
  <c r="AA105" i="2"/>
  <c r="AK105" i="2" s="1"/>
  <c r="AA104" i="2"/>
  <c r="AK104" i="2" s="1"/>
  <c r="AA103" i="2"/>
  <c r="AK103" i="2" s="1"/>
  <c r="AA102" i="2"/>
  <c r="AK102" i="2" s="1"/>
  <c r="AA101" i="2"/>
  <c r="AK101" i="2" s="1"/>
  <c r="AA100" i="2"/>
  <c r="AK100" i="2" s="1"/>
  <c r="AA99" i="2"/>
  <c r="AK99" i="2" s="1"/>
  <c r="L148" i="23"/>
  <c r="AA135" i="23"/>
  <c r="AA125" i="24"/>
  <c r="AA126" i="24"/>
  <c r="AA127" i="24"/>
  <c r="AA128" i="24"/>
  <c r="AA129" i="24"/>
  <c r="AA130" i="24"/>
  <c r="AA131" i="24"/>
  <c r="AA132" i="24"/>
  <c r="AA133" i="24"/>
  <c r="AA134" i="24"/>
  <c r="AA135" i="24"/>
  <c r="AA136" i="24"/>
  <c r="AA137" i="24"/>
  <c r="AA138" i="24"/>
  <c r="AA139" i="24"/>
  <c r="AA140" i="24"/>
  <c r="AA141" i="24"/>
  <c r="AA142" i="24"/>
  <c r="AA143" i="24"/>
  <c r="AA144" i="24"/>
  <c r="AA145" i="24"/>
  <c r="AK59" i="34" l="1"/>
  <c r="B47" i="33"/>
  <c r="Z56" i="33" s="1"/>
  <c r="Z58" i="33" s="1"/>
  <c r="AA160" i="9"/>
  <c r="AA154" i="27"/>
  <c r="AA147" i="30"/>
  <c r="AA108" i="15"/>
  <c r="AA137" i="16"/>
  <c r="AA137" i="12"/>
  <c r="AA158" i="21"/>
  <c r="AA113" i="5"/>
  <c r="AK132" i="27"/>
  <c r="AK154" i="27" s="1"/>
  <c r="B47" i="27" s="1"/>
  <c r="AK125" i="30"/>
  <c r="AK147" i="30" s="1"/>
  <c r="B47" i="30" s="1"/>
  <c r="AK166" i="18"/>
  <c r="AA166" i="18"/>
  <c r="AK86" i="15"/>
  <c r="AK108" i="15" s="1"/>
  <c r="AK115" i="16"/>
  <c r="AK137" i="16" s="1"/>
  <c r="AK115" i="12"/>
  <c r="AK137" i="12" s="1"/>
  <c r="AK136" i="21"/>
  <c r="AK158" i="21" s="1"/>
  <c r="AK138" i="9"/>
  <c r="AK160" i="9" s="1"/>
  <c r="Z62" i="9" s="1"/>
  <c r="AK62" i="9" s="1"/>
  <c r="AK102" i="5"/>
  <c r="AK113" i="5" s="1"/>
  <c r="AK121" i="2"/>
  <c r="AA121" i="2"/>
  <c r="AA124" i="24"/>
  <c r="AA170" i="24" s="1"/>
  <c r="AA127" i="23"/>
  <c r="AA128" i="23"/>
  <c r="AA129" i="23"/>
  <c r="AA130" i="23"/>
  <c r="AA131" i="23"/>
  <c r="AA132" i="23"/>
  <c r="AA133" i="23"/>
  <c r="AA134" i="23"/>
  <c r="AA136" i="23"/>
  <c r="AA137" i="23"/>
  <c r="AA138" i="23"/>
  <c r="AA139" i="23"/>
  <c r="AA140" i="23"/>
  <c r="AA141" i="23"/>
  <c r="AA142" i="23"/>
  <c r="AA143" i="23"/>
  <c r="AA144" i="23"/>
  <c r="AA145" i="23"/>
  <c r="AA146" i="23"/>
  <c r="AA147" i="23"/>
  <c r="AA126" i="23"/>
  <c r="AK57" i="33" l="1"/>
  <c r="AK55" i="33"/>
  <c r="AK54" i="33"/>
  <c r="AK56" i="33"/>
  <c r="AK126" i="23"/>
  <c r="AA148" i="23"/>
  <c r="AK58" i="33" l="1"/>
  <c r="Z66" i="27"/>
  <c r="A152" i="2"/>
  <c r="A69" i="2" l="1"/>
  <c r="Z68" i="27"/>
  <c r="A121" i="27" s="1"/>
  <c r="T125" i="2"/>
  <c r="B41" i="2" s="1"/>
  <c r="AM168" i="20"/>
  <c r="AK67" i="27" l="1"/>
  <c r="AK64" i="27"/>
  <c r="AK65" i="27"/>
  <c r="AK66" i="27"/>
  <c r="A205" i="9"/>
  <c r="AK68" i="27" l="1"/>
  <c r="T162" i="21"/>
  <c r="B48" i="21" s="1"/>
  <c r="A68" i="5" l="1"/>
  <c r="A165" i="16"/>
  <c r="T170" i="18" l="1"/>
  <c r="B41" i="18" s="1"/>
  <c r="T112" i="15"/>
  <c r="B41" i="15" s="1"/>
  <c r="T141" i="16"/>
  <c r="B41" i="16" s="1"/>
  <c r="Z49" i="16" s="1"/>
  <c r="Z51" i="16" s="1"/>
  <c r="T164" i="9" l="1"/>
  <c r="T141" i="12"/>
  <c r="B41" i="12" s="1"/>
  <c r="T166" i="9" l="1"/>
  <c r="B48" i="9" s="1"/>
  <c r="T117" i="5"/>
  <c r="B40" i="5" s="1"/>
  <c r="AK145" i="24" l="1"/>
  <c r="AK144" i="24"/>
  <c r="AK143" i="24"/>
  <c r="AK142" i="24"/>
  <c r="AK141" i="24"/>
  <c r="AK140" i="24"/>
  <c r="AK139" i="24"/>
  <c r="AK138" i="24"/>
  <c r="AK137" i="24"/>
  <c r="AK136" i="24"/>
  <c r="AK135" i="24"/>
  <c r="AK134" i="24"/>
  <c r="AK133" i="24"/>
  <c r="AK132" i="24"/>
  <c r="AK131" i="24"/>
  <c r="AK130" i="24"/>
  <c r="AK129" i="24"/>
  <c r="AK128" i="24"/>
  <c r="AK127" i="24"/>
  <c r="AK126" i="24"/>
  <c r="AK125" i="24"/>
  <c r="AK124" i="24" l="1"/>
  <c r="AK170" i="24" s="1"/>
  <c r="T174" i="24" l="1"/>
  <c r="B41" i="24" s="1"/>
  <c r="A63" i="24"/>
  <c r="Z49" i="15" l="1"/>
  <c r="Z51" i="15" s="1"/>
  <c r="AK49" i="15" l="1"/>
  <c r="A177" i="30"/>
  <c r="H4" i="30"/>
  <c r="AK48" i="15" l="1"/>
  <c r="AK50" i="15"/>
  <c r="AK51" i="15" l="1"/>
  <c r="Z64" i="30"/>
  <c r="Z66" i="30" l="1"/>
  <c r="AK64" i="30" s="1"/>
  <c r="A114" i="30" l="1"/>
  <c r="AK65" i="30"/>
  <c r="AK63" i="30"/>
  <c r="AK62" i="30"/>
  <c r="AK66" i="30" l="1"/>
  <c r="Z48" i="5" l="1"/>
  <c r="A201" i="24"/>
  <c r="A186" i="23"/>
  <c r="Z50" i="5" l="1"/>
  <c r="AK48" i="5" s="1"/>
  <c r="AK49" i="5" l="1"/>
  <c r="AK47" i="5"/>
  <c r="AK50" i="5" l="1"/>
  <c r="A184" i="27"/>
  <c r="H4" i="27"/>
  <c r="A146" i="5" l="1"/>
  <c r="AM131" i="5"/>
  <c r="AM137" i="2" l="1"/>
  <c r="A194" i="18"/>
  <c r="A136" i="15"/>
  <c r="A165" i="12"/>
  <c r="H4" i="23" l="1"/>
  <c r="AK145" i="23" l="1"/>
  <c r="AK146" i="23"/>
  <c r="AK147" i="23"/>
  <c r="AM91" i="5" l="1"/>
  <c r="Z49" i="12" l="1"/>
  <c r="Z49" i="18"/>
  <c r="Z51" i="12" l="1"/>
  <c r="Z51" i="18"/>
  <c r="Z49" i="2"/>
  <c r="Z51" i="2" l="1"/>
  <c r="AK49" i="2" s="1"/>
  <c r="AK48" i="12"/>
  <c r="AK50" i="12"/>
  <c r="AK49" i="12"/>
  <c r="AK49" i="16"/>
  <c r="AK48" i="18"/>
  <c r="AK50" i="18"/>
  <c r="AK49" i="18"/>
  <c r="Z57" i="20"/>
  <c r="Z62" i="20" s="1"/>
  <c r="AK62" i="20" s="1"/>
  <c r="Z57" i="21"/>
  <c r="Z60" i="21" s="1"/>
  <c r="AK127" i="23"/>
  <c r="AK128" i="23"/>
  <c r="AK129" i="23"/>
  <c r="AK130" i="23"/>
  <c r="AK131" i="23"/>
  <c r="AK132" i="23"/>
  <c r="AK133" i="23"/>
  <c r="AK134" i="23"/>
  <c r="AK135" i="23"/>
  <c r="AK136" i="23"/>
  <c r="AK137" i="23"/>
  <c r="AK138" i="23"/>
  <c r="AK139" i="23"/>
  <c r="AK140" i="23"/>
  <c r="AK141" i="23"/>
  <c r="AK142" i="23"/>
  <c r="AK143" i="23"/>
  <c r="AK144" i="23"/>
  <c r="Z60" i="20" l="1"/>
  <c r="AK54" i="20" s="1"/>
  <c r="AK148" i="23"/>
  <c r="AK48" i="2"/>
  <c r="AK50" i="2"/>
  <c r="AK51" i="12"/>
  <c r="AK48" i="16"/>
  <c r="AK50" i="16"/>
  <c r="AK51" i="18"/>
  <c r="AK57" i="21"/>
  <c r="Z49" i="24"/>
  <c r="A70" i="3"/>
  <c r="AK51" i="2" l="1"/>
  <c r="AK51" i="16"/>
  <c r="AK59" i="21"/>
  <c r="AK55" i="21"/>
  <c r="AK56" i="21"/>
  <c r="AK58" i="21"/>
  <c r="AK56" i="20"/>
  <c r="AK59" i="20"/>
  <c r="AK55" i="20"/>
  <c r="AK58" i="20"/>
  <c r="AK57" i="20"/>
  <c r="Z51" i="24"/>
  <c r="T152" i="23"/>
  <c r="B41" i="23" s="1"/>
  <c r="H4" i="24"/>
  <c r="AK60" i="20" l="1"/>
  <c r="AK60" i="21"/>
  <c r="AK48" i="24"/>
  <c r="AK50" i="24"/>
  <c r="AK49" i="24"/>
  <c r="Z49" i="23"/>
  <c r="Z51" i="23" s="1"/>
  <c r="A188" i="20"/>
  <c r="A199" i="21"/>
  <c r="H4" i="20"/>
  <c r="H4" i="21"/>
  <c r="AK51" i="24" l="1"/>
  <c r="AK49" i="23"/>
  <c r="AK50" i="23"/>
  <c r="AK48" i="23"/>
  <c r="AK51" i="23" l="1"/>
  <c r="H4" i="18" l="1"/>
  <c r="AM125" i="5" l="1"/>
  <c r="AM178" i="9" l="1"/>
  <c r="AM131" i="2"/>
  <c r="AM88" i="2" l="1"/>
  <c r="H4" i="16" l="1"/>
  <c r="H4" i="12"/>
  <c r="H4" i="15"/>
  <c r="H3" i="5"/>
  <c r="H4" i="9"/>
  <c r="H4" i="2" l="1"/>
  <c r="Z58" i="9" l="1"/>
  <c r="Z63" i="9" s="1"/>
  <c r="AK63" i="9" s="1"/>
  <c r="Z61" i="9" l="1"/>
  <c r="AK57" i="9" l="1"/>
  <c r="AK59" i="9"/>
  <c r="AK60" i="9"/>
  <c r="AK56" i="9"/>
  <c r="AK58" i="9"/>
  <c r="AK55" i="9"/>
  <c r="AK61"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<sst xmlns="http://schemas.openxmlformats.org/spreadsheetml/2006/main" count="3924" uniqueCount="1163">
  <si>
    <t xml:space="preserve">V. B.  Charakterystyka przedsięwzięcia określonego w art. 4 ustawy </t>
  </si>
  <si>
    <t>A.</t>
  </si>
  <si>
    <r>
      <t xml:space="preserve"> 1) </t>
    </r>
    <r>
      <rPr>
        <sz val="9"/>
        <color rgb="FF000000"/>
        <rFont val="Arial"/>
        <family val="2"/>
        <charset val="238"/>
      </rPr>
      <t xml:space="preserve"> adres nieruchomości;</t>
    </r>
  </si>
  <si>
    <r>
      <t xml:space="preserve"> A. </t>
    </r>
    <r>
      <rPr>
        <sz val="9"/>
        <color rgb="FF000000"/>
        <rFont val="Arial"/>
        <family val="2"/>
        <charset val="238"/>
      </rPr>
      <t xml:space="preserve"> Budowa budynku:</t>
    </r>
  </si>
  <si>
    <t>B.</t>
  </si>
  <si>
    <r>
      <t xml:space="preserve"> 1. </t>
    </r>
    <r>
      <rPr>
        <sz val="9"/>
        <color rgb="FF000000"/>
        <rFont val="Arial"/>
        <family val="2"/>
        <charset val="238"/>
      </rPr>
      <t xml:space="preserve"> Noclegownia:</t>
    </r>
  </si>
  <si>
    <t>C.</t>
  </si>
  <si>
    <t>D.</t>
  </si>
  <si>
    <r>
      <t xml:space="preserve"> 2) </t>
    </r>
    <r>
      <rPr>
        <sz val="9"/>
        <color rgb="FF000000"/>
        <rFont val="Arial"/>
        <family val="2"/>
        <charset val="238"/>
      </rPr>
      <t xml:space="preserve"> nowa powierzchnia użytkowa noclegowni w m</t>
    </r>
    <r>
      <rPr>
        <vertAlign val="superscript"/>
        <sz val="9"/>
        <color rgb="FF000000"/>
        <rFont val="Arial"/>
        <family val="2"/>
        <charset val="238"/>
      </rPr>
      <t>2</t>
    </r>
    <r>
      <rPr>
        <sz val="9"/>
        <color rgb="FF000000"/>
        <rFont val="Arial"/>
        <family val="2"/>
        <charset val="238"/>
      </rPr>
      <t>, w tym w sypialniach w m</t>
    </r>
    <r>
      <rPr>
        <vertAlign val="superscript"/>
        <sz val="9"/>
        <color rgb="FF000000"/>
        <rFont val="Arial"/>
        <family val="2"/>
        <charset val="238"/>
      </rPr>
      <t>2</t>
    </r>
    <r>
      <rPr>
        <sz val="9"/>
        <color rgb="FF000000"/>
        <rFont val="Arial"/>
        <family val="2"/>
        <charset val="238"/>
      </rPr>
      <t>;</t>
    </r>
  </si>
  <si>
    <t>E.</t>
  </si>
  <si>
    <r>
      <t xml:space="preserve"> 3) </t>
    </r>
    <r>
      <rPr>
        <sz val="9"/>
        <color rgb="FF000000"/>
        <rFont val="Arial"/>
        <family val="2"/>
        <charset val="238"/>
      </rPr>
      <t xml:space="preserve"> nowa powierzchnia użytkowa niestanowiąca noclegowni;</t>
    </r>
  </si>
  <si>
    <t>F.</t>
  </si>
  <si>
    <r>
      <t xml:space="preserve"> 4) </t>
    </r>
    <r>
      <rPr>
        <sz val="9"/>
        <color rgb="FF000000"/>
        <rFont val="Arial"/>
        <family val="2"/>
        <charset val="238"/>
      </rPr>
      <t xml:space="preserve"> nowa liczba miejsc w sypialniach;</t>
    </r>
  </si>
  <si>
    <r>
      <t xml:space="preserve"> 5) </t>
    </r>
    <r>
      <rPr>
        <sz val="9"/>
        <color rgb="FF000000"/>
        <rFont val="Arial"/>
        <family val="2"/>
        <charset val="238"/>
      </rPr>
      <t xml:space="preserve"> dotychczasowa powierzchnia użytkowa noclegowni w m</t>
    </r>
    <r>
      <rPr>
        <vertAlign val="superscript"/>
        <sz val="9"/>
        <color rgb="FF000000"/>
        <rFont val="Arial"/>
        <family val="2"/>
        <charset val="238"/>
      </rPr>
      <t>2</t>
    </r>
    <r>
      <rPr>
        <sz val="9"/>
        <color rgb="FF000000"/>
        <rFont val="Arial"/>
        <family val="2"/>
        <charset val="238"/>
      </rPr>
      <t>, w tym w sypialniach w m</t>
    </r>
    <r>
      <rPr>
        <vertAlign val="superscript"/>
        <sz val="9"/>
        <color rgb="FF000000"/>
        <rFont val="Arial"/>
        <family val="2"/>
        <charset val="238"/>
      </rPr>
      <t>2</t>
    </r>
    <r>
      <rPr>
        <sz val="9"/>
        <color rgb="FF000000"/>
        <rFont val="Arial"/>
        <family val="2"/>
        <charset val="238"/>
      </rPr>
      <t>;</t>
    </r>
  </si>
  <si>
    <r>
      <t xml:space="preserve"> 6) </t>
    </r>
    <r>
      <rPr>
        <sz val="9"/>
        <color rgb="FF000000"/>
        <rFont val="Arial"/>
        <family val="2"/>
        <charset val="238"/>
      </rPr>
      <t xml:space="preserve"> całkowita liczba miejsc w sypialniach, po zakończeniu realizacji przedsięwzięcia, w podziale na poszczególne sypialnie;</t>
    </r>
  </si>
  <si>
    <r>
      <t xml:space="preserve"> 7) </t>
    </r>
    <r>
      <rPr>
        <sz val="9"/>
        <color rgb="FF000000"/>
        <rFont val="Arial"/>
        <family val="2"/>
        <charset val="238"/>
      </rPr>
      <t xml:space="preserve"> całkowita liczba natrysków, kabin WC, pisuarów i umywalek po zakończeniu realizacji przedsięwzięcia.</t>
    </r>
  </si>
  <si>
    <r>
      <t xml:space="preserve"> 2. </t>
    </r>
    <r>
      <rPr>
        <sz val="9"/>
        <color rgb="FF000000"/>
        <rFont val="Arial"/>
        <family val="2"/>
        <charset val="238"/>
      </rPr>
      <t xml:space="preserve"> Schronisko dla bezdomnych:</t>
    </r>
  </si>
  <si>
    <r>
      <t xml:space="preserve"> 2) </t>
    </r>
    <r>
      <rPr>
        <sz val="9"/>
        <color rgb="FF000000"/>
        <rFont val="Arial"/>
        <family val="2"/>
        <charset val="238"/>
      </rPr>
      <t xml:space="preserve"> nowa powierzchnia użytkowa schroniska dla bezdomnych w m</t>
    </r>
    <r>
      <rPr>
        <vertAlign val="superscript"/>
        <sz val="9"/>
        <color rgb="FF000000"/>
        <rFont val="Arial"/>
        <family val="2"/>
        <charset val="238"/>
      </rPr>
      <t>2</t>
    </r>
    <r>
      <rPr>
        <sz val="9"/>
        <color rgb="FF000000"/>
        <rFont val="Arial"/>
        <family val="2"/>
        <charset val="238"/>
      </rPr>
      <t>, w tym powierzchnia mieszkalna w m</t>
    </r>
    <r>
      <rPr>
        <vertAlign val="superscript"/>
        <sz val="9"/>
        <color rgb="FF000000"/>
        <rFont val="Arial"/>
        <family val="2"/>
        <charset val="238"/>
      </rPr>
      <t>2</t>
    </r>
    <r>
      <rPr>
        <sz val="9"/>
        <color rgb="FF000000"/>
        <rFont val="Arial"/>
        <family val="2"/>
        <charset val="238"/>
      </rPr>
      <t>, w tym w pomieszczeniach mieszkalnych w m</t>
    </r>
    <r>
      <rPr>
        <vertAlign val="superscript"/>
        <sz val="9"/>
        <color rgb="FF000000"/>
        <rFont val="Arial"/>
        <family val="2"/>
        <charset val="238"/>
      </rPr>
      <t>2</t>
    </r>
    <r>
      <rPr>
        <sz val="9"/>
        <color rgb="FF000000"/>
        <rFont val="Arial"/>
        <family val="2"/>
        <charset val="238"/>
      </rPr>
      <t>;</t>
    </r>
  </si>
  <si>
    <r>
      <t xml:space="preserve"> 3) </t>
    </r>
    <r>
      <rPr>
        <sz val="9"/>
        <color rgb="FF000000"/>
        <rFont val="Arial"/>
        <family val="2"/>
        <charset val="238"/>
      </rPr>
      <t xml:space="preserve"> nowa powierzchnia użytkowa niestanowiąca schroniska dla bezdomnych;</t>
    </r>
  </si>
  <si>
    <r>
      <t xml:space="preserve"> 5) </t>
    </r>
    <r>
      <rPr>
        <sz val="9"/>
        <color rgb="FF000000"/>
        <rFont val="Arial"/>
        <family val="2"/>
        <charset val="238"/>
      </rPr>
      <t xml:space="preserve"> dotychczasowa powierzchnia użytkowa schroniska dla bezdomnych w m</t>
    </r>
    <r>
      <rPr>
        <vertAlign val="superscript"/>
        <sz val="9"/>
        <color rgb="FF000000"/>
        <rFont val="Arial"/>
        <family val="2"/>
        <charset val="238"/>
      </rPr>
      <t>2</t>
    </r>
    <r>
      <rPr>
        <sz val="9"/>
        <color rgb="FF000000"/>
        <rFont val="Arial"/>
        <family val="2"/>
        <charset val="238"/>
      </rPr>
      <t>, w tym powierzchnia mieszkalna w m</t>
    </r>
    <r>
      <rPr>
        <vertAlign val="superscript"/>
        <sz val="9"/>
        <color rgb="FF000000"/>
        <rFont val="Arial"/>
        <family val="2"/>
        <charset val="238"/>
      </rPr>
      <t>2</t>
    </r>
    <r>
      <rPr>
        <sz val="9"/>
        <color rgb="FF000000"/>
        <rFont val="Arial"/>
        <family val="2"/>
        <charset val="238"/>
      </rPr>
      <t>, w tym w pomieszczeniach mieszkalnych w m</t>
    </r>
    <r>
      <rPr>
        <vertAlign val="superscript"/>
        <sz val="9"/>
        <color rgb="FF000000"/>
        <rFont val="Arial"/>
        <family val="2"/>
        <charset val="238"/>
      </rPr>
      <t>2</t>
    </r>
    <r>
      <rPr>
        <sz val="9"/>
        <color rgb="FF000000"/>
        <rFont val="Arial"/>
        <family val="2"/>
        <charset val="238"/>
      </rPr>
      <t>;</t>
    </r>
  </si>
  <si>
    <r>
      <t xml:space="preserve"> 6) </t>
    </r>
    <r>
      <rPr>
        <sz val="9"/>
        <color rgb="FF000000"/>
        <rFont val="Arial"/>
        <family val="2"/>
        <charset val="238"/>
      </rPr>
      <t xml:space="preserve"> całkowita liczba miejsc w pomieszczeniach mieszkalnych, po zakończeniu realizacji przedsięwzięcia, w podziale na poszczególne pomieszczenia mieszkalne;</t>
    </r>
  </si>
  <si>
    <r>
      <t xml:space="preserve"> 3. </t>
    </r>
    <r>
      <rPr>
        <sz val="9"/>
        <color rgb="FF000000"/>
        <rFont val="Arial"/>
        <family val="2"/>
        <charset val="238"/>
      </rPr>
      <t xml:space="preserve"> Ogrzewalnia:</t>
    </r>
  </si>
  <si>
    <r>
      <t xml:space="preserve"> 2) </t>
    </r>
    <r>
      <rPr>
        <sz val="9"/>
        <color rgb="FF000000"/>
        <rFont val="Arial"/>
        <family val="2"/>
        <charset val="238"/>
      </rPr>
      <t xml:space="preserve"> nowa powierzchnia użytkowa ogrzewalni w m</t>
    </r>
    <r>
      <rPr>
        <vertAlign val="superscript"/>
        <sz val="9"/>
        <color rgb="FF000000"/>
        <rFont val="Arial"/>
        <family val="2"/>
        <charset val="238"/>
      </rPr>
      <t>2</t>
    </r>
    <r>
      <rPr>
        <sz val="9"/>
        <color rgb="FF000000"/>
        <rFont val="Arial"/>
        <family val="2"/>
        <charset val="238"/>
      </rPr>
      <t>;</t>
    </r>
  </si>
  <si>
    <r>
      <t xml:space="preserve"> 3) </t>
    </r>
    <r>
      <rPr>
        <sz val="9"/>
        <color rgb="FF000000"/>
        <rFont val="Arial"/>
        <family val="2"/>
        <charset val="238"/>
      </rPr>
      <t xml:space="preserve"> nowa powierzchnia użytkowa niestanowiąca ogrzewalni;</t>
    </r>
  </si>
  <si>
    <r>
      <t xml:space="preserve"> 4) </t>
    </r>
    <r>
      <rPr>
        <sz val="9"/>
        <color rgb="FF000000"/>
        <rFont val="Arial"/>
        <family val="2"/>
        <charset val="238"/>
      </rPr>
      <t xml:space="preserve"> nowa liczba miejsc w ogrzewalni;</t>
    </r>
  </si>
  <si>
    <t xml:space="preserve"> 6)   Obliczona zgodnie z art. 2 ust. 2 ustawy z dnia 21 czerwca 2001 r. o ochronie praw lokatorów, mieszkaniowym zasobie gminy i o zmianie Kodeksu cywilnego (Dz. U. z 2016 r. poz. 1610, z 2017 r. poz. 1442 i 1529 oraz z 2018 r. poz. 374 i 756).</t>
  </si>
  <si>
    <r>
      <t xml:space="preserve"> 5) </t>
    </r>
    <r>
      <rPr>
        <sz val="9"/>
        <color rgb="FF000000"/>
        <rFont val="Arial"/>
        <family val="2"/>
        <charset val="238"/>
      </rPr>
      <t xml:space="preserve"> dotychczasowa powierzchnia użytkowa ogrzewalni w m</t>
    </r>
    <r>
      <rPr>
        <vertAlign val="superscript"/>
        <sz val="9"/>
        <color rgb="FF000000"/>
        <rFont val="Arial"/>
        <family val="2"/>
        <charset val="238"/>
      </rPr>
      <t>2</t>
    </r>
    <r>
      <rPr>
        <sz val="9"/>
        <color rgb="FF000000"/>
        <rFont val="Arial"/>
        <family val="2"/>
        <charset val="238"/>
      </rPr>
      <t>;</t>
    </r>
  </si>
  <si>
    <t xml:space="preserve"> 7)   Nie wlicza się wartości lub kosztu nabycia gruntu. Wlicza się koszt wyposażenia lokalu, o którym mowa w art. 6b ustawy.</t>
  </si>
  <si>
    <r>
      <t xml:space="preserve"> 4. </t>
    </r>
    <r>
      <rPr>
        <sz val="9"/>
        <color rgb="FF000000"/>
        <rFont val="Arial"/>
        <family val="2"/>
        <charset val="238"/>
      </rPr>
      <t xml:space="preserve"> Charakterystyka noclegowni (czy dana cecha występuje):</t>
    </r>
  </si>
  <si>
    <r>
      <t xml:space="preserve"> 1) </t>
    </r>
    <r>
      <rPr>
        <sz val="9"/>
        <color rgb="FF000000"/>
        <rFont val="Arial"/>
        <family val="2"/>
        <charset val="238"/>
      </rPr>
      <t xml:space="preserve"> liczba miejsc nie większa niż 100;</t>
    </r>
  </si>
  <si>
    <r>
      <t xml:space="preserve"> 2) </t>
    </r>
    <r>
      <rPr>
        <sz val="9"/>
        <color rgb="FF000000"/>
        <rFont val="Arial"/>
        <family val="2"/>
        <charset val="238"/>
      </rPr>
      <t xml:space="preserve"> nie więcej niż 20 osób w jednej sypialni;</t>
    </r>
  </si>
  <si>
    <r>
      <t xml:space="preserve"> 3) </t>
    </r>
    <r>
      <rPr>
        <sz val="9"/>
        <color rgb="FF000000"/>
        <rFont val="Arial"/>
        <family val="2"/>
        <charset val="238"/>
      </rPr>
      <t xml:space="preserve"> powierzchnia przypadająca na osobę w sypialni - nie mniej niż 3 m</t>
    </r>
    <r>
      <rPr>
        <vertAlign val="superscript"/>
        <sz val="9"/>
        <color rgb="FF000000"/>
        <rFont val="Arial"/>
        <family val="2"/>
        <charset val="238"/>
      </rPr>
      <t>2</t>
    </r>
    <r>
      <rPr>
        <sz val="9"/>
        <color rgb="FF000000"/>
        <rFont val="Arial"/>
        <family val="2"/>
        <charset val="238"/>
      </rPr>
      <t>/osobę, w pomieszczeniach z łóżkami piętrowymi nie mniej niż 2 m</t>
    </r>
    <r>
      <rPr>
        <vertAlign val="superscript"/>
        <sz val="9"/>
        <color rgb="FF000000"/>
        <rFont val="Arial"/>
        <family val="2"/>
        <charset val="238"/>
      </rPr>
      <t>2</t>
    </r>
    <r>
      <rPr>
        <sz val="9"/>
        <color rgb="FF000000"/>
        <rFont val="Arial"/>
        <family val="2"/>
        <charset val="238"/>
      </rPr>
      <t>/osobę;</t>
    </r>
  </si>
  <si>
    <t xml:space="preserve"> 8)   Wlicza się tylko koszty, o których mowa w art. 14 pkt 2 ustawy.</t>
  </si>
  <si>
    <r>
      <t xml:space="preserve"> 4) </t>
    </r>
    <r>
      <rPr>
        <sz val="9"/>
        <color rgb="FF000000"/>
        <rFont val="Arial"/>
        <family val="2"/>
        <charset val="238"/>
      </rPr>
      <t xml:space="preserve"> sypialnie z co najmniej 1 otwieranym oknem na pomieszczenie lub wentylacją przewidzianą dla pomieszczeń mieszkalnych bez otwieranych okien;</t>
    </r>
  </si>
  <si>
    <r>
      <t xml:space="preserve"> 5) </t>
    </r>
    <r>
      <rPr>
        <sz val="9"/>
        <color rgb="FF000000"/>
        <rFont val="Arial"/>
        <family val="2"/>
        <charset val="238"/>
      </rPr>
      <t xml:space="preserve"> sanitariaty (urządzenie natryskowe - 1 dla 15 osób, miska ustępowa - 1 dla 10 kobiet oraz 1 dla 20 mężczyzn, pisuar - 1 dla 20 mężczyzn, umywalka - 1 dla 5 osób, dostęp do bieżącej ciepłej i zimnej wody oraz możliwość przeprowadzenia zabiegów higienicznych);</t>
    </r>
  </si>
  <si>
    <r>
      <t xml:space="preserve"> 6) </t>
    </r>
    <r>
      <rPr>
        <sz val="9"/>
        <color rgb="FF000000"/>
        <rFont val="Arial"/>
        <family val="2"/>
        <charset val="238"/>
      </rPr>
      <t xml:space="preserve"> jadalnia/świetlica (pomieszczenie do spożywania posiłków, które poza porami posiłków może pełnić funkcję świetlicy lub sali spotkań grupowych);</t>
    </r>
  </si>
  <si>
    <r>
      <t xml:space="preserve"> 7) </t>
    </r>
    <r>
      <rPr>
        <sz val="9"/>
        <color rgb="FF000000"/>
        <rFont val="Arial"/>
        <family val="2"/>
        <charset val="238"/>
      </rPr>
      <t xml:space="preserve"> pomieszczenie biurowe (wydzielone pomieszczenie do prac biurowych oraz indywidualnych rozmów z osobami bezdomnymi);</t>
    </r>
  </si>
  <si>
    <r>
      <t xml:space="preserve"> 8) </t>
    </r>
    <r>
      <rPr>
        <sz val="9"/>
        <color rgb="FF000000"/>
        <rFont val="Arial"/>
        <family val="2"/>
        <charset val="238"/>
      </rPr>
      <t xml:space="preserve"> magazyn odzieży, bielizny, pościeli (pomieszczenia wyposażone w regały, szafy i inne meble umożliwiające wymianę rzeczy brudnych i czystych);</t>
    </r>
  </si>
  <si>
    <r>
      <t xml:space="preserve"> 9) </t>
    </r>
    <r>
      <rPr>
        <sz val="9"/>
        <color rgb="FF000000"/>
        <rFont val="Arial"/>
        <family val="2"/>
        <charset val="238"/>
      </rPr>
      <t xml:space="preserve"> magazyn środków chemicznych (wydzielone pomieszczenie na środki czystości i higieny);</t>
    </r>
  </si>
  <si>
    <r>
      <t xml:space="preserve"> 10) </t>
    </r>
    <r>
      <rPr>
        <sz val="9"/>
        <color rgb="FF000000"/>
        <rFont val="Arial"/>
        <family val="2"/>
        <charset val="238"/>
      </rPr>
      <t xml:space="preserve"> pralnia (wydzielone pomieszczenie wyposażone co najmniej w 1 pralkę dla 30 osób).</t>
    </r>
  </si>
  <si>
    <r>
      <t xml:space="preserve"> 5. </t>
    </r>
    <r>
      <rPr>
        <sz val="9"/>
        <color rgb="FF000000"/>
        <rFont val="Arial"/>
        <family val="2"/>
        <charset val="238"/>
      </rPr>
      <t xml:space="preserve"> Charakterystyka schroniska dla bezdomnych (czy dana cecha występuje):</t>
    </r>
  </si>
  <si>
    <r>
      <t xml:space="preserve"> 1) </t>
    </r>
    <r>
      <rPr>
        <sz val="9"/>
        <color rgb="FF000000"/>
        <rFont val="Arial"/>
        <family val="2"/>
        <charset val="238"/>
      </rPr>
      <t xml:space="preserve"> liczba miejsc nie większa niż 80;</t>
    </r>
  </si>
  <si>
    <r>
      <t xml:space="preserve"> 2) </t>
    </r>
    <r>
      <rPr>
        <sz val="9"/>
        <color rgb="FF000000"/>
        <rFont val="Arial"/>
        <family val="2"/>
        <charset val="238"/>
      </rPr>
      <t xml:space="preserve"> nie więcej niż 10 osób w jednym pomieszczeniu mieszkalnym;</t>
    </r>
  </si>
  <si>
    <r>
      <t xml:space="preserve"> 3) </t>
    </r>
    <r>
      <rPr>
        <sz val="9"/>
        <color rgb="FF000000"/>
        <rFont val="Arial"/>
        <family val="2"/>
        <charset val="238"/>
      </rPr>
      <t xml:space="preserve"> powierzchnia przypadająca na osobę w pomieszczeniu mieszkalnym - nie mniej niż 4 m</t>
    </r>
    <r>
      <rPr>
        <vertAlign val="superscript"/>
        <sz val="9"/>
        <color rgb="FF000000"/>
        <rFont val="Arial"/>
        <family val="2"/>
        <charset val="238"/>
      </rPr>
      <t>2</t>
    </r>
    <r>
      <rPr>
        <sz val="9"/>
        <color rgb="FF000000"/>
        <rFont val="Arial"/>
        <family val="2"/>
        <charset val="238"/>
      </rPr>
      <t>/osobę, w pomieszczeniach z łóżkami piętrowymi nie mniej niż 3 m</t>
    </r>
    <r>
      <rPr>
        <vertAlign val="superscript"/>
        <sz val="9"/>
        <color rgb="FF000000"/>
        <rFont val="Arial"/>
        <family val="2"/>
        <charset val="238"/>
      </rPr>
      <t>2</t>
    </r>
    <r>
      <rPr>
        <sz val="9"/>
        <color rgb="FF000000"/>
        <rFont val="Arial"/>
        <family val="2"/>
        <charset val="238"/>
      </rPr>
      <t>/osobę;</t>
    </r>
  </si>
  <si>
    <r>
      <t xml:space="preserve"> 4) </t>
    </r>
    <r>
      <rPr>
        <sz val="9"/>
        <color rgb="FF000000"/>
        <rFont val="Arial"/>
        <family val="2"/>
        <charset val="238"/>
      </rPr>
      <t xml:space="preserve"> pomieszczenia mieszkalne z co najmniej 1 oknem;</t>
    </r>
  </si>
  <si>
    <r>
      <t xml:space="preserve"> 6) </t>
    </r>
    <r>
      <rPr>
        <sz val="9"/>
        <color rgb="FF000000"/>
        <rFont val="Arial"/>
        <family val="2"/>
        <charset val="238"/>
      </rPr>
      <t xml:space="preserve"> kuchnia do sporządzania indywidualnych posiłków (wydzielone pomieszczenie do samodzielnego przygotowywania posiłków wyposażone w co najmniej jedną kuchenkę i lodówkę oraz szafki kuchenne);</t>
    </r>
  </si>
  <si>
    <r>
      <t xml:space="preserve"> 7) </t>
    </r>
    <r>
      <rPr>
        <sz val="9"/>
        <color rgb="FF000000"/>
        <rFont val="Arial"/>
        <family val="2"/>
        <charset val="238"/>
      </rPr>
      <t xml:space="preserve"> jadalnia/świetlica (pomieszczenie do spożywania posiłków, które poza porami posiłków może pełnić funkcję świetlicy lub sali spotkań grupowych);</t>
    </r>
  </si>
  <si>
    <r>
      <t xml:space="preserve"> 8) </t>
    </r>
    <r>
      <rPr>
        <sz val="9"/>
        <color rgb="FF000000"/>
        <rFont val="Arial"/>
        <family val="2"/>
        <charset val="238"/>
      </rPr>
      <t xml:space="preserve"> pralnia i suszarnia (pomieszczenie na pralnię i suszarnię wyposażone w co najmniej jedną pralkę na 30 osób; w przypadku braku suszarni - dostęp do co najmniej jednej suszarki elektrycznej na 30 osób);</t>
    </r>
  </si>
  <si>
    <r>
      <t xml:space="preserve"> 9) </t>
    </r>
    <r>
      <rPr>
        <sz val="9"/>
        <color rgb="FF000000"/>
        <rFont val="Arial"/>
        <family val="2"/>
        <charset val="238"/>
      </rPr>
      <t xml:space="preserve"> pomieszczenie biurowe (wydzielone pomieszczenie do prac biurowych);</t>
    </r>
  </si>
  <si>
    <r>
      <t xml:space="preserve"> 10) </t>
    </r>
    <r>
      <rPr>
        <sz val="9"/>
        <color rgb="FF000000"/>
        <rFont val="Arial"/>
        <family val="2"/>
        <charset val="238"/>
      </rPr>
      <t xml:space="preserve"> magazyn odzieży, bielizny, pościeli (pomieszczenia wyposażone w regały, szafy i inne meble umożliwiające wymianę rzeczy brudnych i czystych);</t>
    </r>
  </si>
  <si>
    <r>
      <t xml:space="preserve"> 11) </t>
    </r>
    <r>
      <rPr>
        <sz val="9"/>
        <color rgb="FF000000"/>
        <rFont val="Arial"/>
        <family val="2"/>
        <charset val="238"/>
      </rPr>
      <t xml:space="preserve"> magazyn środków chemicznych (wydzielone pomieszczenie na środki czystości i higieny);</t>
    </r>
  </si>
  <si>
    <r>
      <t xml:space="preserve"> 12) </t>
    </r>
    <r>
      <rPr>
        <sz val="9"/>
        <color rgb="FF000000"/>
        <rFont val="Arial"/>
        <family val="2"/>
        <charset val="238"/>
      </rPr>
      <t xml:space="preserve"> pokój spotkań indywidualnych (wydzielone pomieszczenie do spotkań indywidualnych);</t>
    </r>
  </si>
  <si>
    <r>
      <t xml:space="preserve"> 13) </t>
    </r>
    <r>
      <rPr>
        <sz val="9"/>
        <color rgb="FF000000"/>
        <rFont val="Arial"/>
        <family val="2"/>
        <charset val="238"/>
      </rPr>
      <t xml:space="preserve"> pracownia komputerowa (wydzielone pomieszczenie lub jego część, wyposażone w komputer z dostępem do internetu).</t>
    </r>
  </si>
  <si>
    <r>
      <t xml:space="preserve"> 6. </t>
    </r>
    <r>
      <rPr>
        <sz val="9"/>
        <color rgb="FF000000"/>
        <rFont val="Arial"/>
        <family val="2"/>
        <charset val="238"/>
      </rPr>
      <t xml:space="preserve"> Charakterystyka ogrzewalni (czy dana cecha występuje):</t>
    </r>
  </si>
  <si>
    <r>
      <t xml:space="preserve"> 1) </t>
    </r>
    <r>
      <rPr>
        <sz val="9"/>
        <color rgb="FF000000"/>
        <rFont val="Arial"/>
        <family val="2"/>
        <charset val="238"/>
      </rPr>
      <t xml:space="preserve"> liczba miejsc nie większa niż 50;</t>
    </r>
  </si>
  <si>
    <r>
      <t xml:space="preserve"> 2) </t>
    </r>
    <r>
      <rPr>
        <sz val="9"/>
        <color rgb="FF000000"/>
        <rFont val="Arial"/>
        <family val="2"/>
        <charset val="238"/>
      </rPr>
      <t xml:space="preserve"> liczba miejsc siedzących dla nie więcej niż 25 osób w jednym pomieszczeniu pobytowym;</t>
    </r>
  </si>
  <si>
    <r>
      <t xml:space="preserve"> 3) </t>
    </r>
    <r>
      <rPr>
        <sz val="9"/>
        <color rgb="FF000000"/>
        <rFont val="Arial"/>
        <family val="2"/>
        <charset val="238"/>
      </rPr>
      <t xml:space="preserve"> powierzchnia przypadająca na osobę w pomieszczeniu pobytowym - nie mniej niż 2 m</t>
    </r>
    <r>
      <rPr>
        <vertAlign val="superscript"/>
        <sz val="9"/>
        <color rgb="FF000000"/>
        <rFont val="Arial"/>
        <family val="2"/>
        <charset val="238"/>
      </rPr>
      <t>2</t>
    </r>
    <r>
      <rPr>
        <sz val="9"/>
        <color rgb="FF000000"/>
        <rFont val="Arial"/>
        <family val="2"/>
        <charset val="238"/>
      </rPr>
      <t>/osobę;</t>
    </r>
  </si>
  <si>
    <r>
      <t xml:space="preserve"> 4) </t>
    </r>
    <r>
      <rPr>
        <sz val="9"/>
        <color rgb="FF000000"/>
        <rFont val="Arial"/>
        <family val="2"/>
        <charset val="238"/>
      </rPr>
      <t xml:space="preserve"> sanitariaty (miska ustępowa - 1 dla 20 kobiet oraz 1 dla 30 mężczyzn, pisuar - 1 dla 30 mężczyzn, umywalka - 1 dla 20 osób, stały dostęp do bieżącej ciepłej i zimnej wody oraz możliwość przeprowadzenia zabiegów higienicznych);</t>
    </r>
  </si>
  <si>
    <r>
      <t xml:space="preserve"> 5) </t>
    </r>
    <r>
      <rPr>
        <sz val="9"/>
        <color rgb="FF000000"/>
        <rFont val="Arial"/>
        <family val="2"/>
        <charset val="238"/>
      </rPr>
      <t xml:space="preserve"> pomieszczenie biurowe (wydzielone pomieszczenie do prac biurowych oraz indywidualnych rozmów z osobami bezdomnymi).</t>
    </r>
  </si>
  <si>
    <r>
      <t xml:space="preserve"> 7. </t>
    </r>
    <r>
      <rPr>
        <sz val="9"/>
        <color rgb="FF000000"/>
        <rFont val="Arial"/>
        <family val="2"/>
        <charset val="238"/>
      </rPr>
      <t xml:space="preserve"> Dostosowanie do potrzeb osób niepełnosprawnych ruchowo (podjazdy dla wózków inwalidzkich, ciągi komunikacyjne w budynku, winda lub inne rozwiązania architektoniczne).</t>
    </r>
  </si>
  <si>
    <r>
      <t xml:space="preserve"> B. </t>
    </r>
    <r>
      <rPr>
        <sz val="9"/>
        <color rgb="FF000000"/>
        <rFont val="Arial"/>
        <family val="2"/>
        <charset val="238"/>
      </rPr>
      <t xml:space="preserve"> Remont lub przebudowa budynku niemieszkalnego, przeznaczonego na pobyt ludzi, będącego własnością gminy, jednoosobowej spółki gminnej, związku międzygminnego albo organizacji pożytku publicznego, albo części takiego budynku - zakres informacji jak w lit. A.</t>
    </r>
  </si>
  <si>
    <r>
      <t xml:space="preserve"> C. </t>
    </r>
    <r>
      <rPr>
        <sz val="9"/>
        <color rgb="FF000000"/>
        <rFont val="Arial"/>
        <family val="2"/>
        <charset val="238"/>
      </rPr>
      <t xml:space="preserve"> Remont lub przebudowa budynku mieszkalnego, będącego własnością gminy lub jednoosobowej spółki gminnej, albo części takiego budynku, jeżeli budynek mieszkalny albo jego część, ze względu na stan techniczny został wyłączony z użytkowania albo zakazano jego użytkowania na podstawie art. 66 ust. 2 albo art. 68 pkt 1 ustawy z dnia 7 lipca 1994 r. - Prawo budowlane - zakres informacji jak w lit. A.</t>
    </r>
  </si>
  <si>
    <r>
      <t xml:space="preserve"> D. </t>
    </r>
    <r>
      <rPr>
        <sz val="9"/>
        <color rgb="FF000000"/>
        <rFont val="Arial"/>
        <family val="2"/>
        <charset val="238"/>
      </rPr>
      <t xml:space="preserve"> Zmiana sposobu użytkowania budynku będącego własnością gminy, jednoosobowej spółki gminnej, związku międzygminnego albo organizacji pożytku publicznego, albo części takiego budynku, wymagającej dokonania remontu lub przebudowy - zakres informacji jak w lit. A.</t>
    </r>
  </si>
  <si>
    <t>Beneficjent wsparcia</t>
  </si>
  <si>
    <t>Nazwa</t>
  </si>
  <si>
    <t>Numer identyfikacji podatkowej NIP</t>
  </si>
  <si>
    <t>Dane służbowe osoby bezpośrednio prowadzącej sprawę</t>
  </si>
  <si>
    <t>II.</t>
  </si>
  <si>
    <t>Dane dotyczące realizowanego przedsięwzięcia</t>
  </si>
  <si>
    <t>III.</t>
  </si>
  <si>
    <t>Rodzaj przedsięwzięcia (należy wskazać właściwe)</t>
  </si>
  <si>
    <t>I. Dane Wnioskodawcy</t>
  </si>
  <si>
    <t>Gmina</t>
  </si>
  <si>
    <t>Doprecyzowanie beneficjenta wsparcia</t>
  </si>
  <si>
    <t>Jednoosobowa spółka gminna</t>
  </si>
  <si>
    <t>Powiat</t>
  </si>
  <si>
    <t>Związek międzygminny</t>
  </si>
  <si>
    <t>Organizacja pożytku publicznego</t>
  </si>
  <si>
    <t>Spółka celowa</t>
  </si>
  <si>
    <t>podstawowa jednostka samorządu terytorialnego, o której mowa w art. 1 ust. 2 ustawy z dnia 8 marca 1990 r. o samorządzie gminnym (Dz. U. z 2017 r. poz. 1875 z późn. zm.).</t>
  </si>
  <si>
    <t>spółki z ograniczoną odpowiedzialnością lub spółki akcyjne, niedziałające w formie towarzystwa budownictwa społecznego, których wszystkie udziały albo akcje należą do jednego wspólnika albo akcjonariusza, a tym wspólnikiem albo akcjonariuszem jest gmina i którym gmina powierzyła realizację zadania własnego w zakresie zaspokajania potrzeb mieszkaniowych wspólnoty samorządowej</t>
  </si>
  <si>
    <t>związki międzygminne, o których mowa w art. 64 ustawy z dnia 8 marca 1990 r. o samorządzie gminnym (Dz. U. z 2017 r. poz. 1875 z późn. zm.) Związki międzygminne tworzone są przez gminy w celu wspólnego wykonywania zadań publicznych</t>
  </si>
  <si>
    <t>jednostka samorządu terytorialnego II stopnia, o którejh mowa w art. 1 ust. 2 ustawy z dnia 5 czerwca 1998 r. o samorządzie powiatowym (Dz. U. z 2017 r. poz. 1868 z późn. zm.)</t>
  </si>
  <si>
    <t>podmiot, któremu przysługuje status organizacji pożytku publicznego w rozumieniu ustawy z dnia 24 kwietnia 2003 r. o działalności pożytku publicznego i o wolontariacie (Dz. U. z 2018 r. poz. 450)</t>
  </si>
  <si>
    <t>jak wyżej</t>
  </si>
  <si>
    <t>Wnioskowana kwota finansowego wsparcia (zł)</t>
  </si>
  <si>
    <t>Przewidywana data rozpoczęcia realizacji przedsięwzięcia (miesiąc słownie i rok)</t>
  </si>
  <si>
    <t>Przewidywana data zakończenia realizacji przedsięwzięcia (miesiąc słownie i rok)</t>
  </si>
  <si>
    <t>Wsparcie finansowe na podstawie ustawy</t>
  </si>
  <si>
    <t>Łącznie</t>
  </si>
  <si>
    <t>IV.</t>
  </si>
  <si>
    <t>V.</t>
  </si>
  <si>
    <t xml:space="preserve">Inne źródła </t>
  </si>
  <si>
    <r>
      <t xml:space="preserve"> E. </t>
    </r>
    <r>
      <rPr>
        <sz val="9"/>
        <color rgb="FF000000"/>
        <rFont val="Arial"/>
        <family val="2"/>
        <charset val="238"/>
      </rPr>
      <t xml:space="preserve"> Remont lub przebudowa istniejących noclegowni, schronisk dla bezdomnych lub ogrzewalni, w wyniku którego nastąpi dostosowanie noclegowni, schroniska dla bezdomnych lub ogrzewalni do standardów, o których mowa w przepisach wydanych na podstawie art. 48a ust. 14 ustawy z dnia 12 marca 2004 r. o pomocy społecznej - zakres informacji jak w lit. A. </t>
    </r>
  </si>
  <si>
    <t>A. Charakterystyka przedsięwzięcia określonego w art. 5 ustawy</t>
  </si>
  <si>
    <t>Przedsięwzięcie</t>
  </si>
  <si>
    <t>Rodzaj przedsięwzięcia</t>
  </si>
  <si>
    <t>A. Charakterystyka przedsięwzięcia określonego w art. 3 ustawy</t>
  </si>
  <si>
    <t>Nie wlicza się wartości lub kosztu nabycia gruntu. Wlicza się koszt wyposażenia lokalu, o którym mowa w art. 6b ustawy.</t>
  </si>
  <si>
    <r>
      <t xml:space="preserve"> 1) </t>
    </r>
    <r>
      <rPr>
        <sz val="9"/>
        <color rgb="FF000000"/>
        <rFont val="Arial"/>
        <family val="2"/>
        <charset val="238"/>
      </rPr>
      <t xml:space="preserve"> w przypadku gminy - wójta (burmistrza, prezydenta miasta);</t>
    </r>
  </si>
  <si>
    <r>
      <t xml:space="preserve"> 2) </t>
    </r>
    <r>
      <rPr>
        <sz val="9"/>
        <color rgb="FF000000"/>
        <rFont val="Arial"/>
        <family val="2"/>
        <charset val="238"/>
      </rPr>
      <t xml:space="preserve"> w przypadku związku międzygminnego - zarząd związku;</t>
    </r>
  </si>
  <si>
    <r>
      <t xml:space="preserve"> 3) </t>
    </r>
    <r>
      <rPr>
        <sz val="9"/>
        <color rgb="FF000000"/>
        <rFont val="Arial"/>
        <family val="2"/>
        <charset val="238"/>
      </rPr>
      <t xml:space="preserve"> w przypadku powiatu - starostę;</t>
    </r>
  </si>
  <si>
    <r>
      <t xml:space="preserve"> 4) </t>
    </r>
    <r>
      <rPr>
        <sz val="9"/>
        <color rgb="FF000000"/>
        <rFont val="Arial"/>
        <family val="2"/>
        <charset val="238"/>
      </rPr>
      <t xml:space="preserve"> w przypadku jednoosobowej spółki gminnej, spółki celowej i organizacji pożytku publicznego - osobę lub osoby uprawnione do składania oświadczeń woli w imieniu spółki i organizacji (należy dołączyć aktualny dokument potwierdzający uprawnienia).</t>
    </r>
  </si>
  <si>
    <t>VII. Oświadczenie o prawdziwości danych zawartych we wniosku, podpisane przez</t>
  </si>
  <si>
    <t>Załącznik nr</t>
  </si>
  <si>
    <t>Nie dotyczy</t>
  </si>
  <si>
    <t xml:space="preserve">Wniosek o udzielenie wsparcia finansowego z Funduszu Dopłat w ramach realizacji przez </t>
  </si>
  <si>
    <t>Bank Gospodarstwa Krajowego rządowego programu budownictwa komunalnego</t>
  </si>
  <si>
    <t>Rodzaj zasobu</t>
  </si>
  <si>
    <t>Jednoosobowa Spółka Gminna</t>
  </si>
  <si>
    <t>Związek Międzygminny</t>
  </si>
  <si>
    <t>Mieszkania (Powódź)</t>
  </si>
  <si>
    <t>Objaśnienia do tabeli:</t>
  </si>
  <si>
    <t>BB - budowa budynku</t>
  </si>
  <si>
    <t>BB-TBS - budowa budynku przez TBS lub SG</t>
  </si>
  <si>
    <t>K - kupno lub kupno połączone z remontem</t>
  </si>
  <si>
    <t>RPB - remont lub przebudowa budynku niemieszkalnego lub mieszkalnego z decyzją PINB (art. 66 ust. 2 lub art. 68 pkt 1 Prawa budowlanego)</t>
  </si>
  <si>
    <t>RPBn - remont lub przebudowa budynku niemieszkalnego</t>
  </si>
  <si>
    <t>RPBn/ZSUB –TBS/SG - remont lub przebudowa budynku niemieszkalnego przez TBS lub SG</t>
  </si>
  <si>
    <t>ZSUB - zmiana sposobu użytkowania budynku</t>
  </si>
  <si>
    <t>* 5 % dodatkowo, w przypadku przedsięwzięć, w których nie mniej niż 5 % lokali mieszkalnych przeznaczonych będzie dla rodzin wg ustawy o wsparciu kobiet i rodzin "za życiem" lub w przypadku przedsięwzięcia, o którym mowa w art. 15 ust. 1 pkt 5 lit. a ustawy o rewitalizacji</t>
  </si>
  <si>
    <t>** przedsięwzięcie polegające na budowie ogrzewalni jest możliwe tylko w przypadku, gdy w budynku powstanie również noclegownia lub schronisko dla bezdomnych</t>
  </si>
  <si>
    <t>Mieszkania Zakładowe</t>
  </si>
  <si>
    <t>Żółte pola wypełnią się automatycznie.</t>
  </si>
  <si>
    <t>data wniosku</t>
  </si>
  <si>
    <t>miejscowość</t>
  </si>
  <si>
    <t>Wybierz beneficjenta wsparcia</t>
  </si>
  <si>
    <t>Lp.</t>
  </si>
  <si>
    <t>Razem</t>
  </si>
  <si>
    <t>n/d</t>
  </si>
  <si>
    <t>NIE</t>
  </si>
  <si>
    <t>TAK</t>
  </si>
  <si>
    <t xml:space="preserve">B.  Charakterystyka przedsięwzięcia określonego w art. 4 ustawy </t>
  </si>
  <si>
    <r>
      <t xml:space="preserve">1. </t>
    </r>
    <r>
      <rPr>
        <sz val="9"/>
        <color rgb="FF000000"/>
        <rFont val="Arial"/>
        <family val="2"/>
        <charset val="238"/>
      </rPr>
      <t xml:space="preserve"> Noclegownia: </t>
    </r>
  </si>
  <si>
    <t xml:space="preserve"> F.  Liczba miejsc w noclegowniach.</t>
  </si>
  <si>
    <t>Lokale mieszkalne z prawem do podnajmowania art. 5a *</t>
  </si>
  <si>
    <t>W przypadku większej ilości budynków wprowadź dla każdego z budynków wielkość wynikającą z dokumentacji technicznej</t>
  </si>
  <si>
    <t>W przypadku wiekszej ilości budynków wprowadź wszystkie adresy</t>
  </si>
  <si>
    <t>Dla wszystkich budynków łącznie</t>
  </si>
  <si>
    <t>NIE DOTYCZY</t>
  </si>
  <si>
    <t>Maksymalne finansowe wsparcie nie może przekroczyć:</t>
  </si>
  <si>
    <t>Budowa budynku</t>
  </si>
  <si>
    <t>Budowa budynku **</t>
  </si>
  <si>
    <t>Kupno lub kupno połączone z remontem</t>
  </si>
  <si>
    <t>Zmiana sposobu użytkowania budynku</t>
  </si>
  <si>
    <t>Remont lub przebudowa budynku niemieszkalnego</t>
  </si>
  <si>
    <t>Wybierz rodzaj przedsięwzięcia</t>
  </si>
  <si>
    <t>Lokale Mieszkalne na Wynajem art. 5</t>
  </si>
  <si>
    <t>Ogrzewalnie art. 4 *</t>
  </si>
  <si>
    <t>Dostosowanie Standardów Noclegowni art. 4</t>
  </si>
  <si>
    <t>Dostosowanie Standardów Ogrzewalni art. 4</t>
  </si>
  <si>
    <t>Noclegownie art. 4 *</t>
  </si>
  <si>
    <t>Schroniska dla bezdomnych art. 4*</t>
  </si>
  <si>
    <t>Pomieszczenia tymczasowe art. 3 *</t>
  </si>
  <si>
    <t>Wielkość finansowego wsparcia</t>
  </si>
  <si>
    <t>A. Charakterystyka przedsięwzięcia określonego w art. 5 lub art. 5a ustawy</t>
  </si>
  <si>
    <t xml:space="preserve"> (PRZY BUDOWIE OGRZEWALNI MUSI POWSTAĆ ZARAZEM NOCLEGOWNIA LUB SCHRONISKO DLA BEZDOMNYCH)</t>
  </si>
  <si>
    <t>Remont lub przebudowa istniejącej noclegowni</t>
  </si>
  <si>
    <t>Remont lub przebudowa istniejącego schroniska dla bezdomnych</t>
  </si>
  <si>
    <t>Remont lub przebudowa istniejącej ogrzewalni</t>
  </si>
  <si>
    <t>Uwagi, komentarze przydatne przy wypełnianiu wniosku</t>
  </si>
  <si>
    <t>Nie dotyczy realizowanego przedsięwzięcia</t>
  </si>
  <si>
    <t>Wybierz właściwe oświadczenie</t>
  </si>
  <si>
    <t>oraz dodatkowo 5 %, w przypadku przedsięwzięć, w których nie mniej niż 5 % lokali mieszkalnych przeznaczonych będzie dla rodzin wg ustawy o wsparciu kobiet i rodzin "za życiem" lub w przypadku przedsięwzięcia, o którym mowa w art. 15 ust. 1 pkt 5 lit. a ustawy o rewitalizacji</t>
  </si>
  <si>
    <t xml:space="preserve"> H.  Liczba miejsc w ogrzewalniach.</t>
  </si>
  <si>
    <t>Data rozpoczęcia realizacji przedsięwzięcia nie może być późniejsza niż okres ważności pozwolenia na budowę</t>
  </si>
  <si>
    <t>jeżeli nie dotyczy wprowadź 0</t>
  </si>
  <si>
    <t>jeżeli nie dotyczy wprowadź nie dotyczy</t>
  </si>
  <si>
    <t xml:space="preserve">jeżeli nie dotyczy wprowadź nie dotyczy </t>
  </si>
  <si>
    <t>Wprowadź nr księgi wieczystej dla każdej z nieruchomości</t>
  </si>
  <si>
    <t>Imię i nazwisko/ nr telefonu</t>
  </si>
  <si>
    <t>Imię i nazwisko/ nr telefonu (opcjonalnie)</t>
  </si>
  <si>
    <r>
      <t xml:space="preserve">1)  </t>
    </r>
    <r>
      <rPr>
        <sz val="11"/>
        <color rgb="FF000000"/>
        <rFont val="Calibri"/>
        <family val="2"/>
        <charset val="238"/>
        <scheme val="minor"/>
      </rPr>
      <t>adres/y nieruchomości</t>
    </r>
  </si>
  <si>
    <r>
      <rPr>
        <b/>
        <sz val="11"/>
        <color rgb="FF000000"/>
        <rFont val="Calibri"/>
        <family val="2"/>
        <charset val="238"/>
        <scheme val="minor"/>
      </rPr>
      <t>4)</t>
    </r>
    <r>
      <rPr>
        <sz val="11"/>
        <color rgb="FF000000"/>
        <rFont val="Calibri"/>
        <family val="2"/>
        <charset val="238"/>
        <scheme val="minor"/>
      </rPr>
      <t xml:space="preserve">  liczba wszystkich lokali mieszkalnych w budynku</t>
    </r>
  </si>
  <si>
    <t>Wybierz nie dotyczy jeżeli, sprawę prowadzi jedna osoba</t>
  </si>
  <si>
    <t>Łącznie powinno zsumować się na całkowity koszt przedsięwzięcia</t>
  </si>
  <si>
    <t>Wnioskowana kwota finansowego wsparcia [zł]</t>
  </si>
  <si>
    <t>A. Charakterystyka przedsięwzięcia określonego w  art. 5a ustawy</t>
  </si>
  <si>
    <r>
      <t xml:space="preserve"> 2) </t>
    </r>
    <r>
      <rPr>
        <sz val="9"/>
        <color rgb="FF000000"/>
        <rFont val="Arial"/>
        <family val="2"/>
        <charset val="238"/>
      </rPr>
      <t xml:space="preserve"> w przypadku powiatu - starostę;</t>
    </r>
  </si>
  <si>
    <t>Wskaźnik kosztów kwalifikowanych &lt;0,00-100,00%&gt;</t>
  </si>
  <si>
    <t>oraz dodatkowo 5 %, w przypadku przedsięwzięć, w których nie mniej niż 5% lokali mieszkalnych przeznaczonych będzie dla rodzin wg ustawy o wsparciu kobiet i rodzin "za życiem" lub w przypadku przedsięwzięcia, o którym mowa w art. 15 ust. 1 pkt 5 lit. a ustawy o rewitalizacji</t>
  </si>
  <si>
    <t>Wysokość finansowego wsparcia [%]</t>
  </si>
  <si>
    <t>Kwota finansowego wsparcia [zł]</t>
  </si>
  <si>
    <t>Podwyższenie finansowego wsparcia</t>
  </si>
  <si>
    <t>Stawka Vat</t>
  </si>
  <si>
    <t>Kwota netto [zł]</t>
  </si>
  <si>
    <t>Kwota kosztów kwalifikowanych [zł]</t>
  </si>
  <si>
    <t>styczeń</t>
  </si>
  <si>
    <t>luty</t>
  </si>
  <si>
    <t>marzec</t>
  </si>
  <si>
    <t>kwiecień</t>
  </si>
  <si>
    <t>maj</t>
  </si>
  <si>
    <t>czerwiec</t>
  </si>
  <si>
    <t>lipiec</t>
  </si>
  <si>
    <t>sierpień</t>
  </si>
  <si>
    <t>wrzesień</t>
  </si>
  <si>
    <t>październik</t>
  </si>
  <si>
    <t>listopad</t>
  </si>
  <si>
    <t>grudzień</t>
  </si>
  <si>
    <t>Miesiąc</t>
  </si>
  <si>
    <t>Rok</t>
  </si>
  <si>
    <t>pierwszy kwartał</t>
  </si>
  <si>
    <t>drugi kwartał</t>
  </si>
  <si>
    <t>trzeci kwartał</t>
  </si>
  <si>
    <t>czwarty kwartał</t>
  </si>
  <si>
    <t>Lokale Mieszkalne (stanowiące mieszkaniowy zasobu gminy)*</t>
  </si>
  <si>
    <t>Data zakończenia realizacji przedsięwzięcia (miesiąc słownie i rok)</t>
  </si>
  <si>
    <t>Data rozpoczęcia realizacji przedsięwzięcia (miesiąc słownie i rok)</t>
  </si>
  <si>
    <t>oraz dodatkowo 5 %, w przypadku przedsięwzięć, w których nie mniej niż 5 % lokali mieszkalnych przeznaczonych będzie dla rodzin wg ustawy o wsparciu kobiet i rodzin "za życiem" lub w przypadku przedsięwzięcia, o którym mowa w art. 15 ust. 1 pkt 5 lit. a ustawy o rewitalizacji, w przypadkach bez finansowania zwrotnego</t>
  </si>
  <si>
    <t>Przez zakończenie realizacji przedsięwzięcia rozumie się sytuację, w której, zgodnie z odrębnymi przepisami, można przystąpić do użytkowania lokali mieszkalnych lub budynków pozyskanych w wyniku przedsięwzięcia</t>
  </si>
  <si>
    <t>Finansowe wsparcie może być udzielone na realizację przedsięwzięcia rozpoczętego przed dniem zawarcia umowy, o której mowa w art. 12, jeżeli wniosek o finansowe wsparcie, o którym mowa w art. 8, został złożony przez beneficjenta wsparcia przed upływem 12 miesięcy od dnia rozpoczęcia przedsięwzięcia</t>
  </si>
  <si>
    <t>Adres poczty elektronicznej/nr faksu</t>
  </si>
  <si>
    <t>Adres poczty elektronicznej/nr faksu (opcjonalnie)</t>
  </si>
  <si>
    <t>Kliknij "tutaj" i przejdź do wypełnienia zestawienia kosztów</t>
  </si>
  <si>
    <t>**** Wybierz Inwestora innego niż beneficjent  wsparcia dotyczy tylko Gminy lub Związku Międzygminnego</t>
  </si>
  <si>
    <t>Wróć do wypełniania wniosku</t>
  </si>
  <si>
    <t>Wybierz Inwestora innego niż beneficjent  wsparcia****</t>
  </si>
  <si>
    <t>Rodzaj przedsięwzięcia***</t>
  </si>
  <si>
    <t>*** jeżeli inwestycja dotyczy wielu rodzajów przedsięwzięć lub wielu rodzajów zasobów należy wybrać do wypełnienia wnioski z dopiskiem "inne" lub "mieszane"</t>
  </si>
  <si>
    <t>Inwestor - TBS albo spółka gmina - art. 5a</t>
  </si>
  <si>
    <t>Wysokość finansowego wsparcia</t>
  </si>
  <si>
    <t>Uwaga: Jeżeli dana pozycja kosztów nie ma zastosowania dla Twojego przedsięwzięcia możesz edytować zakres tabeli w kolumnach dotyczących wyszczególnienia rodzaju kosztów, stawek VAT dostosowując zestawienie kosztów do zakresu rzeczowego realizowanego przedsięwzięcia i kosztów w nim występujących. W przypadku gdy zakres rzeczowy przedsięwzięcia nie uwzględnia danych kosztów i nie masz potrzeby edycji zakresu tabeli w wierszach dotyczących kwoty netto oraz wskaźniku kosztów kwalifikowanych wprowadź zero. Jeżeli w zaproponowanym zestawieniu kosztów nie jesteś w stanie odzwierciedlić indywidualnego wyszczególnienia kosztów sporządź je w własnym zakresie, a w niniejszym zestawieniu wprowadź wartości zagregowanych kosztów.</t>
  </si>
  <si>
    <t>Środki własne beneficjenta wsparcia</t>
  </si>
  <si>
    <t>Przewidywana struktura finansowania przedsięwzięcia, z podziałem na</t>
  </si>
  <si>
    <t>Numer identyfikacyjny REGON</t>
  </si>
  <si>
    <r>
      <rPr>
        <b/>
        <sz val="11"/>
        <color rgb="FF000000"/>
        <rFont val="Calibri"/>
        <family val="2"/>
        <charset val="238"/>
        <scheme val="minor"/>
      </rPr>
      <t>2)</t>
    </r>
    <r>
      <rPr>
        <sz val="11"/>
        <color rgb="FF000000"/>
        <rFont val="Calibri"/>
        <family val="2"/>
        <charset val="238"/>
        <scheme val="minor"/>
      </rPr>
      <t xml:space="preserve">  liczba lokali mieszkalnych na wynajem w budynku tworzonych z udziałem gminy albo związku międzygminnego</t>
    </r>
  </si>
  <si>
    <t>Środki własne inwestora</t>
  </si>
  <si>
    <r>
      <t xml:space="preserve"> 4) </t>
    </r>
    <r>
      <rPr>
        <sz val="9"/>
        <color rgb="FF000000"/>
        <rFont val="Arial"/>
        <family val="2"/>
        <charset val="238"/>
      </rPr>
      <t xml:space="preserve"> w przypadku jednoosobowej spółki gminnej, organizacji pozarządowej albo podmiotów, o których mowa w art. 3 ust. 3 ustawy z dnia 24 kwietnia 2003 r. o działalności pożytku publicznego i o wolontariacie- osobę lub osoby uprawnione do składania oświadczeń woli w imieniu spółki i organizacji (należy dołączyć aktualny dokument potwierdzający uprawnienia)</t>
    </r>
  </si>
  <si>
    <r>
      <t xml:space="preserve"> 3) </t>
    </r>
    <r>
      <rPr>
        <sz val="9"/>
        <color rgb="FF000000"/>
        <rFont val="Arial"/>
        <family val="2"/>
        <charset val="238"/>
      </rPr>
      <t xml:space="preserve"> w przypadku jednoosobowej spółki gminnej, organizacji pozarządowej albo podmiotów, o których mowa w art. 3 ust. 3 ustawy z dnia 24 kwietnia 2003 r. o działalności pożytku publicznego i o wolontariacie- osobę lub osoby uprawnione do składania oświadczeń woli w imieniu spółki i organizacji (należy dołączyć aktualny dokument potwierdzający uprawnienia)</t>
    </r>
  </si>
  <si>
    <t>organizację pozarządową, o której mowa w art. 3 ust. 2 ustawy z dnia 24 kwietnia 2003 r. o działalności pożytku publicznego i o wolontariacie (Dz. U. z 2020 r. poz. 1057), zwanej dalej „organizacją pozarządową”,</t>
  </si>
  <si>
    <t>podmioty, o których mowa w art. 3 ust. 3 ustawy z dnia 24 kwietnia 2003 r. o działalności pożytku publicznego i o wolontariacie;”,</t>
  </si>
  <si>
    <t>Remont lub przebudowa budynku niemieszkalnego lub mieszkalnego</t>
  </si>
  <si>
    <t>III.  Rodzaj przedsięwzięcia (należy wskazać właściwe)</t>
  </si>
  <si>
    <t>Organizacja pozarządowa</t>
  </si>
  <si>
    <t>Podmioty, o których mowa w art. 3 ust. 3 ustawy  o działalności pożytku publicznego i wolontariacie</t>
  </si>
  <si>
    <t>Łącznie (bez wartości gruntu )</t>
  </si>
  <si>
    <t>J. Liczba lokali mieszkalnych zrealizowanych w ramach programu „Za życiem”.</t>
  </si>
  <si>
    <t>K. Liczba lokali mieszkalnych dla seniorów, o których mowa w art. 5b ustawy.</t>
  </si>
  <si>
    <t>Pieczęć i podpis beneficjenta wsparcia</t>
  </si>
  <si>
    <t>Pieczęć i podpis inwestora</t>
  </si>
  <si>
    <t>w tym tworzone</t>
  </si>
  <si>
    <t>w tym zmodernizowane</t>
  </si>
  <si>
    <t>DOLNOŚLĄSKIE</t>
  </si>
  <si>
    <t>bolesławiecki</t>
  </si>
  <si>
    <t>dzierżoniowski</t>
  </si>
  <si>
    <t>głogowski</t>
  </si>
  <si>
    <t>górowski</t>
  </si>
  <si>
    <t>jaworski</t>
  </si>
  <si>
    <t>jeleniogórski</t>
  </si>
  <si>
    <t>kamiennogórski</t>
  </si>
  <si>
    <t>kłodzki</t>
  </si>
  <si>
    <t>legnicki</t>
  </si>
  <si>
    <t>lubański</t>
  </si>
  <si>
    <t>lubiński</t>
  </si>
  <si>
    <t>lwówecki</t>
  </si>
  <si>
    <t>milicki</t>
  </si>
  <si>
    <t>oleśnicki</t>
  </si>
  <si>
    <t>oławski</t>
  </si>
  <si>
    <t>polkowicki</t>
  </si>
  <si>
    <t>strzeliński</t>
  </si>
  <si>
    <t>średzki</t>
  </si>
  <si>
    <t>świdnicki</t>
  </si>
  <si>
    <t>trzebnicki</t>
  </si>
  <si>
    <t>wałbrzyski</t>
  </si>
  <si>
    <t>wołowski</t>
  </si>
  <si>
    <t>wrocławski</t>
  </si>
  <si>
    <t>ząbkowicki</t>
  </si>
  <si>
    <t>zgorzelecki</t>
  </si>
  <si>
    <t>złotoryjski</t>
  </si>
  <si>
    <t>Jelenia Góra</t>
  </si>
  <si>
    <t>Legnica</t>
  </si>
  <si>
    <t>Wrocław</t>
  </si>
  <si>
    <t>Wałbrzych</t>
  </si>
  <si>
    <t>KUJAWSKO-POMORSKIE</t>
  </si>
  <si>
    <t>aleksandrowski</t>
  </si>
  <si>
    <t>brodnicki</t>
  </si>
  <si>
    <t>bydgoski</t>
  </si>
  <si>
    <t>chełmiński</t>
  </si>
  <si>
    <t>golubsko-dobrzyński</t>
  </si>
  <si>
    <t>grudziądzki</t>
  </si>
  <si>
    <t>inowrocławski</t>
  </si>
  <si>
    <t>lipnowski</t>
  </si>
  <si>
    <t>mogileński</t>
  </si>
  <si>
    <t>nakielski</t>
  </si>
  <si>
    <t>radziejowski</t>
  </si>
  <si>
    <t>rypiński</t>
  </si>
  <si>
    <t>sępoleński</t>
  </si>
  <si>
    <t>świecki</t>
  </si>
  <si>
    <t>toruński</t>
  </si>
  <si>
    <t>tucholski</t>
  </si>
  <si>
    <t>wąbrzeski</t>
  </si>
  <si>
    <t>włocławski</t>
  </si>
  <si>
    <t>żniński</t>
  </si>
  <si>
    <t>Bydgoszcz</t>
  </si>
  <si>
    <t>Grudziądz</t>
  </si>
  <si>
    <t>Toruń</t>
  </si>
  <si>
    <t>Włocławek</t>
  </si>
  <si>
    <t>LUBELSKIE</t>
  </si>
  <si>
    <t>bialski</t>
  </si>
  <si>
    <t>biłgorajski</t>
  </si>
  <si>
    <t>chełmski</t>
  </si>
  <si>
    <t>hrubieszowski</t>
  </si>
  <si>
    <t>janowski</t>
  </si>
  <si>
    <t>krasnostawski</t>
  </si>
  <si>
    <t>kraśnicki</t>
  </si>
  <si>
    <t>lubartowski</t>
  </si>
  <si>
    <t>lubelski</t>
  </si>
  <si>
    <t>łęczyński</t>
  </si>
  <si>
    <t>łukowski</t>
  </si>
  <si>
    <t>opolski</t>
  </si>
  <si>
    <t>parczewski</t>
  </si>
  <si>
    <t>puławski</t>
  </si>
  <si>
    <t>radzyński</t>
  </si>
  <si>
    <t>rycki</t>
  </si>
  <si>
    <t>tomaszowski</t>
  </si>
  <si>
    <t>włodawski</t>
  </si>
  <si>
    <t>zamojski</t>
  </si>
  <si>
    <t>Biała Podlaska</t>
  </si>
  <si>
    <t>Chełm</t>
  </si>
  <si>
    <t>Lublin</t>
  </si>
  <si>
    <t>Zamość</t>
  </si>
  <si>
    <t>LUBUSKIE</t>
  </si>
  <si>
    <t>gorzowski</t>
  </si>
  <si>
    <t>krośnieński</t>
  </si>
  <si>
    <t>międzyrzecki</t>
  </si>
  <si>
    <t>nowosolski</t>
  </si>
  <si>
    <t>słubicki</t>
  </si>
  <si>
    <t>strzelecko-drezdenecki</t>
  </si>
  <si>
    <t>sulęciński</t>
  </si>
  <si>
    <t>świebodziński</t>
  </si>
  <si>
    <t>zielonogórski</t>
  </si>
  <si>
    <t>żagański</t>
  </si>
  <si>
    <t>żarski</t>
  </si>
  <si>
    <t>wschowski</t>
  </si>
  <si>
    <t>Gorzów Wielkopolski</t>
  </si>
  <si>
    <t>Zielona Góra</t>
  </si>
  <si>
    <t>ŁÓDZKIE</t>
  </si>
  <si>
    <t>bełchatowski</t>
  </si>
  <si>
    <t>kutnowski</t>
  </si>
  <si>
    <t>łaski</t>
  </si>
  <si>
    <t>łęczycki</t>
  </si>
  <si>
    <t>łowicki</t>
  </si>
  <si>
    <t>łódzki wschodni</t>
  </si>
  <si>
    <t>opoczyński</t>
  </si>
  <si>
    <t>pabianicki</t>
  </si>
  <si>
    <t>pajęczański</t>
  </si>
  <si>
    <t>piotrkowski</t>
  </si>
  <si>
    <t>poddębicki</t>
  </si>
  <si>
    <t>radomszczański</t>
  </si>
  <si>
    <t>rawski</t>
  </si>
  <si>
    <t>sieradzki</t>
  </si>
  <si>
    <t>skierniewicki</t>
  </si>
  <si>
    <t>wieluński</t>
  </si>
  <si>
    <t>wieruszowski</t>
  </si>
  <si>
    <t>zduńskowolski</t>
  </si>
  <si>
    <t>zgierski</t>
  </si>
  <si>
    <t>brzeziński</t>
  </si>
  <si>
    <t>Łódź</t>
  </si>
  <si>
    <t>Piotrków Trybunalski</t>
  </si>
  <si>
    <t>Skierniewice</t>
  </si>
  <si>
    <t>MAŁOPOLSKIE</t>
  </si>
  <si>
    <t>bocheński</t>
  </si>
  <si>
    <t>brzeski</t>
  </si>
  <si>
    <t>chrzanowski</t>
  </si>
  <si>
    <t>dąbrowski</t>
  </si>
  <si>
    <t>gorlicki</t>
  </si>
  <si>
    <t>krakowski</t>
  </si>
  <si>
    <t>limanowski</t>
  </si>
  <si>
    <t>miechowski</t>
  </si>
  <si>
    <t>myślenicki</t>
  </si>
  <si>
    <t>nowosądecki</t>
  </si>
  <si>
    <t>nowotarski</t>
  </si>
  <si>
    <t>olkuski</t>
  </si>
  <si>
    <t>oświęcimski</t>
  </si>
  <si>
    <t>proszowicki</t>
  </si>
  <si>
    <t>suski</t>
  </si>
  <si>
    <t>tarnowski</t>
  </si>
  <si>
    <t>tatrzański</t>
  </si>
  <si>
    <t>wadowicki</t>
  </si>
  <si>
    <t>wielicki</t>
  </si>
  <si>
    <t>Kraków</t>
  </si>
  <si>
    <t>Nowy Sącz</t>
  </si>
  <si>
    <t>Tarnów</t>
  </si>
  <si>
    <t>MAZOWIECKIE</t>
  </si>
  <si>
    <t>białobrzeski</t>
  </si>
  <si>
    <t>ciechanowski</t>
  </si>
  <si>
    <t>garwoliński</t>
  </si>
  <si>
    <t>gostyniński</t>
  </si>
  <si>
    <t>grodziski</t>
  </si>
  <si>
    <t>grójecki</t>
  </si>
  <si>
    <t>kozienicki</t>
  </si>
  <si>
    <t>legionowski</t>
  </si>
  <si>
    <t>lipski</t>
  </si>
  <si>
    <t>łosicki</t>
  </si>
  <si>
    <t>makowski</t>
  </si>
  <si>
    <t>miński</t>
  </si>
  <si>
    <t>mławski</t>
  </si>
  <si>
    <t>nowodworski</t>
  </si>
  <si>
    <t>ostrołęcki</t>
  </si>
  <si>
    <t>ostrowski</t>
  </si>
  <si>
    <t>otwocki</t>
  </si>
  <si>
    <t>piaseczyński</t>
  </si>
  <si>
    <t>płocki</t>
  </si>
  <si>
    <t>płoński</t>
  </si>
  <si>
    <t>pruszkowski</t>
  </si>
  <si>
    <t>przasnyski</t>
  </si>
  <si>
    <t>przysuski</t>
  </si>
  <si>
    <t>pułtuski</t>
  </si>
  <si>
    <t>radomski</t>
  </si>
  <si>
    <t>siedlecki</t>
  </si>
  <si>
    <t>sierpecki</t>
  </si>
  <si>
    <t>sochaczewski</t>
  </si>
  <si>
    <t>sokołowski</t>
  </si>
  <si>
    <t>szydłowiecki</t>
  </si>
  <si>
    <t>warszawski zachodni</t>
  </si>
  <si>
    <t>węgrowski</t>
  </si>
  <si>
    <t>wołomiński</t>
  </si>
  <si>
    <t>wyszkowski</t>
  </si>
  <si>
    <t>zwoleński</t>
  </si>
  <si>
    <t>żuromiński</t>
  </si>
  <si>
    <t>żyrardowski</t>
  </si>
  <si>
    <t>Ostrołęka</t>
  </si>
  <si>
    <t>Płock</t>
  </si>
  <si>
    <t>Radom</t>
  </si>
  <si>
    <t>Siedlce</t>
  </si>
  <si>
    <t>Warszawa</t>
  </si>
  <si>
    <t>OPOLSKIE</t>
  </si>
  <si>
    <t>głubczycki</t>
  </si>
  <si>
    <t>kędzierzyńsko-kozielski</t>
  </si>
  <si>
    <t>kluczborski</t>
  </si>
  <si>
    <t>krapkowicki</t>
  </si>
  <si>
    <t>namysłowski</t>
  </si>
  <si>
    <t>nyski</t>
  </si>
  <si>
    <t>oleski</t>
  </si>
  <si>
    <t>prudnicki</t>
  </si>
  <si>
    <t>strzelecki</t>
  </si>
  <si>
    <t>Opole</t>
  </si>
  <si>
    <t>PODKARPACKIE</t>
  </si>
  <si>
    <t>bieszczadzki</t>
  </si>
  <si>
    <t>brzozowski</t>
  </si>
  <si>
    <t>dębicki</t>
  </si>
  <si>
    <t>jarosławski</t>
  </si>
  <si>
    <t>jasielski</t>
  </si>
  <si>
    <t>kolbuszowski</t>
  </si>
  <si>
    <t>leżajski</t>
  </si>
  <si>
    <t>lubaczowski</t>
  </si>
  <si>
    <t>łańcucki</t>
  </si>
  <si>
    <t>mielecki</t>
  </si>
  <si>
    <t>niżański</t>
  </si>
  <si>
    <t>przemyski</t>
  </si>
  <si>
    <t>przeworski</t>
  </si>
  <si>
    <t>ropczycko-sędziszowski</t>
  </si>
  <si>
    <t>rzeszowski</t>
  </si>
  <si>
    <t>sanocki</t>
  </si>
  <si>
    <t>stalowowolski</t>
  </si>
  <si>
    <t>strzyżowski</t>
  </si>
  <si>
    <t>tarnobrzeski</t>
  </si>
  <si>
    <t>leski</t>
  </si>
  <si>
    <t>Krosno</t>
  </si>
  <si>
    <t>Przemyśl</t>
  </si>
  <si>
    <t>Rzeszów</t>
  </si>
  <si>
    <t>Tarnobrzeg</t>
  </si>
  <si>
    <t>PODLASKIE</t>
  </si>
  <si>
    <t>augustowski</t>
  </si>
  <si>
    <t>białostocki</t>
  </si>
  <si>
    <t>bielski</t>
  </si>
  <si>
    <t>grajewski</t>
  </si>
  <si>
    <t>hajnowski</t>
  </si>
  <si>
    <t>kolneński</t>
  </si>
  <si>
    <t>łomżyński</t>
  </si>
  <si>
    <t>moniecki</t>
  </si>
  <si>
    <t>sejneński</t>
  </si>
  <si>
    <t>siemiatycki</t>
  </si>
  <si>
    <t>sokólski</t>
  </si>
  <si>
    <t>suwalski</t>
  </si>
  <si>
    <t>wysokomazowiecki</t>
  </si>
  <si>
    <t>zambrowski</t>
  </si>
  <si>
    <t>Białystok</t>
  </si>
  <si>
    <t>Łomża</t>
  </si>
  <si>
    <t>Suwałki</t>
  </si>
  <si>
    <t>POMORSKIE</t>
  </si>
  <si>
    <t>bytowski</t>
  </si>
  <si>
    <t>chojnicki</t>
  </si>
  <si>
    <t>człuchowski</t>
  </si>
  <si>
    <t>gdański</t>
  </si>
  <si>
    <t>kartuski</t>
  </si>
  <si>
    <t>kościerski</t>
  </si>
  <si>
    <t>kwidzyński</t>
  </si>
  <si>
    <t>lęborski</t>
  </si>
  <si>
    <t>malborski</t>
  </si>
  <si>
    <t>pucki</t>
  </si>
  <si>
    <t>słupski</t>
  </si>
  <si>
    <t>starogardzki</t>
  </si>
  <si>
    <t>tczewski</t>
  </si>
  <si>
    <t>wejherowski</t>
  </si>
  <si>
    <t>sztumski</t>
  </si>
  <si>
    <t>Gdańsk</t>
  </si>
  <si>
    <t>Gdynia</t>
  </si>
  <si>
    <t>Słupsk</t>
  </si>
  <si>
    <t>Sopot</t>
  </si>
  <si>
    <t>ŚLĄSKIE</t>
  </si>
  <si>
    <t>będziński</t>
  </si>
  <si>
    <t>cieszyński</t>
  </si>
  <si>
    <t>częstochowski</t>
  </si>
  <si>
    <t>gliwicki</t>
  </si>
  <si>
    <t>kłobucki</t>
  </si>
  <si>
    <t>lubliniecki</t>
  </si>
  <si>
    <t>mikołowski</t>
  </si>
  <si>
    <t>myszkowski</t>
  </si>
  <si>
    <t>pszczyński</t>
  </si>
  <si>
    <t>raciborski</t>
  </si>
  <si>
    <t>rybnicki</t>
  </si>
  <si>
    <t>tarnogórski</t>
  </si>
  <si>
    <t>bieruńsko-lędziński</t>
  </si>
  <si>
    <t>wodzisławski</t>
  </si>
  <si>
    <t>zawierciański</t>
  </si>
  <si>
    <t>żywiecki</t>
  </si>
  <si>
    <t>Bielsko-Biała</t>
  </si>
  <si>
    <t>Bytom</t>
  </si>
  <si>
    <t>Chorzów</t>
  </si>
  <si>
    <t>Częstochowa</t>
  </si>
  <si>
    <t>Dąbrowa Górnicza</t>
  </si>
  <si>
    <t>Gliwice</t>
  </si>
  <si>
    <t>Jastrzębie-Zdrój</t>
  </si>
  <si>
    <t>Jaworzno</t>
  </si>
  <si>
    <t>Katowice</t>
  </si>
  <si>
    <t>Mysłowice</t>
  </si>
  <si>
    <t>Piekary Śląskie</t>
  </si>
  <si>
    <t>Ruda Śląska</t>
  </si>
  <si>
    <t>Rybnik</t>
  </si>
  <si>
    <t>Siemianowice Śląskie</t>
  </si>
  <si>
    <t>Sosnowiec</t>
  </si>
  <si>
    <t>Świętochłowice</t>
  </si>
  <si>
    <t>Tychy</t>
  </si>
  <si>
    <t>Zabrze</t>
  </si>
  <si>
    <t>Żory</t>
  </si>
  <si>
    <t>ŚWIĘTOKRZYSKIE</t>
  </si>
  <si>
    <t>buski</t>
  </si>
  <si>
    <t>jędrzejowski</t>
  </si>
  <si>
    <t>kazimierski</t>
  </si>
  <si>
    <t>kielecki</t>
  </si>
  <si>
    <t>konecki</t>
  </si>
  <si>
    <t>opatowski</t>
  </si>
  <si>
    <t>ostrowiecki</t>
  </si>
  <si>
    <t>pińczowski</t>
  </si>
  <si>
    <t>sandomierski</t>
  </si>
  <si>
    <t>skarżyski</t>
  </si>
  <si>
    <t>starachowicki</t>
  </si>
  <si>
    <t>staszowski</t>
  </si>
  <si>
    <t>włoszczowski</t>
  </si>
  <si>
    <t>Kielce</t>
  </si>
  <si>
    <t>WARMIŃSKO-MAZURSKIE</t>
  </si>
  <si>
    <t>bartoszycki</t>
  </si>
  <si>
    <t>braniewski</t>
  </si>
  <si>
    <t>działdowski</t>
  </si>
  <si>
    <t>elbląski</t>
  </si>
  <si>
    <t>ełcki</t>
  </si>
  <si>
    <t>giżycki</t>
  </si>
  <si>
    <t>iławski</t>
  </si>
  <si>
    <t>kętrzyński</t>
  </si>
  <si>
    <t>lidzbarski</t>
  </si>
  <si>
    <t>mrągowski</t>
  </si>
  <si>
    <t>nidzicki</t>
  </si>
  <si>
    <t>nowomiejski</t>
  </si>
  <si>
    <t>olecki</t>
  </si>
  <si>
    <t>olsztyński</t>
  </si>
  <si>
    <t>ostródzki</t>
  </si>
  <si>
    <t>piski</t>
  </si>
  <si>
    <t>szczycieński</t>
  </si>
  <si>
    <t>gołdapski</t>
  </si>
  <si>
    <t>węgorzewski</t>
  </si>
  <si>
    <t>Elbląg</t>
  </si>
  <si>
    <t>Olsztyn</t>
  </si>
  <si>
    <t>WIELKOPOLSKIE</t>
  </si>
  <si>
    <t>chodzieski</t>
  </si>
  <si>
    <t>czarnkowsko-trzcianecki</t>
  </si>
  <si>
    <t>gnieźnieński</t>
  </si>
  <si>
    <t>gostyński</t>
  </si>
  <si>
    <t>jarociński</t>
  </si>
  <si>
    <t>kaliski</t>
  </si>
  <si>
    <t>kępiński</t>
  </si>
  <si>
    <t>kolski</t>
  </si>
  <si>
    <t>koniński</t>
  </si>
  <si>
    <t>kościański</t>
  </si>
  <si>
    <t>krotoszyński</t>
  </si>
  <si>
    <t>leszczyński</t>
  </si>
  <si>
    <t>międzychodzki</t>
  </si>
  <si>
    <t>nowotomyski</t>
  </si>
  <si>
    <t>obornicki</t>
  </si>
  <si>
    <t>ostrzeszowski</t>
  </si>
  <si>
    <t>pilski</t>
  </si>
  <si>
    <t>pleszewski</t>
  </si>
  <si>
    <t>poznański</t>
  </si>
  <si>
    <t>rawicki</t>
  </si>
  <si>
    <t>słupecki</t>
  </si>
  <si>
    <t>szamotulski</t>
  </si>
  <si>
    <t>śremski</t>
  </si>
  <si>
    <t>turecki</t>
  </si>
  <si>
    <t>wągrowiecki</t>
  </si>
  <si>
    <t>wolsztyński</t>
  </si>
  <si>
    <t>wrzesiński</t>
  </si>
  <si>
    <t>złotowski</t>
  </si>
  <si>
    <t>Kalisz</t>
  </si>
  <si>
    <t>Konin</t>
  </si>
  <si>
    <t>Leszno</t>
  </si>
  <si>
    <t>Poznań</t>
  </si>
  <si>
    <t>ZACHODNIOPOMORSKIE</t>
  </si>
  <si>
    <t>białogardzki</t>
  </si>
  <si>
    <t>choszczeński</t>
  </si>
  <si>
    <t>drawski</t>
  </si>
  <si>
    <t>goleniowski</t>
  </si>
  <si>
    <t>gryficki</t>
  </si>
  <si>
    <t>gryfiński</t>
  </si>
  <si>
    <t>kamieński</t>
  </si>
  <si>
    <t>kołobrzeski</t>
  </si>
  <si>
    <t>koszaliński</t>
  </si>
  <si>
    <t>myśliborski</t>
  </si>
  <si>
    <t>policki</t>
  </si>
  <si>
    <t>pyrzycki</t>
  </si>
  <si>
    <t>sławieński</t>
  </si>
  <si>
    <t>stargardzki</t>
  </si>
  <si>
    <t>szczecinecki</t>
  </si>
  <si>
    <t>świdwiński</t>
  </si>
  <si>
    <t>wałecki</t>
  </si>
  <si>
    <t>łobeski</t>
  </si>
  <si>
    <t>Koszalin</t>
  </si>
  <si>
    <t>Szczecin</t>
  </si>
  <si>
    <t>Świnoujście</t>
  </si>
  <si>
    <t>Kategoria</t>
  </si>
  <si>
    <t>Podkategoria</t>
  </si>
  <si>
    <t>Maksymalne finansowe wsparcie jest uzależnione od rodzaju przedsięwzięcia i wynosi dla budowy 80% lub 90% mieszkania dla powodzian</t>
  </si>
  <si>
    <t>Maksymalne finansowe wsparcie jest uzależnione od rodzaju przedsięwzięcia i wynosi 80% lub 90%  mieszkania dla powodzian</t>
  </si>
  <si>
    <t>Data zakończenie realizacji nie może być dłuższa niż 36 miesiący od przewidywanej daty rozpoczęcia przedsięwzięcia</t>
  </si>
  <si>
    <t>Przez rozpoczęcie realizacji przedsięwzięcia rozumie się zawarcie, umowy o której mowa w art. 5 ust. 2, przy czym rozpoczęcie przedsięwzięcia może nastąpić przed lub po podpisaniu Umowy o finansowe wsparcie pomiędzy Gminą z BGK, której zawarcie następuje po pozytywnym rozpatrzeniu wniosku o finansowe wsparcie</t>
  </si>
  <si>
    <t>Maksymalne finansowe wsparcie wynosi do 80%</t>
  </si>
  <si>
    <t>oraz dodatkowo 5 % w przypadku przedsięwzięcia, o którym mowa w art. 15 ust. 1 pkt 5 lit. a ustawy o rewitalizacji</t>
  </si>
  <si>
    <t xml:space="preserve">do 80% w przypadku BB/RPBn/ZSUB lokali mieszkalnych z prawem gminy do podnajmowania art. 5a </t>
  </si>
  <si>
    <t xml:space="preserve">do 80%  w przypadku BB lokali mieszkalnych z prawem gminy do podnajmowania art. 5a </t>
  </si>
  <si>
    <t>do 25% lub 35% w przypadku BB/RPBn/ZSUB lokali mieszkalnych przeznaczonych na wynajem art. 5</t>
  </si>
  <si>
    <t>Pieczęć i podpis Wójta, Burmistrza, Prezydenta Miasta</t>
  </si>
  <si>
    <t>G.</t>
  </si>
  <si>
    <t>H.</t>
  </si>
  <si>
    <t>III. Rodzaj przedsięwzięcia (należy wskazać właściwe)</t>
  </si>
  <si>
    <t>IV. Rodzaj i wielkość zasobu powstającego lub zmodernizowanego w wyniku przedsięwzięcia</t>
  </si>
  <si>
    <t>Art. 7. 1. pkt 2 ustawy z dnia 8 marca 1990 r. o samorządzie gminnym - gminnych dróg, ulic, mostów, placów oraz organizacji ruchu drogowego.</t>
  </si>
  <si>
    <t>Art. 7. 1. pkt 4 ustawy z dnia 8 marca 1990 r. o samorządzie gminnym - lokalnego transportu zbiorowego.</t>
  </si>
  <si>
    <t>Art. 7. 1. pkt 5 ustawy z dnia 8 marca 1990 r. o samorządzie gminnym - ochrony zdrowia.</t>
  </si>
  <si>
    <t>Art. 7. 1. pkt 6 ustawy z dnia 8 marca 1990 r. o samorządzie gminnym - pomocy społecznej, w tym ośrodków i zakładów opiekuńczych.</t>
  </si>
  <si>
    <t>Art. 7. 1. pkt 8 ustawy z dnia 8 marca 1990 r. o samorządzie gminnym - edukacji publicznej.</t>
  </si>
  <si>
    <t>Art. 7. 1. pkt 9 ustawy z dnia 8 marca 1990 r. o samorządzie gminnym - kultury, w tym bibliotek gminnych i innych instytucji kultury oraz ochrony zabytków i opieki nad zabytkami.</t>
  </si>
  <si>
    <t>Art. 7. 1. pkt 10 ustawy z dnia 8 marca 1990 r. o samorządzie gminnym - kultury fizycznej i turystyki, w tym terenów rekreacyjnych i urządzeń sportowych.</t>
  </si>
  <si>
    <t>Art. 7. 1. pkt 12 ustawy z dnia 8 marca 1990 r. o samorządzie gminnym - zieleni gminnej i zadrzewień.</t>
  </si>
  <si>
    <t>Art. 7. 1. pkt 3 ustawy z dnia 8 marca 1990 r. o samorządzie gminnym - wodociągów i zaopatrzenia w wodę, kanalizacji, usuwania i oczyszczania ścieków komunalnych, utrzymania czystości i porządku oraz urządzeń sanitarnych, wysypisk i unieszkodliwiania odpadów komunalnych, zaopatrzenia w energię elektryczną i cieplną oraz gaz.</t>
  </si>
  <si>
    <r>
      <t xml:space="preserve">W. </t>
    </r>
    <r>
      <rPr>
        <sz val="11"/>
        <color rgb="FF000000"/>
        <rFont val="Calibri"/>
        <family val="2"/>
        <charset val="238"/>
        <scheme val="minor"/>
      </rPr>
      <t>W przypadku przedsięwzięć, o których mowa w art. 5c ustawy, oświadczenie beneficjenta wsparcia, że w ramach przedsięwzięcia występuje bądź nie występuje pomoc publiczna.</t>
    </r>
  </si>
  <si>
    <t>Organizacja pozarządowa albo podmiot, o których mowa w art. 3 ust. 2 i 3 ustawy z dnia 24 kwietnia 2003 r. o działalności pożytku publicznego i o wolontariacie</t>
  </si>
  <si>
    <t>Infrastruktury techniczna lub infrastruktura społeczna</t>
  </si>
  <si>
    <t>budowa lub przebudowa</t>
  </si>
  <si>
    <t>Inwestor inny</t>
  </si>
  <si>
    <t>J. Liczba lokali mieszkalnych realizowanych w ramach programu „Za życiem”.</t>
  </si>
  <si>
    <t>K. Liczba lokali mieszkalnych dla osób starszych, o których mowa w art. 5b ustawy.</t>
  </si>
  <si>
    <t>Podmiot, o którym mowa w art. 3 ust. 3 ustawy z dnia 24 kwietnia 2003 r. o działalności pożytku publicznego i o wolontariacie</t>
  </si>
  <si>
    <t>W tym wnioskowana kwota finansowego wsparcia (zł) na poszczególne zadania</t>
  </si>
  <si>
    <t>W. Oświadczam (oświadczenie beneficjenta wsparcia), że w ramach przedsięwzięcia występuje pomoc publiczna.</t>
  </si>
  <si>
    <t>W. Oświadczam (oświadczenie beneficjenta wsparcia), że w ramach przedsięwzięcia nie występuje pomoc publiczna.</t>
  </si>
  <si>
    <t>Kwota z VAT niepodlegajaca odliczeniu [zł]</t>
  </si>
  <si>
    <t>VAT niepodlegający odliczeniu  [%]</t>
  </si>
  <si>
    <t>7*8=9</t>
  </si>
  <si>
    <t>Ilość przedsięwzięć powiązanych</t>
  </si>
  <si>
    <t>Numer KRS - dla podmiotów innych niż gmina, powiat lub związek międzygminny</t>
  </si>
  <si>
    <t>B. Liczba mieszkań chronionych.</t>
  </si>
  <si>
    <t>C. Liczba tymczasowych pomieszczeń.</t>
  </si>
  <si>
    <t xml:space="preserve"> E. Liczba lokali mieszkalnych na wynajem tworzonych z udziałem gminy albo związku międzygminnego w wyniku reali zacji inwestycji przez inwestora, w przypadku gdy z realizacją przedsięwzięcia jest związane zawarcie umowy, o której mowa w art. 5 ust. 2 ustawy.</t>
  </si>
  <si>
    <t>F. Liczba miejsc w noclegowniach.</t>
  </si>
  <si>
    <t xml:space="preserve">G. Liczba miejsc w schroniskach dla osób bezdomnych. </t>
  </si>
  <si>
    <t>Rodzaj i wielkość zasobu powstającego lub zmodernizowanego w wyniku przedsięwzięcia</t>
  </si>
  <si>
    <t>Obliczona zgodnie z art. 2 ust. 2 ustawy z dnia 21 czerwca 2001 r. o ochronie praw lokatorów, mieszkaniowym zasobie gminy i o zmianie Kodeksu cywilnego (Dz. U. z 2022 r. poz. 172, 975 i 1561).</t>
  </si>
  <si>
    <t>Nazwa inwestora</t>
  </si>
  <si>
    <t>Adres inwestora</t>
  </si>
  <si>
    <t>Numer identyfikacji podatkowej NIP inwestora</t>
  </si>
  <si>
    <t>Numer identyfikacyjny REGON inwestora</t>
  </si>
  <si>
    <t>Numer KRS - dla podmiotów innych niż gmina, powiat lub związek międzygminny inwestora</t>
  </si>
  <si>
    <t>Wartość gruntu stanowiącego własność inwestora albo prawa użytkowania wieczystego gruntu będącego we władaniu inwestora, na którym 
realizowane jest przedsięwzięcie, w przypadku gdy z realizacją przedsięwzięcia jest związane zawarcie umowy, o której mowa w art. 5 ust. 2 ustawy</t>
  </si>
  <si>
    <t>Wsparcie ze środków RFRM</t>
  </si>
  <si>
    <t>IV. Rodzaj i wielkość zasobu powstającego lub zmodernizowanego w wyniku przedsięwzięcia</t>
  </si>
  <si>
    <t>V. A. Charakterystyka przedsięwzięcia określonego w art. 3 i art. 5 ustawy</t>
  </si>
  <si>
    <t>C. Remont lub przebudowa budynku mieszkalnego, będącego własnością gminy, jednoosobowej spółki gminnej, związku międzygminnego, organizacji pozarządowej albo podmiotów, o których mowa w art. 3 ust. 3 ustawy z dnia 24 kwietnia 2003 r. o działalności pożytku publicznego i o wolontariacie, albo części takiego budynku, jeżeli budynek mieszkalny albo jego część nie są zamieszkane – zakres informacji taki jak w lit. A.</t>
  </si>
  <si>
    <t xml:space="preserve"> G.  Liczba miejsc w schroniskach dla osób bezdomnych.</t>
  </si>
  <si>
    <t>VI. Dodatkowe informacje o przedsięwzięciu</t>
  </si>
  <si>
    <t>Art. 4 ust. 1 pkt 1 ustawy z dnia 5 czerwca 1998 r. o samorządzie powiatowym - edukacji publicznej</t>
  </si>
  <si>
    <t>Art. 4 ust. 1 pkt 2 ustawy z dnia 5 czerwca 1998 r. o samorządzie powiatowym - promocji i ochrony zdrowia</t>
  </si>
  <si>
    <t>Art. 4 ust. 1 pkt 3 ustawy z dnia 5 czerwca 1998 r. o samorządzie powiatowym - pomocy społecznej</t>
  </si>
  <si>
    <t>Art. 4 ust. 1 pkt 6 ustawy z dnia 5 czerwca 1998 r. o samorządzie powiatowym - transportu zbiorowego i dróg publicznych</t>
  </si>
  <si>
    <t>Art. 4 ust. 1 pkt 7 ustawy z dnia 5 czerwca 1998 r. o samorządzie powiatowym - kultury oraz ochrony zabytków i opieki nad zabytkami</t>
  </si>
  <si>
    <t>Art. 4 ust. 1 pkt 8 ustawy z dnia 5 czerwca 1998 r. o samorządzie powiatowym kultury fizycznej i turystyki</t>
  </si>
  <si>
    <t>Art. 4 ust. 1 pkt 12 ustawy z dnia 5 czerwca 1998 r. o samorządzie powiatowym - gospodarki wodnej</t>
  </si>
  <si>
    <t>Wartość gruntu będacego własnością lub prwo użytkowania wieczystego Inwestora</t>
  </si>
  <si>
    <r>
      <t xml:space="preserve">6) </t>
    </r>
    <r>
      <rPr>
        <sz val="11"/>
        <color rgb="FF000000"/>
        <rFont val="Calibri"/>
        <family val="2"/>
        <charset val="238"/>
        <scheme val="minor"/>
      </rPr>
      <t xml:space="preserve"> łączna powierzchnia użytkowa przeznaczona na zaspokajanie potrzeb osób starszych, nieobejmująca powierzchni użytkowej lokali mieszkalnych dla seniorów [m²]</t>
    </r>
  </si>
  <si>
    <t>Budowa -&gt; zasób lokale mieskzlane mzg, mieszkania chronione</t>
  </si>
  <si>
    <t>Przebudowa lub remont, zmiana sposobu użytkowania -&gt; zasób lokale mieskzlane mzg, mieszkania chronione</t>
  </si>
  <si>
    <t>Adres poczty elektronicznej</t>
  </si>
  <si>
    <t>Wyszczególnienie</t>
  </si>
  <si>
    <t>Udział [%]</t>
  </si>
  <si>
    <t>Ogółem (brutto)</t>
  </si>
  <si>
    <t>Organ który wydał decyzję</t>
  </si>
  <si>
    <t>Data wydania decyzji</t>
  </si>
  <si>
    <t>Numer decyzji</t>
  </si>
  <si>
    <t>Data ostateczności lub wykonalności decyzji</t>
  </si>
  <si>
    <t>Data zgłoszenia</t>
  </si>
  <si>
    <t>Organ który zaświadczenie wydał</t>
  </si>
  <si>
    <t>Data i numer zaświadczenia organu administracji architektoniczno-budowlanej o niewniesieniu w terminie sprzeciwu wobec zgłoszenia</t>
  </si>
  <si>
    <t>Data i numer zaświadczenia organu administracji o braku podstaw do wniesienia sprzeciwu</t>
  </si>
  <si>
    <t>Czy przedsięwzięcie rozpoczęte? [TAK/NIE]</t>
  </si>
  <si>
    <t>Czy prowadzenie dziennika budowy wymagane?  [TAK/NIE]</t>
  </si>
  <si>
    <t>Data rozpoczęcia przedsięwzięcia wynikająca z dziennika budowy</t>
  </si>
  <si>
    <t>Data ostatniego wpisu do dziennika budowy dokonanego przed złożeniem wniosku</t>
  </si>
  <si>
    <t xml:space="preserve">K. Budowa budynku na nieruchomości stanowiącej własność albo będącej w użytkowaniu wieczystym gminy, jednoosobowej spółki gminnej, związku międzygminnego, organizacji pozarządowej albo podmiotów, o których mowa w art. 3 ust. 3 ustawy z dnia 24 kwietnia 2003 r. o działalności pożytku publicznego i o wolontariacie (art. 4 ust. 1 pkt 1 i ust. 3 ustawy), w wyniku której powstaną noclegownie lub schroniska dla osób bezdomnych lub nastąpi zwiększenie powierzchni użytkowej pomieszczeń noclegowych w istniejącej noclegowni lub pomieszczeń mieszkalnych w istniejącym schronisku dla osób bezdomnych, albo powstanie ogrzewalnia, z zastrzeżeniem że w tym samym budynku powstanie również noclegownia lub schronisko dla osób bezdomnych. </t>
  </si>
  <si>
    <t xml:space="preserve">L. Remont lub przebudowa budynku niemieszkalnego przeznaczonego na pobyt ludzi, będącego własnością gminy, jednoosobowej spółki gminnej, związku międzygminnego, organizacji pozarządowej albo podmiotów, o których mowa w art. 3 ust. 3 ustawy z dnia 24 kwietnia 2003 r. o działalności pożytku publicznego i o wolontariacie, albo części takiego budynku (art. 4 ust. 1 pkt 2 i ust. 3 ustawy), w wyniku których powstaną noclegownie, schroniska dla osób bezdomnych lub ogrzewalnia lub nastąpi zwiększenie powierzchni użytkowej pomieszczeń noclegowych w istniejącej noclegowni lub pomieszczeń mieszkalnych w istniejącym schronisku dla osób bezdomnych. </t>
  </si>
  <si>
    <t xml:space="preserve">M. Remont lub przebudowa budynku mieszkalnego będącego własnością gminy lub jednoosobowej spółki gminnej, związku międzygminnego, organizacji pozarządowej albo podmiotów, o których mowa w art. 3 ust. 3 ustawy z dnia 24 kwietnia 2003 r. o działalności pożytku publicznego i o wolontariacie, albo części takiego budynku, jeżeli budynek mieszkalny albo jego część nie są zamieszkane (art. 4 ust. 1 pkt 3 i ust. 3 ustawy), w wyniku których powstaną noclegownie, schroniska dla osób bezdomnych lub ogrzewalnia lub nastąpi zwiększenie powierzchni użytkowej pomieszczeń noclegowych w istniejącej noclegowni lub pomieszczeń mieszkalnych w istniejącym schronisku dla osób bezdomnych. </t>
  </si>
  <si>
    <t xml:space="preserve">N. Zmiana sposobu użytkowania budynku będącego własnością gminy, jednoosobowej spółki gminnej, związku międzygminnego, organizacji pozarządowej albo podmiotów, o których mowa w art. 3 ust. 3 ustawy z dnia 24 kwietnia 2003 r. o działalności pożytku publicznego i o wolontariacie, albo części takiego budynku, wymagająca dokonania remontu lub przebudowy (art. 4 ust. 1 pkt 4 i ust. 3 ustawy), w wyniku której powstaną noclegownie, schroniska dla osób bezdomnych lub ogrzewalnia lub nastąpi zwiększenie powierzchni użytkowej pomieszczeń noclegowych w istniejącej noclegowni lub pomieszczeń mieszkalnych w istniejącym schronisku dla osób bezdomnych. </t>
  </si>
  <si>
    <t>O.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(Dz. U. z 2021 r. poz. 2268, z późn. zm.[1])) (art. 4 ust. 2 ustawy).</t>
  </si>
  <si>
    <t>Q. Tworzenie lokali mieszkalnych na wynajem, powstających w wyniku realizacji przez inwestora innego niż gmina albo związek międzygminny budowy budynku (art. 5 ust. 1 pkt 1 ustawy), na podstawie umowy, o której mowa w art. 5 ust. 2 ustawy, w przypadku gdy beneficjent wsparcia ubiega się jednocześnie o grant OZE.</t>
  </si>
  <si>
    <t>R. Tworzenie lokali mieszkalnych na wynajem, powstających w wyniku realizacji przez inwestora innego niż gmina albo związek międzygminny budowy budynku (art. 5 ust. 1 pkt 1 ustawy), na podstawie umowy, o której mowa w art. 5 ust. 2 ustawy, w przypadku, o którym mowa w art. 22a ustawy.</t>
  </si>
  <si>
    <t>U. Tworzenie lokali mieszkalnych na wynajem, powstających w wyniku realizacji przez inwestora innego niż gmina albo związek międzygminny remontu lub przebudowy całości albo części budynku mieszkalnego będącego własnością społecznej inicjatywy mieszkaniowej, której jedynym albo większościowym właścicielem jest gmina, jeżeli ten remont lub ta przebudowa nie dotyczy lokalu mieszkalnego zajmowanego przez lokatora na podstawie obowiązującej umowy najmu (art. 5 ust. 1 pkt 4 ustawy), na podstawie umowy, o której mowa w art. 5 ust. 2 ustawy.</t>
  </si>
  <si>
    <t>X. Tworzenie lokali mieszkalnych powstających w wyniku realizacji przez społeczną inicjatywę mieszkaniową albo spółkę gminną budowy budynku (art. 5 ust. 1 pkt 1 ustawy) na podstawie umowy, o której mowa w art. 5 ust. 2 ustawy, w przypadku, o którym mowa w art. 5a ust. 1 ustawy, w przypadku gdy beneficjent wsparcia ubiega się jednocześnie o grant OZE.</t>
  </si>
  <si>
    <t>Y. Tworzenie lokali mieszkalnych powstających w wyniku realizacji przez społeczną inicjatywę mieszkaniową albo spółkę gminną budowy budynku (art. 5 ust. 1 pkt 1 ustawy) na podstawie umowy, o której mowa w art. 5 ust. 2 ustawy, w przypadku, o którym mowa w art. 5a ust. 1 ustawy, w przypadku, o którym mowa w art. 22a ustawy.</t>
  </si>
  <si>
    <t>ZB. Tworzenie lokali mieszkalnych na wynajem, powstających w wyniku realizacji przez społeczną inicjatywę mieszkaniową albo spółkę gminną remontu lub przebudowy całości albo części budynku mieszkalnego, będącego własnością społecznej inicjatywy mieszkaniowej, której jedynym albo większościowym właścicielem jest gmina, jeżeli ten remont lub ta przebudowa nie dotyczy lokalu mieszkalnego zajmowanego przez lokatora na podstawie obowiązującej umowy najmu (art. 5 ust. 1 pkt 4 ustawy), na podstawie umowy, o której mowa w art. 5 ust. 2 ustawy, w przypadku, o którym mowa w art. 5a ust. 1 ustawy.</t>
  </si>
  <si>
    <t>ZC. Budowa lub przebudowa infrastruktury technicznej lub infrastruktury społecznej (art. 5c ust. 1 i 1a ustawy).</t>
  </si>
  <si>
    <t>ZD. Budowa lub przebudowa infrastruktury technicznej lub infrastruktury społecznej przez inwestora, który realizuje przedsięwzięcie albo inwestycję powiązane z przedsięwzięciem infrastrukturalnym, o których mowa w art. 5c ust. 1 i 1a ustawy, lub jednoosobową spółkę gminną, której gmina przekazała realizację jednego z zadań własnych, o których mowa w art. 7 ust. 1 pkt 2, 3, 4–6, 8–10 i 12 ustawy z dnia 8 marca 1990 r. o samorządzie gminnym (art. 5c ust. 2 ustawy), na podstawie umowy, o której mowa w art. 5c ust. 3 ustawy.</t>
  </si>
  <si>
    <t>[1])</t>
  </si>
  <si>
    <t>Zmiany tekstu jednolitego wymienionej ustawy zostały ogłoszone w Dz. U. z 2021 r. poz. 2270 oraz z 2022 r. poz. 1, 66, 1079, 1692, 1700, 1812, 1967, 2127 i 2140.</t>
  </si>
  <si>
    <t>K. Tworzenie lokali mieszkalnych na wynajem, powstających w wyniku realizacji przez inwestora innego niż gmina albo związek międzygminny budowy budynku, w przypadku gdy beneficjent wsparcia ubiega się jednocześnie o grant OZE, o którym mowa w art. 13c ustawy – zakres informacji taki jak w lit. J.</t>
  </si>
  <si>
    <t>L. Tworzenie lokali mieszkalnych na wynajem, powstających w wyniku realizacji przez inwestora innego niż gmina albo związek międzygminny budowy budynku, w przypadku, o którym mowa w art. 22a ustawy – zakres informacji taki jak w lit. J.</t>
  </si>
  <si>
    <r>
      <t xml:space="preserve">1) </t>
    </r>
    <r>
      <rPr>
        <sz val="11"/>
        <color rgb="FF000000"/>
        <rFont val="Calibri"/>
        <family val="2"/>
        <charset val="238"/>
        <scheme val="minor"/>
      </rPr>
      <t xml:space="preserve"> adres/adresy nieruchomości</t>
    </r>
  </si>
  <si>
    <r>
      <rPr>
        <b/>
        <sz val="11"/>
        <color rgb="FF000000"/>
        <rFont val="Calibri"/>
        <family val="2"/>
        <charset val="238"/>
        <scheme val="minor"/>
      </rPr>
      <t>3)</t>
    </r>
    <r>
      <rPr>
        <sz val="11"/>
        <color rgb="FF000000"/>
        <rFont val="Calibri"/>
        <family val="2"/>
        <charset val="238"/>
        <scheme val="minor"/>
      </rPr>
      <t xml:space="preserve"> łączna powierzchnia użytkowa lokali znajdujących się lub powstających w budynku, nieobjętych finansowym wsparciem [m²]</t>
    </r>
  </si>
  <si>
    <r>
      <t xml:space="preserve">4) </t>
    </r>
    <r>
      <rPr>
        <sz val="11"/>
        <color rgb="FF000000"/>
        <rFont val="Calibri"/>
        <family val="2"/>
        <charset val="238"/>
        <scheme val="minor"/>
      </rPr>
      <t>dodatkowa powierzchnia użytkowa przeznaczona na zaspokajanie potrzeb osób starszych nieobejmująca powierzchni użytkowej lokali mieszkalnych dla seniorów [m²]</t>
    </r>
  </si>
  <si>
    <r>
      <t xml:space="preserve">A. </t>
    </r>
    <r>
      <rPr>
        <sz val="11"/>
        <color rgb="FF000000"/>
        <rFont val="Calibri"/>
        <family val="2"/>
        <charset val="238"/>
        <scheme val="minor"/>
      </rPr>
      <t xml:space="preserve">  Informacja, czy przedsięwzięcie jest realizowane zgodnie z zasadami określonymi w art. 7 ustawy.</t>
    </r>
  </si>
  <si>
    <t>Przedsięwzięcie jest realizowane zgodnie z zasadami określonymi w art. 7 ustawy.</t>
  </si>
  <si>
    <t>Przedsięwzięcie nie jest realizowane zgodnie z zasadami określonymi w art. 7 ustawy.</t>
  </si>
  <si>
    <r>
      <rPr>
        <b/>
        <sz val="11"/>
        <color rgb="FF000000"/>
        <rFont val="Calibri"/>
        <family val="2"/>
        <charset val="238"/>
        <scheme val="minor"/>
      </rPr>
      <t>D.</t>
    </r>
    <r>
      <rPr>
        <sz val="11"/>
        <color rgb="FF000000"/>
        <rFont val="Calibri"/>
        <family val="2"/>
        <charset val="238"/>
        <scheme val="minor"/>
      </rPr>
      <t xml:space="preserve"> Informacja, czy w lokalach mieszkalnych pozyskanych przy udziale finansowego wsparcia na podstawie ustawy zostanie zainstalowane wyposażenie, o którym mowa w art. 6b ustawy (z wyłączeniem przedsięwzięć, o których mowa w art. 3 ust. 3 ustawy), ze wskazaniem przyczyny braku jego instalacji.</t>
    </r>
  </si>
  <si>
    <t>W lokalach mieszkalnych pozyskanych przy udziale finansowego wsparcia na podstawie ustawy zostanie zainstalowane wyposażenie, o którym mowa w art. 6b ustawy.</t>
  </si>
  <si>
    <t>W lokalach mieszkalnych pozyskanych przy udziale finansowego wsparcia na podstawie ustawy niezostanie zainstalowane wyposażenie, o którym mowa w art. 6b ustawy. Wskaż w opisie poniżej przyczyny braku instalacji wyposażenia, o którym mowa w art. 6b ustawy.</t>
  </si>
  <si>
    <t>Przedsięwzięcie zostało zakończone przed dniem złożenia wniosku, o którym mowa w art. 8 ust. 1 ustawy.</t>
  </si>
  <si>
    <t>Przedsięwzięcie nie zostało zakończone przed dniem złożenia wniosku, o którym mowa w art. 8 ust. 1 ustawy.</t>
  </si>
  <si>
    <t>H. Informacja, czy beneficjentowi wsparcia lub inwestorowi przysługuje prawo do obniżenia kwoty podatku należnego o kwotę podatku naliczonego związanego z tym przedsięwzięciem lub zwrot tego podatku (z wyłączeniem przedsięwzięć, o których mowa w art. 3 ust. 1 pkt 5 ustawy).</t>
  </si>
  <si>
    <t>Inwestorowi nie przysługuje prawo do obniżenia kwoty podatku należnego o kwotę podatku naliczonego związanego z tym przedsięwzięciem lub zwrot tego podatku</t>
  </si>
  <si>
    <t>Inwestorowi przysługuje prawo do obniżenia kwoty podatku należnego o kwotę podatku naliczonego związanego z tym przedsięwzięciem lub zwrot tego podatku</t>
  </si>
  <si>
    <t>Należy wskazać konkretny punkt przepisu § 2 rozporządzenia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który jest podstawą prawną niestosowania standardów.</t>
  </si>
  <si>
    <t>Finansowe wsparcie, o którym mowa w art. 3, art. 5 i art. 5a ustawy, jest udzielane na przedsięwzięcie, w wyniku którego powstaną lokale mieszkalne, których docelową grupę najemców będą stanowić również osoby starsze, o których mowa w art. 5b ustawy – w przypadku gdy finansowe wsparcie ma być udzielone także na utworzenie dodatkowych powierzchni użytkowych przeznaczonych na zaspokojenie potrzeb osób starszych.</t>
  </si>
  <si>
    <t>Beneficjent wsparcia będący jednoosobową spółką gminną jest spółką, której gmina powierzyła realizację zadania własnego w zakresie zaspokajania potrzeb mieszkaniowych wspólnoty samorządowej w rozumieniu przepisu art. 2 pkt 5a lit. b ustawy – w przypadku przedsięwzięć, o których mowa w art. 3 albo art. 4 ustawy.</t>
  </si>
  <si>
    <t>1) numerze działek ewidencyjnych, na których będą budowane budynki wraz ze związanymi z nimi obiektami i urządzeniami w ramach przedsięwzięcia</t>
  </si>
  <si>
    <t>2) liczbie budynków, przewidzianych do realizacji w ramach przedsięwzięcia</t>
  </si>
  <si>
    <t>Wybierz właściwą informację</t>
  </si>
  <si>
    <t>VII. Zgoda na przekazywanie informacji</t>
  </si>
  <si>
    <t>Podpis beneficjenta wsparcia</t>
  </si>
  <si>
    <t>Numer rachunku bankowego lub rachunku prowadzonego przez spółdzielczą kasę oszczędnościowo-kredytową beneficjenta wsparcia, na który zostanie przekazane finansowe wsparcie.</t>
  </si>
  <si>
    <t>Dodatkowa powierzchnia użytkowa przeznaczona na zaspokajanie potrzeb osób starszych nieobejmująca powierzchni użytkowej lokali mieszkalnych dla seniorów [m²]</t>
  </si>
  <si>
    <t>Podsumowanie</t>
  </si>
  <si>
    <t>nie dotyczy</t>
  </si>
  <si>
    <t>Z. Informacja, czy beneficjent wsparcia lub inwestor posiada prawo własności lub użytkowania wieczystego lub dzierżawy lub użyczenia gruntu, na którym realizowane jest przedsięwzięcie, albo prawo własności budynku lub części budynku (w tym lokali), w którym realizowane jest przedsięwzięcie, albo o posiadanym prawie własności lub użytkowania wieczystego gruntu (dla przedsięwzięć, o których mowa w art. 3 ust. 1, art. 4, art. 5 ust. 1 oraz art. 5c ustawy).</t>
  </si>
  <si>
    <t>Informuję, (informacja beneficjenta wsparcia) że posiadam prawo własności lub prawo użytkowania wieczystego gruntu, na którym jest realizowane przedsięwzięcie.</t>
  </si>
  <si>
    <t>Informuję, (informacja beneficjenta wsparcia będącego powiatem albo organizacją pożytku publicznego) że prawo własności lub prawo użytkowania wieczystego gruntu na którym jest realizowane przedsięwzięcie, posiada gmina lub jednoosobowa spółka gminna lub Skarb Państwa, w związku z art. 6 ust. 1 ustawy. Jednocześnie informuję, że posiadam prawo dzierżawy lub prawo użyczenia gruntu, na którym jest realizowane przedsięwzięcie.</t>
  </si>
  <si>
    <t>Informuję, (informacja beneficjenta wsparcia będącego jednoosobową spółką gminną) że prawo własności lub prawo użytkowania wieczystego gruntu, na którym jest realizowane przedsięwzięcie, posiada gmina.</t>
  </si>
  <si>
    <t>Informuję, (informacja beneficjenta wsparcia będącego jednoosobową spółką gminną) że prawo własności lub prawo użytkowania wieczystego gruntu, na którym jest realizowane przedsięwzięcie, w związku z art. 6 ust. 1 ustawy, posiada gmina.</t>
  </si>
  <si>
    <t>Informuję, (informacja beneficjenta wsparcia będącego jednoosobową spółką gminną) że prawo własności budynku lub części budynku (w tym lokali), w którym jest realizowane przedsięwzięcie, posiada gmina.</t>
  </si>
  <si>
    <t>Informuję, (informacja beneficjenta wsparcia będącego jednoosobową spółką gminną) że prawo własności budynku lub części budynku (w tym lokali), w którym jest realizowane przedsięwzięcie, w związku z art. 6 ust. 1 ustawy, posiada gmina.</t>
  </si>
  <si>
    <t>Informuję, (informacja beneficjenta wsparcia będącego powiatem albo organizacją pożytku publicznego) że prawo własności lub prawo użytkowania wieczystego gruntu, na którym jest realizowane przedsięwzięcie, posiada gmina lub jednoosobowa spółka gminna lub Skarb Państwa, w związku z art. 6 ust. 1 ustawy. Jednocześnie informuję, że (informacja beneficjenta wsparcia) że posiadam prawo dzierżawy lub prawo użyczenia gruntu, na którym jest realizowane przedsięwzięcie.</t>
  </si>
  <si>
    <t>Adres poczty elektronicznej (opcjonalnie)</t>
  </si>
  <si>
    <t>Gmina została dotknięta skutkami powodzi.</t>
  </si>
  <si>
    <t>Nie dotyczy realizowanego przedsięwzięwzięcia</t>
  </si>
  <si>
    <t>Informuję, że posiadam prawo własności budynku lub części budynku (w tym lokali), w którym realizowane jest przedsięwzięcie.</t>
  </si>
  <si>
    <t>Przewidywana cena sprzedaży/Cena ssprzedaży</t>
  </si>
  <si>
    <t>Data sporzadzenia umowy sprzedaży</t>
  </si>
  <si>
    <t>Wartości gruntu, wynikająca z aktualnego operatu szacunkowego</t>
  </si>
  <si>
    <t>I.</t>
  </si>
  <si>
    <t>a) wartość rynkowa nieruchomości, wynikająca z aktualnego operatu szacunkowego</t>
  </si>
  <si>
    <t>b) wartośc rynkowa gruntu, wynikająca z aktualnego operatu szacunkowego</t>
  </si>
  <si>
    <t>Informacja o wartości gruntu stanowiącego własność lub prawo użytkowania wieczystego inwestora, na którym jest realizowane przedsięwzięcie, wynikająca z aktualnego operatu szacunkowego</t>
  </si>
  <si>
    <t>J.</t>
  </si>
  <si>
    <t>A. Budowa budynku na nieruchomości stanowiącej własność albo będącej w użytkowaniu wieczystym gminy, jednoosobowej spółki gminnej, związku międzygminnego, organizacji pozarządowej albo podmiotów, o których mowa w art. 3 ust. 3 ustawy z dnia 24 kwietnia 2003 r. o działalności pożytku publicznego i o wolontariacie:</t>
  </si>
  <si>
    <t>B. Remont lub przebudowa budynku niemieszkalnego przeznaczonego na pobyt ludzi, będącego własnością gminy, jednoosobowej spółki gminnej, związku międzygminnego, organizacji pozarządowej albo podmiotów, o których mowa w art. 3 ust. 3 ustawy z dnia 24 kwietnia 2003 r. o działalności pożytku publicznego i o wolontariacie, albo części takiego budynku – zakres informacji taki jak w lit. A.</t>
  </si>
  <si>
    <t>D. Zmiana sposobu użytkowania budynku będącego własnością gminy, jednoosobowej spółki gminnej, związku międzygminnego, organizacji pozarządowej albo podmiotów, o których mowa w art. 3 ust. 3 ustawy z dnia 24 kwietnia 2003 r. o działalności pożytku publicznego i o wolontariacie, albo części takiego budynku, wymagająca dokonania remontu lub przebudowy – zakres informacji taki jak w lit. A.</t>
  </si>
  <si>
    <t xml:space="preserve">E.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 zakres informacji taki jak w lit. A. </t>
  </si>
  <si>
    <t>Przedsięwzięcie spełnia standardy, o których mowa w przepisach wydanych na podstawie art. 48a ust. 14 ustawy z dnia 12 marca 2004 r. o pomocy społecznej.</t>
  </si>
  <si>
    <t>Przedsięwzięcie niespełnia standardów, o których mowa w przepisach wydanych na podstawie art. 48a ust. 14 ustawy z dnia 12 marca 2004 r. o pomocy społecznej.</t>
  </si>
  <si>
    <t>Informuję, że przedsięwzięcie jest realizowane zgodnie ze standardami określonymi w rozporządzeniu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(Dz. U. z 2019 r. poz. 457).</t>
  </si>
  <si>
    <t>Budowa, Przebudowa lub remont, zmiana sposobu użytkowania  -&gt; schroniska dla osób bezdomnych, noclegownie i ogrzewalnie</t>
  </si>
  <si>
    <r>
      <rPr>
        <b/>
        <sz val="11"/>
        <color rgb="FF000000"/>
        <rFont val="Calibri"/>
        <family val="2"/>
        <charset val="238"/>
        <scheme val="minor"/>
      </rPr>
      <t xml:space="preserve">H. </t>
    </r>
    <r>
      <rPr>
        <sz val="11"/>
        <color rgb="FF000000"/>
        <rFont val="Calibri"/>
        <family val="2"/>
        <charset val="238"/>
        <scheme val="minor"/>
      </rPr>
      <t>Informacja, czy beneficjentowi wsparcia lub inwestorowi przysługuje prawo do obniżenia kwoty podatku należnego o kwotę podatku naliczonego związanego z tym przedsięwzięciem lub zwrot tego podatku (z wyłączeniem przedsięwzięć, o których mowa w art. 3 ust. 1 pkt 5 ustawy).</t>
    </r>
  </si>
  <si>
    <t>Informuję, (informacja beneficjenta wsparcia będącego organizacją pozarządową lub podmiotem, o którym mowa w art. 3 ust. 3 ustawy z dnia 24 kwietnia 2003 r. o działalności pożytku publicznego i o wolontariacie) że przedsięwzięcie realizowane jest na nieruchomościach stanowiących własność  gminy, jednoosobowej spółki gminnej, związku międzygminnego lub Skarbu Państwa albo będących przedmiotem umowy dzierżawy lub użyczenia.</t>
  </si>
  <si>
    <t>Informuję, (informacja beneficjenta wsparcia będącego organizacją pozarządową lub podmiotu, o którym mowa w art. 3 ust. 3 ustawy z dnia 24 kwietnia 2003 r. o działalności pożytku publicznego i o wolontariacie) że przedsięwzięcie realizowane jest na nieruchomościach stanowiących własność  gminy, jednoosobowej spółki gminnej, związku międzygminnego lub Skarbu Państwa.</t>
  </si>
  <si>
    <t>podpis beneficjenta wsparcia</t>
  </si>
  <si>
    <r>
      <rPr>
        <b/>
        <sz val="11"/>
        <color rgb="FF000000"/>
        <rFont val="Calibri"/>
        <family val="2"/>
        <charset val="238"/>
        <scheme val="minor"/>
      </rPr>
      <t>H.</t>
    </r>
    <r>
      <rPr>
        <sz val="11"/>
        <color rgb="FF000000"/>
        <rFont val="Calibri"/>
        <family val="2"/>
        <charset val="238"/>
        <scheme val="minor"/>
      </rPr>
      <t xml:space="preserve"> Informacja, czy beneficjentowi wsparcia lub inwestorowi przysługuje prawo do obniżenia kwoty podatku należnego o kwotę podatku naliczonego związanego z tym przedsięwzięciem lub zwrot tego podatku (z wyłączeniem przedsięwzięć, o których mowa w art. 3 ust. 1 pkt 5 ustawy).</t>
    </r>
  </si>
  <si>
    <r>
      <t xml:space="preserve">5)  </t>
    </r>
    <r>
      <rPr>
        <sz val="11"/>
        <color rgb="FF000000"/>
        <rFont val="Calibri"/>
        <family val="2"/>
        <charset val="238"/>
        <scheme val="minor"/>
      </rPr>
      <t>łączna powierzchnia użytkowa lokali mieszkalnych, tworzonych w ramach przedsięwzięcia [m²]</t>
    </r>
  </si>
  <si>
    <r>
      <t xml:space="preserve">7) </t>
    </r>
    <r>
      <rPr>
        <sz val="11"/>
        <color rgb="FF000000"/>
        <rFont val="Calibri"/>
        <family val="2"/>
        <charset val="238"/>
        <scheme val="minor"/>
      </rPr>
      <t xml:space="preserve"> łączna powierzchnia użytkowa lokali znajdujących się lub powstających w budynku, nieobjętych finansowym wsparciem [m²]</t>
    </r>
  </si>
  <si>
    <t>Informuję, że przedsięwzięcie nie jest realizowane przy udziale finansowania zwrotnego, o którym mowa w art. 15a ust. 1 ustawy z dnia 26 października 1995 r. o społecznych formach rozwoju mieszkalnictwa.</t>
  </si>
  <si>
    <t>Informuję, że przedsięwzięcie jest realizowane przy udziale finansowania zwrotnego, o którym mowa w art. 15a ust. 1 ustawy z dnia 26 października 1995 r. o społecznych formach rozwoju mieszkalnictwa.</t>
  </si>
  <si>
    <t>Informuję, że tworzone lokale mieszkalne na wynajem będą wynajmowane i użytkowane na zasadach wskazanych w art. 7a–7f ustawy.</t>
  </si>
  <si>
    <t>Informuję, że tworzone lokale mieszkalne na wynajem nie będą wynajmowane i użytkowane na zasadach wskazanych w art. 7a–7f ustawy.</t>
  </si>
  <si>
    <t>Art.. 5</t>
  </si>
  <si>
    <t>Informuję, że (inwestor) posiada prawo własności lub użytkowania wieczystego gruntu, na którym realizowane jest przedsięwzięcie.</t>
  </si>
  <si>
    <t>Informuję, że (beneficjent wsparcia) posiadam prawo własności lub użytkowania wieczystego gruntu, na którym realizowane jest przedsięwzięcie.</t>
  </si>
  <si>
    <t>Informacja o wpisie budynku lub obszaru, na którym się znajduje</t>
  </si>
  <si>
    <t>Data prawomocności decyzji</t>
  </si>
  <si>
    <t>L.</t>
  </si>
  <si>
    <t>M.</t>
  </si>
  <si>
    <t>W przypadku przedsięwzięć, o których mowa w art. 5c ustawy, informacje o wysokości:</t>
  </si>
  <si>
    <t>N.</t>
  </si>
  <si>
    <t>I. Wskazanie, które z zadań własnych gminy, o których mowa w art. 7 ust. 1 pkt 2, 3, 4–6, 8–10 i 12 ustawy z dnia 8 marca 1990 r. o samorządzie gminnym, lub zadań publicznych powiatu, o których mowa w art. 4 ust. 1 pkt 1–3, 6–8 i 12 ustawy z dnia 5 czerwca 1998 r. o samorządzie powiatowym, jest realizowane w ramach przedsięwzięcia, o którym mowa w art. 5c ust. 1 lub 2 ustawy.</t>
  </si>
  <si>
    <t>Budowa lub przebudowa infrastruktury technicznej lub infrastruktury społecznej:</t>
  </si>
  <si>
    <t>W. Informacja, czy w ramach przedsięwzięcia występuje pomoc publiczna – w przypadku przedsięwzięć, o których mowa w art. 5c ustawy.</t>
  </si>
  <si>
    <t>W ramach przedsięwzięcia występuje pomoc publiczna.</t>
  </si>
  <si>
    <t>W ramach przedsięwzięcia nie występuje pomoc publiczna.</t>
  </si>
  <si>
    <t>3) udziału gminy, powiatu albo związku międzygminnego w kosztach przedsięwzięcia, o którym mowa w art. 5 ust. 1 lub art. 5a ust. 1 ustawy – w przypadku, o którym mowa w art. 5c ust. 1 pkt 3 ustawy.</t>
  </si>
  <si>
    <t xml:space="preserve">Wyszczególnienie rodzaju kwalifikowanego kosztu </t>
  </si>
  <si>
    <t>Dokumenty, na podstawie których określono koszt</t>
  </si>
  <si>
    <t>Umowa</t>
  </si>
  <si>
    <t>Faktura VAT</t>
  </si>
  <si>
    <t>Kosztorys</t>
  </si>
  <si>
    <t xml:space="preserve">Kalkulacja własna </t>
  </si>
  <si>
    <t>Rachunek</t>
  </si>
  <si>
    <t>Adres lokalu</t>
  </si>
  <si>
    <t>Kwota brutto [zł]</t>
  </si>
  <si>
    <t>4+4*5*6=7</t>
  </si>
  <si>
    <t>Adres [ Miejscowość, ulica, nr porządkowy budynku, numer lokalu]</t>
  </si>
  <si>
    <t>5+5*6=7</t>
  </si>
  <si>
    <t xml:space="preserve">Remont lub przebudowa lokalu mieszkalnego </t>
  </si>
  <si>
    <t>Przewidywana data zakończenia realizacji przedsięwzięcia dla danego lokalu mieszkalnego zgodnie z pkt II.D</t>
  </si>
  <si>
    <r>
      <rPr>
        <b/>
        <sz val="11"/>
        <color rgb="FF000000"/>
        <rFont val="Calibri"/>
        <family val="2"/>
        <charset val="238"/>
        <scheme val="minor"/>
      </rPr>
      <t>H.</t>
    </r>
    <r>
      <rPr>
        <sz val="11"/>
        <color rgb="FF000000"/>
        <rFont val="Calibri"/>
        <family val="2"/>
        <charset val="238"/>
        <scheme val="minor"/>
      </rPr>
      <t xml:space="preserve"> Informacja, czy beneficjentowi wsparcia przysługuje prawo do obniżenia kwoty podatku należnego o kwotę podatku naliczonego związanego z tym przedsięwzięciem lub zwrot tego podatku (z wyłączeniem przedsięwzięć, o których mowa w art. 3 ust. 1 pkt 5 ustawy).</t>
    </r>
  </si>
  <si>
    <t>Beneficjentowi wsparcia nie przysługuje prawo do obniżenia kwoty podatku należnego o kwotę podatku naliczonego związanego z tym przedsięwzięciem lub zwrot tego podatku.</t>
  </si>
  <si>
    <t>Beneficjentowi wsparcia przysługuje prawo do obniżenia kwoty podatku należnego o kwotę podatku naliczonego związanego z tym przedsięwzięciem lub zwrot tego podatku.</t>
  </si>
  <si>
    <t>Inwestorowi nie przysługuje prawo do obniżenia kwoty podatku należnego o kwotę podatku naliczonego związanego z tym przedsięwzięciem lub zwrot tego podatku.</t>
  </si>
  <si>
    <t>Inwestorowi przysługuje prawo do obniżenia kwoty podatku należnego o kwotę podatku naliczonego związanego z tym przedsięwzięciem lub zwrot tego podatku.</t>
  </si>
  <si>
    <r>
      <rPr>
        <b/>
        <sz val="11"/>
        <color rgb="FF000000"/>
        <rFont val="Calibri"/>
        <family val="2"/>
        <charset val="238"/>
        <scheme val="minor"/>
      </rPr>
      <t>H.</t>
    </r>
    <r>
      <rPr>
        <sz val="11"/>
        <color rgb="FF000000"/>
        <rFont val="Calibri"/>
        <family val="2"/>
        <charset val="238"/>
        <scheme val="minor"/>
      </rPr>
      <t xml:space="preserve"> Informacja, czy inwestorowi przysługuje prawo do obniżenia kwoty podatku należnego o kwotę podatku naliczonego związanego z tym przedsięwzięciem lub zwrot tego podatku (z wyłączeniem przedsięwzięć, o których mowa w art. 3 ust. 1 pkt 5 ustawy).</t>
    </r>
  </si>
  <si>
    <t>Powierzchnia użytkowa lokali znajdujących się lub powstających w budynku, nieobjętych finansowym wsparciem [m²]</t>
  </si>
  <si>
    <r>
      <rPr>
        <b/>
        <sz val="11"/>
        <color rgb="FF000000"/>
        <rFont val="Calibri"/>
        <family val="2"/>
        <charset val="238"/>
        <scheme val="minor"/>
      </rPr>
      <t>4)</t>
    </r>
    <r>
      <rPr>
        <sz val="11"/>
        <color rgb="FF000000"/>
        <rFont val="Calibri"/>
        <family val="2"/>
        <charset val="238"/>
        <scheme val="minor"/>
      </rPr>
      <t xml:space="preserve">  liczba wszystkich lokali mieszkalnych w budynku/budynkach</t>
    </r>
  </si>
  <si>
    <t>Powierzchnia użytkowa lokalu mieszkalnego, tworzonego w ramach przedsięwzięcia [m²]</t>
  </si>
  <si>
    <t>Powierzchnia użytkowa przeznaczona na zaspokajanie potrzeb osób starszych, nieobejmująca powierzchni użytkowej lokali mieszkalnych dla seniorów [m²]</t>
  </si>
  <si>
    <t>Koszt przedsięwzięcia w rozbiciu na dany lokal</t>
  </si>
  <si>
    <t>Remont lub przebudowa budynku mieszkalnego</t>
  </si>
  <si>
    <t>Nie dotyczy przedsięwzięć, o których mowa w art. 3 ust. 1 pkt 3 ustawy –
w przypadkach, o których mowa w art. 3 ust. 4 ustawy</t>
  </si>
  <si>
    <t>Zlecenie</t>
  </si>
  <si>
    <t>Tak, w każdym budynku oraz każdej wydzielonej w pionie odrębnej części budynku zaprojektowano dźwig przystosowany do przewozu mebli, chorych na noszach i osób niepełnosprawnych.</t>
  </si>
  <si>
    <t>W budynku lub w pionie odrębnej części budynku oznaczonym numer………. zaprojektowano dźwig przystosowany do przewozu mebli, chorych na noszach i osób niepełnosprawnych.</t>
  </si>
  <si>
    <t>Nie dotyczy (z uwagi na nie stosowanie standardów lub dla budynków do dwóch kondygnacji nadziemnych).</t>
  </si>
  <si>
    <t xml:space="preserve">Ogółem </t>
  </si>
  <si>
    <t>Wartość gruntu inwestora (własność albo prawo użytkowania wieczystego gruntu) wynikająca z aktualnego operatu szacunkowego</t>
  </si>
  <si>
    <t>Remont lub przebudowa lokalu mieszkalnego z premią MZG</t>
  </si>
  <si>
    <t>--------------------------------</t>
  </si>
  <si>
    <t>--------------------------------------</t>
  </si>
  <si>
    <t>-----------------------------------------</t>
  </si>
  <si>
    <t>-----------------------------------</t>
  </si>
  <si>
    <t>-------------------------------------</t>
  </si>
  <si>
    <t>Koszty niezbędnych badań i ekspertyz</t>
  </si>
  <si>
    <t>Pełnienie funkcji inwestora zastępczego</t>
  </si>
  <si>
    <t>Nadzór i kierowanie budową</t>
  </si>
  <si>
    <t>Rozliczenie robót budowlanych</t>
  </si>
  <si>
    <t>Koszty przygotowania terenu</t>
  </si>
  <si>
    <t>Opłaty przyłączeniowe</t>
  </si>
  <si>
    <t>koszty wykonania niezbędnego uzbrojenia terenu</t>
  </si>
  <si>
    <t>Szczegółowe informacje odnośnie zasady wyceny wartości gruntu na którym jest realizowane przedsięwzięcie dla celów zwiększenia kwoty finansowego wsparcia udzielanego na podstawie art. 5 ustawy tj. dla przedsięwzięć dotyczących tworzenia lokali na wynajem znajdują się w odpowiedzi na pytanie 33 na stronie internetowej programu -&gt; https://www.bgk.pl/programy-i-fundusze/programy/bezzwrotne-wsparcie-budownictwa-z-funduszu-doplat/#c19560:~:text=Zasady%20wyceny%20warto%C5%9Bci,pkt%201)%20Ustawy.</t>
  </si>
  <si>
    <t xml:space="preserve">Cena zakupu </t>
  </si>
  <si>
    <t>Informuję, (informacja inwestora) że posiadam prawo własności lub prawo użytkowania wieczystego gruntu, na którym jest realizowane przedsięwzięcie.</t>
  </si>
  <si>
    <t>Informuję, (informacja inwestora) że posiadam prawo dzierżawy lub użyczenia gruntu, na którym jest realizowane przedsięwzięcie.</t>
  </si>
  <si>
    <t>W przypadku przedsięwzięć, o których mowa w art. 5c ustawy, data oddania do użytkowania przedsięwzięcia lub inwestycji powiązanych z przedsięwzięciem, o którym mowa w art. 5c ust. 1 pkt 1–6 i ust. 1a ustawy.</t>
  </si>
  <si>
    <t>Wartość gruntu będącego własnością lub prawo użytkowania wieczystego Inwestora</t>
  </si>
  <si>
    <t>K.</t>
  </si>
  <si>
    <t>ilość kondygnacji nadziemnych</t>
  </si>
  <si>
    <t>ilość kondygnacji poddziemnych</t>
  </si>
  <si>
    <t>Do obliczeń kwoty finansowego wsparcia przyjmowana jest wartość gruntu będąca własnością lub w użytkowaniu wieczystym inwestora, ale nie więcej niż 10% kosztów przedsięwzięcia.</t>
  </si>
  <si>
    <t>2) kosztów przedsięwzięcia, o którym mowa w art. 3, art. 4 lub art. 6 ustawy –w przypadku, o którym mowa w art. 5c ust. 1 pkt 2 i ust. 1a pkt 1 ustawy. (do sumy przyjęto 50% kosztów, w związku z ograniczeniem art. 13 ust. 6 ustawy)</t>
  </si>
  <si>
    <t>6) inwestycji mieszkaniowej w rozumieniu art. 2 ust. 1 ustawy z dnia 4 listopada 2022 r. o kooperatywach mieszkaniowych oraz zasadach zbywania nieruchomości należących do gminnego zasobu nieruchomości w celu wsparcia realizacji inwestycji mieszkaniowych (Dz. U. z 2023 r. poz. 28) z wykorzystaniem nieruchomości, której dotyczy zgoda na udzielenie bonifikaty wyrażona na podstawie art. 12 ust. 3 pkt 4 tej ustawy (do sumy przyjęto 1/3% ceny, w związku z ograniczeniem art. 13 ust. 6 ustawy)</t>
  </si>
  <si>
    <t>brak ulicy</t>
  </si>
  <si>
    <t>brak numeru</t>
  </si>
  <si>
    <t>nazwa ulicy [wprowadź nazwę ulicy lub informację brak ulicy]</t>
  </si>
  <si>
    <t>numer porządkowy budynku [wprowadź numer porządkowy budynku lub informację braku tego numeru]</t>
  </si>
  <si>
    <t>numer działki ewidencyjnej</t>
  </si>
  <si>
    <t>oznaczenie budynku wg dokumentacji budowlanej oraz informacja o etapie w którym jest realizowany budynek</t>
  </si>
  <si>
    <t>W przypadku większej ilości budynków wprowadź wszystkie adresy poprzez dodanie kolejnego wiersza. Stań kursorem na wierszu poniżej, kliknij prawym klawiszem myszki Wstaw. Następnie zaznacz wiersz z prawidłowym formatowaniem kliknij Malarz formatów i zaznacz kolumne którą będziesz formatował.</t>
  </si>
  <si>
    <r>
      <t xml:space="preserve">1) </t>
    </r>
    <r>
      <rPr>
        <sz val="11"/>
        <color rgb="FF000000"/>
        <rFont val="Calibri"/>
        <family val="2"/>
        <charset val="238"/>
        <scheme val="minor"/>
      </rPr>
      <t xml:space="preserve"> adres/adresy nieruchomości - miejscowość, ulica, numer porządkowy budynku. W przypadku gdy miejscowość nie posiada nazwy ulicy prośba o wprowadzenie informacji o braku ulic w danej miejscowości. W przypadku gdy budynek nie mam nadanego numeru porządkowego budynku prośba o wprowadzenie informacji, że budynek nie mam nadanego numeru porządkowego budynku. W związku z brakiem numeru porządkowego budynku należy w ramach adresu wskazać numery działek ewidencyjnych na których budynek będzie realizowany oraz informację o oznaczeniu budynku wg dokumentacji budowlanej oraz informację o etapie w którym jest realizowany budynek. Dane należy wskazać dla wszystkich budynków objętych wnioskiem.</t>
    </r>
  </si>
  <si>
    <r>
      <rPr>
        <b/>
        <sz val="11"/>
        <color rgb="FF000000"/>
        <rFont val="Calibri"/>
        <family val="2"/>
        <charset val="238"/>
        <scheme val="minor"/>
      </rPr>
      <t>D.</t>
    </r>
    <r>
      <rPr>
        <sz val="11"/>
        <color rgb="FF000000"/>
        <rFont val="Calibri"/>
        <family val="2"/>
        <charset val="238"/>
        <scheme val="minor"/>
      </rPr>
      <t xml:space="preserve"> Informacja, czy w lokalach mieszkalnych pozyskanych przy udziale finansowego wsparcia na podstawie ustawy zostanie zainstalowane wyposażenie, o którym mowa w art. 6b ustawy (z wyłączeniem przedsięwzięć, o których mowa w art. 3 ust. 2-3 ustawy), ze wskazaniem przyczyny braku jego instalacji.</t>
    </r>
  </si>
  <si>
    <t>Z wyłączeniem przedsięwzięć, o których mowa w art. 3 ust. 2-3 ustawy</t>
  </si>
  <si>
    <t>Nie dotyczy w przypadku przedsięwzięć, o których mowa w art. 3 ust. 2-3 ustawy</t>
  </si>
  <si>
    <t>Remont lub przebudowa budynku</t>
  </si>
  <si>
    <t xml:space="preserve">F. </t>
  </si>
  <si>
    <t>Data zakończenia realizacji przedsięwzięcia (dzień, miesiąc (słownie) i rok).</t>
  </si>
  <si>
    <t>Przewidywana data rozpoczęcia realizacji przedsięwzięcia (dzień, miesiąc (słownie) i rok).</t>
  </si>
  <si>
    <t>Przewidywana data zakończenia realizacji przedsięwzięcia (dzień, miesiąc (słownie) i rok).</t>
  </si>
  <si>
    <t>Przewidywana data zakończenia realizacji przedsięwzięcia, a w przypadku przedsięwzięcia obejmującego remont lub przebudowę części budynku w rozbiciu na poszczególne lokale mieszkalne (dzień, miesiąc (słownie) i rok) - data dla lokalu którego remont zakończy się jako ostatni.</t>
  </si>
  <si>
    <t>Dane podmiotu, na który została wydana decyzja [nazwa podmiotu, numer Regon]</t>
  </si>
  <si>
    <t>Dane podmiotu zgłaszającego [nazwa podmiotu zgłaszającego, numer Regon]</t>
  </si>
  <si>
    <t>A. Budowa budynku.</t>
  </si>
  <si>
    <t>B. Remont budynku albo jego części.</t>
  </si>
  <si>
    <t>C. Przebudowa budynku albo jego części.</t>
  </si>
  <si>
    <t>D. Zmiana sposobu użytkowania budynku albo jego części.</t>
  </si>
  <si>
    <t>E. Kupno lokalu mieszkalnego, budynku mieszkalnego albo udziału we współwłasności budynku mieszkalnego.</t>
  </si>
  <si>
    <t xml:space="preserve">F. Kupno lokalu mieszkalnego, budynku mieszkalnego albo udziału we współwłasności budynku mieszkalnego połączone z remontem tego lokalu lub budynku mieszkalnego. </t>
  </si>
  <si>
    <t>G. Budowa infrastruktury technicznej lub infrastruktury społecznej.</t>
  </si>
  <si>
    <t>H. Przebudowa infrastruktury technicznej lub infrastruktury społecznej.</t>
  </si>
  <si>
    <t xml:space="preserve">B. Liczba mieszkań treningowych. </t>
  </si>
  <si>
    <t xml:space="preserve">B. Liczba mieszkań wspomaganych. </t>
  </si>
  <si>
    <t>K. Liczba lokali mieszkalnych realizowanych w ramach programu „Za życiem”.</t>
  </si>
  <si>
    <t>L. Liczba lokali mieszkalnych dla osób starszych, o których mowa w art. 5b ustawy.</t>
  </si>
  <si>
    <t>E. Liczba lokali mieszkalnych na wynajem tworzonych z udziałem gminy albo związku międzygminnego w wyniku realizacji inwestycji przez inwestora, w przypadku gdy z realizacją przedsięwzięcia jest związane zawarcie umowy, o której mowa w art. 5 ust. 2 pkt 1 ustawy.</t>
  </si>
  <si>
    <r>
      <t>F. Liczba mieszkań pozyskiwanych w wyniku realizacji inwestycji przez społeczną agencję najmu, w przypadku gdy z realizacją przedsięwzięcia związane jest zawarcie umowy, o której mowa w art. 22b ustawy z dnia 26 października 1995 r. o społecznych formach rozwoju mieszkalnictwa.</t>
    </r>
    <r>
      <rPr>
        <sz val="8"/>
        <color theme="1"/>
        <rFont val="Calibri"/>
        <family val="2"/>
        <charset val="238"/>
        <scheme val="minor"/>
      </rPr>
      <t> </t>
    </r>
  </si>
  <si>
    <t>G. Liczba miejsc w noclegowniach.</t>
  </si>
  <si>
    <t xml:space="preserve">H. Liczba miejsc w schroniskach dla osób bezdomnych. </t>
  </si>
  <si>
    <t>I. Liczba miejsc w ogrzewalniach.</t>
  </si>
  <si>
    <t xml:space="preserve">2) Liczba mieszkań wspomaganych. </t>
  </si>
  <si>
    <t xml:space="preserve">2) Liczba mieszkań treningowych. </t>
  </si>
  <si>
    <t>J. Wskazanie, które z zadań własnych gminy, o których mowa w art. 7 ust. 1 pkt 2, 3, 4–6, 8–10 i 12 ustawy z dnia 8 marca 1990 r. o samorządzie gminnym, lub zadań publicznych powiatu, o których mowa w art. 4 ust. 1 pkt 1–3, 6–8 i 12 ustawy z dnia 5 czerwca 1998 r. o samorządzie powiatowym, jest realizowane w ramach przedsięwzięcia, o którym mowa w art. 5c ust. 1 lub 2 ustawy.</t>
  </si>
  <si>
    <t xml:space="preserve">A. W przypadku budowy budynku, remontu, przebudowy lub zmiany sposobu użytkowania budynku lub jego części: </t>
  </si>
  <si>
    <t>Jeżeli przedsięwzięcie obejmuje remont lub przebudowę części kilku budynków – informacje należy uzupełnić o adres każdego z budynków, koszt przedsięwzięcia i powierzchnię w rozbiciu na poszczególne lokale mieszkalne znajdujące się w budynkach objętych wnioskiem, w ujęciu tabelarycznym.</t>
  </si>
  <si>
    <t>C. W przypadku tworzenia lokali mieszkalnych na wynajem, powstających w wyniku realizacji przez inwestora innego niż gmina albo związek międzygminny budowy budynku, remontu lub przebudowy budynku lub jego części:</t>
  </si>
  <si>
    <t>B. W przypadku kupna lokali mieszkalnych, budynku mieszkalnego albo udziału we współwłasności budynku mieszkalnego w tym kupna połączonego z remontem tych lokali lub budynku mieszkalnego:</t>
  </si>
  <si>
    <r>
      <rPr>
        <b/>
        <sz val="11"/>
        <color rgb="FF000000"/>
        <rFont val="Calibri"/>
        <family val="2"/>
        <charset val="238"/>
        <scheme val="minor"/>
      </rPr>
      <t xml:space="preserve">2) </t>
    </r>
    <r>
      <rPr>
        <sz val="11"/>
        <color rgb="FF000000"/>
        <rFont val="Calibri"/>
        <family val="2"/>
        <charset val="238"/>
        <scheme val="minor"/>
      </rPr>
      <t>łączna powierzchnia użytkowa tworzonych w ramach przedsięwzięcia lokali wchodzących w skład mieszkaniowego zasobu gminy, mieszkań treningowych lub wspomaganych oraz tymczasowych pomieszczeń</t>
    </r>
    <r>
      <rPr>
        <b/>
        <sz val="11"/>
        <color rgb="FF000000"/>
        <rFont val="Calibri"/>
        <family val="2"/>
        <charset val="238"/>
        <scheme val="minor"/>
      </rPr>
      <t xml:space="preserve"> </t>
    </r>
    <r>
      <rPr>
        <sz val="11"/>
        <color rgb="FF000000"/>
        <rFont val="Calibri"/>
        <family val="2"/>
        <charset val="238"/>
        <scheme val="minor"/>
      </rPr>
      <t>[m²]</t>
    </r>
  </si>
  <si>
    <t>Obliczona zgodnie z art. 2 ust. 2 ustawy z dnia 21 czerwca 2001 r. o ochronie praw lokatorów, mieszkaniowym zasobie gminy i o zmianie Kodeksu cywilnego (Dz. U. z 2023 r. poz. 725).</t>
  </si>
  <si>
    <t>Jeżeli przedsięwzięcie obejmuje remont lub przebudowę części kilku budynków – dane należy uzupełnić o adres każdego z budynków oraz powierzchnię użytkową w rozbiciu na poszczególne lokale mieszkalne znajdujące się w budynkach objętych wnioskiem, w ujęciu tabelarycznym.</t>
  </si>
  <si>
    <t>Łączna powierzchnia użytkowa tworzonych w ramach przedsięwzięcia lokali wchodzących w skład mieszkaniowego zasobu gminy, mieszkań treningowych lub wspomaganych oraz tymczasowych pomieszczeń [m²]</t>
  </si>
  <si>
    <t>powierzchnia użytkowa lokali znajdujących się lub powstających w budynku, nieobjętych finansowym wsparciem [m²]</t>
  </si>
  <si>
    <r>
      <rPr>
        <b/>
        <sz val="11"/>
        <color rgb="FF000000"/>
        <rFont val="Calibri"/>
        <family val="2"/>
        <charset val="238"/>
        <scheme val="minor"/>
      </rPr>
      <t>3)</t>
    </r>
    <r>
      <rPr>
        <sz val="11"/>
        <color rgb="FF000000"/>
        <rFont val="Calibri"/>
        <family val="2"/>
        <charset val="238"/>
        <scheme val="minor"/>
      </rPr>
      <t xml:space="preserve">  liczba tworzonych mieszkań treningowych lub wspomaganych w budynku</t>
    </r>
  </si>
  <si>
    <r>
      <rPr>
        <b/>
        <sz val="11"/>
        <color theme="1"/>
        <rFont val="Calibri"/>
        <family val="2"/>
        <charset val="238"/>
        <scheme val="minor"/>
      </rPr>
      <t>2)</t>
    </r>
    <r>
      <rPr>
        <sz val="11"/>
        <color theme="1"/>
        <rFont val="Calibri"/>
        <family val="2"/>
        <charset val="238"/>
        <scheme val="minor"/>
      </rPr>
      <t xml:space="preserve"> numery działek ewidencyjnych, na których ma zostać utworzona infrastruktura techniczna lub infrastruktura społeczna</t>
    </r>
  </si>
  <si>
    <r>
      <rPr>
        <b/>
        <sz val="11"/>
        <color theme="1"/>
        <rFont val="Calibri"/>
        <family val="2"/>
        <charset val="238"/>
        <scheme val="minor"/>
      </rPr>
      <t>3)</t>
    </r>
    <r>
      <rPr>
        <sz val="11"/>
        <color theme="1"/>
        <rFont val="Calibri"/>
        <family val="2"/>
        <charset val="238"/>
        <scheme val="minor"/>
      </rPr>
      <t xml:space="preserve"> informacja o rodzaju planowanej infrastruktury technicznej lub infrastruktury społecznej</t>
    </r>
  </si>
  <si>
    <r>
      <t xml:space="preserve">4) </t>
    </r>
    <r>
      <rPr>
        <sz val="11"/>
        <color rgb="FF000000"/>
        <rFont val="Calibri"/>
        <family val="2"/>
        <charset val="238"/>
        <scheme val="minor"/>
      </rPr>
      <t>łączna powierzchnia użytkowa tworzonej infrastruktury technicznej lub infrastruktury społecznej - w przypadku realizacji obiektów kubaturowych,  a w przypadku realizacji obiektów liniowych – dane dotyczące rozmiaru/zakresu danego przedsięwzięcia</t>
    </r>
  </si>
  <si>
    <r>
      <t xml:space="preserve">5) </t>
    </r>
    <r>
      <rPr>
        <sz val="11"/>
        <color rgb="FF000000"/>
        <rFont val="Calibri"/>
        <family val="2"/>
        <charset val="238"/>
        <scheme val="minor"/>
      </rPr>
      <t>przewidywany koszt przedsięwzięcia</t>
    </r>
  </si>
  <si>
    <r>
      <t xml:space="preserve">6) </t>
    </r>
    <r>
      <rPr>
        <sz val="11"/>
        <color rgb="FF000000"/>
        <rFont val="Calibri"/>
        <family val="2"/>
        <charset val="238"/>
        <scheme val="minor"/>
      </rPr>
      <t>informacje o przedsięwzięciu lub inwestycji, z którymi powiązana jest realizacja przedsięwzięcia infrastrukturalnego, o którym mowa w art. 5c ustawy, w tym numer księgi wieczystej i adres nieruchomości, na której znajduje się albo będzie realizowane przedsięwzięcie lub inwestycja, z którymi powiązana jest realizacja przedsięwzięcia infrastrukturalnego.</t>
    </r>
  </si>
  <si>
    <r>
      <t xml:space="preserve">B. </t>
    </r>
    <r>
      <rPr>
        <sz val="11"/>
        <color rgb="FF000000"/>
        <rFont val="Calibri"/>
        <family val="2"/>
        <charset val="238"/>
        <scheme val="minor"/>
      </rPr>
      <t>Informacja, czy przedsięwzięcie nie jest realizowane przy udziale finansowania zwrotnego, o którym mowa w art. 15a ust. 1 ustawy z dnia 26 października 1995 r. o społecznych formach rozwoju mieszkalnictwa – w przypadku gdy z realizacją przedsięwzięcia jest związane zawarcie umowy, o której mowa w art. 5 ust. 2 pkt 1 ustawy, w przypadku, o którym mowa w art. 5a ust. 1 ustawy.</t>
    </r>
  </si>
  <si>
    <r>
      <t xml:space="preserve">C. </t>
    </r>
    <r>
      <rPr>
        <sz val="11"/>
        <color rgb="FF000000"/>
        <rFont val="Calibri"/>
        <family val="2"/>
        <charset val="238"/>
        <scheme val="minor"/>
      </rPr>
      <t>Informacja, czy przedsięwzięcie jest realizowane przy udziale finansowania zwrotnego, o którym mowa w art. 15a ust. 1 ustawy z dnia 26 października 1995 r. o społecznych formach rozwoju mieszkalnictwa, i czy wysokość środków publicznych przekazanych inwestorowi na tworzenie lokali mieszkalnych na wynajem z udziałem gminy albo związku międzygminnego z tytułu finansowego wsparcia udzielanego na zasadach określonych w ustawie oraz finansowania zwrotnego nie przekracza dopuszczalnej wysokości rekompensaty, o której mowa w art. 5 ust 5 ustawy – w przypadku gdy z realizacją przedsięwzięcia jest związane zawarcie umowy, o której mowa w art. 5 ust. 2 pkt 1 ustawy.</t>
    </r>
  </si>
  <si>
    <t>Informuję, że przedsięwzięcie jest realizowane przy udziale finansowania zwrotnego, o którym mowa w art. 15a ust. 1 ustawy z dnia 26 października 1995 r. o społecznych formach rozwoju mieszkalnictwa oraz wysokość środków publicznych przekazanych inwestorowi na tworzenie lokali mieszkalnych na wynajem z udziałem gminy albo związku międzygminnego z tytułu finansowego wsparcia udzielanego na zasadach określonych w ustawie oraz finansowania zwrotnego nie przekracza dopuszczalnej wysokości rekompensaty, o której mowa w art. 5 ust 5 ustawy – w przypadku gdy z realizacją przedsięwzięcia jest związane zawarcie umowy, o której mowa w art. 5 ust. 2 pkt 1 ustawy.</t>
  </si>
  <si>
    <t>Informuję, że przedsięwzięcie nie jest realizowane przy udziale finansowania zwrotnego, o którym mowa w art. 15a ust. 1 ustawy z dnia 26 października 1995 r. o społecznych formach rozwoju mieszkalnictwa, a wysokość środków publicznych przekazanych inwestorowi na tworzenie lokali mieszkalnych na wynajem z udziałem gminy albo związku międzygminnego z tytułu finansowego wsparcia udzielanego na zasadach określonych w ustawie nie przekracza dopuszczalnej wysokości rekompensaty, o której mowa w art. 5 ust 5 ustawy – w przypadku gdy z realizacją przedsięwzięcia jest związane zawarcie umowy, o której mowa w art. 5 ust. 2 pkt 1 ustawy.</t>
  </si>
  <si>
    <t>Koszt zakup, montażu lub budowy instalacji OZE</t>
  </si>
  <si>
    <r>
      <rPr>
        <b/>
        <sz val="11"/>
        <color rgb="FF000000"/>
        <rFont val="Calibri"/>
        <family val="2"/>
        <charset val="238"/>
        <scheme val="minor"/>
      </rPr>
      <t>G.</t>
    </r>
    <r>
      <rPr>
        <sz val="11"/>
        <color rgb="FF000000"/>
        <rFont val="Calibri"/>
        <family val="2"/>
        <charset val="238"/>
        <scheme val="minor"/>
      </rPr>
      <t xml:space="preserve"> Informacja o sposobie wyodrębnienia kosztów przedsięwzięcia, o których mowa w art. 14 ust. 1 ustawy, które nie podlegają sfinansowaniu w ramach danego wniosku, lub też kosztów innych niż te, o których mowa w art. 14 ust. 1 ustawy.</t>
    </r>
  </si>
  <si>
    <t xml:space="preserve">Informuję, że przedsięwzięcie spełnia standardy, o których mowa w przepisach wydanych na podstawie art. 53 ust. 24 ustawy z dnia 12 marca 2004 r. o pomocy społecznej – w przypadku przedsięwzięcia, o którym mowa w art. 6 ustawy. </t>
  </si>
  <si>
    <t>3) liczbie kondygnacji w budynkach przewidzianych w ramach przedsięwzięcia, w tym kondygnacji naziemnych i podziemnych (w przypadku różnej liczby kondygnacji, należy wskazać je dla każdego budynku osobno)</t>
  </si>
  <si>
    <t>4) tym, czy w każdym budynku oraz każdej wydzielonej w pionie odrębnej części budynku zaprojektowano dźwig przystosowany do przewozu mebli, chorych na noszach i osób niepełnosprawnych (jeżeli nie w każdym – należy wskazać, w których budynkach zostały zaprojektowane i w jakiej liczbie)</t>
  </si>
  <si>
    <t>6) minimalnej liczbie stanowisk i garaży, o których mowa w pkt 5, wynikającej z ustaleń miejscowego planu zagospodarowania przestrzennego albo decyzji o warunkach zabudowy, w tym przypadających na lokale mieszkalne objęte wnioskiem.</t>
  </si>
  <si>
    <t>Remont lub przebudowa budynku SAN</t>
  </si>
  <si>
    <t>Społeczna agencja najmu</t>
  </si>
  <si>
    <t>80/60/40%</t>
  </si>
  <si>
    <t>Informuję, że tworzone lokale mieszkalne na wynajem będą wynajmowane i użytkowane na zasadach wskazanych w art. 7a–7d oraz 7f ustawy.</t>
  </si>
  <si>
    <t>Informacja, że inwestor, któremu powierzy się świadczenie usługi publicznej w ogólnym interesie gospodarczym, świadczyć będzie usługę polegającą na najmie lokali mieszkalnych na warunkach określonych w art. 7a–7d oraz 7f ustawy.</t>
  </si>
  <si>
    <t>Informacja, że inwestor, któremu powierzy się świadczenie usługi publicznej w ogólnym interesie gospodarczym, nie będzie świadczyć usługi polegającej na najmie lokali mieszkalnych na warunkach określonych w art. 7a–7d oraz 7f ustawy.</t>
  </si>
  <si>
    <t>Informuję, że inwestor, któremu powierzy się świadczenie usługi publicznej w ogólnym interesie gospodarczym, świadczyć będzie usługę polegającą na najmie lokali mieszkalnych na warunkach określonych w art. 7a–7f ustawy.</t>
  </si>
  <si>
    <t>Informuję, że inwestor, któremu powierzy się świadczenie usługi publicznej w ogólnym interesie gospodarczym, nie będzie świadczyć usługi polegającej na najmie lokali mieszkalnych na warunkach określonych w art. 7a–7f ustawy.</t>
  </si>
  <si>
    <t>Art.. 5 - SAN</t>
  </si>
  <si>
    <t>Informuję, że (inwestor) posiada prawo własności lokalu mieszkalnego, budynku mieszkalnego jednorodzinnego, budynku innego niż mieszkalny albo części takiego budynku, w którym realizowane jest przedsięwzięcie.</t>
  </si>
  <si>
    <t>Informuję, że (inwestor) posiada prawo dzierżawy lokalu mieszkalnego, budynku mieszkalnego jednorodzinnego, budynku innego niż mieszkalny albo części takiego budynku, w którym realizowane jest przedsięwzięcie.</t>
  </si>
  <si>
    <r>
      <t>ZH.</t>
    </r>
    <r>
      <rPr>
        <sz val="11"/>
        <color rgb="FF000000"/>
        <rFont val="Calibri"/>
        <family val="2"/>
        <charset val="238"/>
        <scheme val="minor"/>
      </rPr>
      <t xml:space="preserve"> W przypadku przedsięwzięcia, o którym mowa w art. 5 ust. 1 albo art. 5c ust. 2 ustawy, informacja o dacie bądź planowanej dacie zawarcia umowy, o której mowa w art. 5 ust. 2 pkt 1 albo pkt 2 lit. a albo art. 5c ust. 3 ustawy, oraz okresie, na jaki została bądź zostanie zawarta ta umowa.  </t>
    </r>
  </si>
  <si>
    <t xml:space="preserve"> Informacja o dacie zawarcia umowy, o której mowa w art. 5 ust. 2 pkt 1 albo pkt 2 lit. a albo art. 5c ust. 3 ustawy</t>
  </si>
  <si>
    <t xml:space="preserve">Okres, na jaki została zawarta ta umowa.  </t>
  </si>
  <si>
    <t xml:space="preserve">Okres, na jaki zostanie zawarta ta umowa.  </t>
  </si>
  <si>
    <t xml:space="preserve">Informuję, że gmina określiła kryteria, o których mowa w art. 22e ust. 1 pkt 1 ustawy z dnia 26 października 1995 r. o społecznych formach rozwoju mieszkalnictwa. </t>
  </si>
  <si>
    <t xml:space="preserve">Informuję, że gmina nieokreśliła kryteriów, o których mowa w art. 22e ust. 1 pkt 1 ustawy z dnia 26 października 1995 r. o społecznych formach rozwoju mieszkalnictwa. </t>
  </si>
  <si>
    <t xml:space="preserve">do 80% w przypadku BB/RPBn lokali mieszkalnych z prawem gminy do podnajmowania art. 5a </t>
  </si>
  <si>
    <t>Wybierz nie dotyczy lub dla przedsięwzięć mieszanych właściwe w zakresie art. 5</t>
  </si>
  <si>
    <t>Wybierz nie dotyczy lub dla przedsięwzięć mieszanych właściwe w zakresie art. 5a</t>
  </si>
  <si>
    <t>F. Liczba mieszkań pozyskiwanych w wyniku realizacji inwestycji przez społeczną agencję najmu, w przypadku gdy z realizacją przedsięwzięcia związane jest zawarcie umowy, o której mowa w art. 22b ustawy z dnia 26 października 1995 r. o społecznych formach rozwoju mieszkalnictwa. </t>
  </si>
  <si>
    <t>objęte wnioskiem</t>
  </si>
  <si>
    <t>realizowane</t>
  </si>
  <si>
    <t>Wybrać "nie dotyczy realizowanego przedsięwzięcia" w przypadku przedsięwzięć, o których mowa w art. 3 ust. 1 pkt 5 ustawy</t>
  </si>
  <si>
    <t>zgodnie z przepisami ustawy z dnia 8 grudnia 2006 r. o finansowym wsparciu niektórych przedsięwzięć mieszkaniowych (t.j. Dz.U. 2024 poz. 304 z późn. zm.)</t>
  </si>
  <si>
    <t>Weryfikacji poprawności adresu można dokonać na stronie internetowej -&gt; https://eteryt.stat.gov.pl/eTeryt/rejestr_teryt/udostepnianie_danych/baza_teryt/uzytkownicy_indywidualni/wyszukiwanie/wyszukiwanie.aspx?contrast=default</t>
  </si>
  <si>
    <t>Przedsięwzięcie jest objęte gminnym programem rewitalizacji w rozumieniu przepisu art. 15 ustawy z dnia 9 października 2015 r. o rewitalizacji (Dz. U. z 2024 r. poz. 278).</t>
  </si>
  <si>
    <t>Przedsięwzięcie nie jest objęte gminnym programem rewitalizacji w rozumieniu przepisu art. 15 ustawy z dnia 9 października 2015 r. o rewitalizacji (Dz. U. z 2024 r. poz. 278).</t>
  </si>
  <si>
    <t>Wybierz właściwe</t>
  </si>
  <si>
    <t>Nowy wniosek</t>
  </si>
  <si>
    <t>Korekta wniosku</t>
  </si>
  <si>
    <t>Jeżeli składasz korektę wniosku wpisz numer pisma z wezwania do uzupełnienia</t>
  </si>
  <si>
    <t>Wpisz nie dotyczy jeżeli skąłdasz nowy wniosek</t>
  </si>
  <si>
    <t>Najczęściej zadawane pytania i odpowiedzi o e-Doręczeniach</t>
  </si>
  <si>
    <t>Numer NIP i numer REGON powinny być zgodne z bazą regon przypisaną do nazwy wnioskodacy</t>
  </si>
  <si>
    <t>Nazwa wnioskodawcy powinna być zgodna z bazą REGON</t>
  </si>
  <si>
    <t>Numer KRS powinien być zgodny z bazą KRS dla wnioskodawcy</t>
  </si>
  <si>
    <t>Numer KRS powinien być zgodny z bazą KRS dla inwestora</t>
  </si>
  <si>
    <t>Jeżeli wniosek będzie podpisany przez inną osobę niż wskazaną dla danego rodzaju beneficjenta należy dołączyć do wniosku, dla tej osoby, dokument potwierdzający prawo do reprezentowania beneficjenta. Osoby wskazane do reprezentacji danego typu beneficjenta to:                                                                                                                                                                              1) w przypadku gminy – wójta (burmistrza, prezydenta miasta);
2) w przypadku związku międzygminnego – zarząd związku;
3) w przypadku powiatu – starostę;
4) w przypadku jednoosobowej spółki gminnej, organizacji pozarządowej albo podmiotów, o których mowa w art. 3 ust. 3 ustawy z dnia 24 kwietnia 2003 r. o działalności pożytku publicznego i o wolontariacie – osobę lub osoby uprawnione do składania oświadczeń woli w imieniu spółki i organizacji.</t>
  </si>
  <si>
    <t>Jeżeli wniosek będzie podpisany przez inną osobę niż wskazaną dla danego rodzaju beneficjenta należy dołączyć do wniosku, dla tej osoby, dokument potwierdzający prawo do reprezentowania beneficjenta. Osoby wskazane do reprezentacji danego typu beneficjenta to:                                                                                                                                                                              1) w przypadku gminy – wójta (burmistrza, prezydenta miasta);
2) w przypadku związku międzygminnego – zarząd związku;
3) w przypadku powiatu – starostę.</t>
  </si>
  <si>
    <t>Jeżeli wniosek będzie podpisany przez inną osobę niż wskazaną dla danego rodzaju beneficjenta należy dołączyć do wniosku, dla tej osoby, dokument potwierdzający prawo do reprezentowania beneficjenta. Osoby wskazane do reprezentacji danego typu beneficjenta to:                                                                                                                                                                              1) w przypadku gminy – wójta (burmistrza, prezydenta miasta);
3) w przypadku powiatu – starostę;
4) w przypadku jednoosobowej spółki gminnej, organizacji pozarządowej albo podmiotów, o których mowa w art. 3 ust. 3 ustawy z dnia 24 kwietnia 2003 r. o działalności pożytku publicznego i o wolontariacie – osobę lub osoby uprawnione do składania oświadczeń woli w imieniu spółki i organizacji.</t>
  </si>
  <si>
    <t>Jeżeli wniosek będzie podpisany przez inną osobę niż wskazaną dla danego rodzaju beneficjenta należy dołączyć do wniosku, dla tej osoby, dokument potwierdzający prawo do reprezentowania beneficjenta. Osoby wskazane do reprezentacji danego typu beneficjenta to:                                                                                                                                                                                                                                             1) w przypadku gminy – wójta (burmistrza, prezydenta miasta);
2) w przypadku związku międzygminnego – zarząd związku.</t>
  </si>
  <si>
    <t>Jeżeli wniosek będzie podpisany przez inną osobę niż wskazaną dla danego rodzaju beneficjenta należy dołączyć do wniosku, dla tej osoby, dokument potwierdzający prawo do reprezentowania beneficjenta. Osoby wskazane do reprezentacji danego typu beneficjenta to:                                                                                                                                                                              1) w przypadku gminy – wójta (burmistrza, prezydenta miasta);
2) w przypadku związku międzygminnego – zarząd związku.</t>
  </si>
  <si>
    <t>Jeżeli wniosek będzie podpisany przez inną osobę niż wskazaną dla danego rodzaju beneficjenta należy dołączyć do wniosku, dla tej osoby, dokument potwierdzający prawo do reprezentowania beneficjenta. Osoby wskazane do reprezentacji danego typu beneficjenta to:                                                                                                                                                                              
3) w przypadku powiatu – starostę;</t>
  </si>
  <si>
    <t>Jeżeli wniosek będzie podpisany przez inną osobę niż wskazaną dla danego rodzaju beneficjenta należy dołączyć do wniosku, dla tej osoby, dokument potwierdzający prawo do reprezentowania beneficjenta. Osoby wskazane do reprezentacji danego typu beneficjenta to:                                                                                                                                                                                                                                                                         1) w przypadku gminy – wójta (burmistrza, prezydenta miasta);
2) w przypadku związku międzygminnego – zarząd związku.</t>
  </si>
  <si>
    <t>Informuję o wyrażeniu zgody na przekazywanie przez Bank Gospodarstwa Krajowego wszelkich informacji o realizowanym przedsięwzięciu oraz na udostępnianie i przekazywanie dokumentacji fotograficznej przedsięwzięcia ministrowi właściwemu do spraw budownictwa, planowania i zagospodarowania przestrzennego oraz mieszkalnictwa.</t>
  </si>
  <si>
    <t>Dostosowanie Standardów Schronisk dla osób bezdomnych art. 4</t>
  </si>
  <si>
    <t>Mieszkania treningowe i wspomagane * art. 3 oraz art. 6</t>
  </si>
  <si>
    <t>Mieszkania treningowe i wspomagane z prawem do podnajmowania art. 5a w związku z art. 6 *</t>
  </si>
  <si>
    <t>Schroniska dla osób bezdomnych art. 4*</t>
  </si>
  <si>
    <t>Byłe Mieszkania Zakładowe art. 3</t>
  </si>
  <si>
    <t>Lokale Mieszkalne stanowiące mieszkaniowy zasób gminy * art. 3</t>
  </si>
  <si>
    <t>Adres wnioskodawcy [kod pocztowy, nazwa miejscowości, nazwa ulicy, numer porządkowy budynku, numer lokalu] zgodnie z nazwami miejscowości i ulicy w Rejestrze TERYT</t>
  </si>
  <si>
    <t>łączna powierzchnia użytkowa lokali mieszkalnych nabywanych w ramach przedsięwzięcia [m²]</t>
  </si>
  <si>
    <t>łączna powierzchnia użytkowa przeznaczona na zaspokajanie potrzeb osób starszych, nieobejmująca powierzchni użytkowej lokali mieszkalnych dla seniorów [m²]</t>
  </si>
  <si>
    <t>Adresy nabywanych lokali lub budynków [ Miejscowość, ulica, nr porządkowy budynku, numer lokalu]</t>
  </si>
  <si>
    <t>Liczba nabywanych lokali mieszkalnych</t>
  </si>
  <si>
    <t xml:space="preserve">2) mieszkania treningowe lub wspomagane. </t>
  </si>
  <si>
    <t>D. Liczba mieszkań pozyskiwanych w wyniku realizacji inwestycji przez społeczną inicjatywę mieszkaniową albo spółkę gminną, gdy z realizacją przedsięwzięcia jest związane zawarcie umowy, o której mowa w art. 5 ust. 2 pkt 1 ustawy, w przypadku, o którym mowa w art. 5a ust. 1 ustawy:
1) mieszkania przeznaczone do podnajmowania osobom spełniającym warunki otrzymania lokalu wchodzącego w skład mieszkaniowego zasobu gminy.</t>
  </si>
  <si>
    <t>Uwaga: rodzaj zasobu mieszkania treningowe i wspomagane są innym rodzajem zasobu niż lokale wchodzące w skład mieszkaniowego zasobu gminy i należy je wskazywać oddzielnie w pkt IV wniosku. Jeżeli wnioskujesz tylko o realizację rodzaju zasobu mieszkania treningowe lub wspomagane w sekcji IV.A. Liczba lokali wchodzących w skład mieszkaniowego zasobu gminy (…) wpisz 0, a w sekcji IV.B. Liczba mieszkań treningowych lub wspomaganych wprowadź właściwe wartości. Wprowadzenie w sekcji IV.A. Liczba lokali wchodzących w skład mieszkaniowego zasobu gminy (…) pomimo braku ich realizacji prowadzi do nieprawidłowości.</t>
  </si>
  <si>
    <t>Wpisz nie dotyczy jeżeli skałdasz nowy wniosek</t>
  </si>
  <si>
    <t>Łączna liczba powstającego zasobu składająca się z liczby lokali wchodzących w skład mieszkaniowego zasobu gminy oraz liczby mieszkań wspomaganych i treningowych.</t>
  </si>
  <si>
    <t>Zweryfikuj czy łączna liczba zasobu jest zgodna z zamierzeniami inwestycyjnymi.</t>
  </si>
  <si>
    <t>Łączna liczba mieszkań przeznaczonych do podnajmowania osobom spełniającym warunki otrzymania lokalu wchodzącego w skład mieszkaniowego zasobu gminy oraz liczby mieszkań wspomaganych i treningowych.</t>
  </si>
  <si>
    <t>Mieszkania wspomagane i treningowe *</t>
  </si>
  <si>
    <t>Uwaga: rodzaj zasobu mieszkania treningowe i wspomagane są innym rodzajem zasobu niż mieszkania przeznaczone do podnajmowania osobom spełniającym warunki otrzymania lokalu wchodzącego w skład mieszkaniowego zasobu gminy i należy je wskazywać oddzielnie w pkt IV wniosku. Jeżeli wnioskujesz tylko o realizację rodzaju zasobu mieszkania treningowe lub wspomagane w sekcji IV.A. Liczba mieszkań przeznaczonych do podnajmowania osobom spełniającym warunki otrzymania lokalu wchodzącego w skład mieszkaniowego zasobu gminy (…) wpisz 0, a w sekcji IV.B. Liczba mieszkań treningowych lub wspomaganych wprowadź właściwe wartości. Wprowadzenie w sekcji IV.A. Liczba mieszkań przeznaczonych do podnajmowania osobom spełniającym warunki otrzymania lokalu wchodzącego w skład mieszkaniowego zasobu gminy (…) pomimo braku ich realizacji prowadzi do nieprawidłowości.</t>
  </si>
  <si>
    <t>Informuję, że przedsięwzięcie jest realizowane na podstawie dokumentacji projektowej opracowanej z wykorzystaniem zasobu projektów, o którym mowa w art. 7g ustawy.</t>
  </si>
  <si>
    <t>Nie posiadam adresu do doręczeń elektronicznych</t>
  </si>
  <si>
    <r>
      <t xml:space="preserve">VIII. Informacje o prawdziwości danych zawartych we wniosku, podpisane przez: </t>
    </r>
    <r>
      <rPr>
        <sz val="11"/>
        <color rgb="FF000000"/>
        <rFont val="Calibri"/>
        <family val="2"/>
        <charset val="238"/>
        <scheme val="minor"/>
      </rPr>
      <t>(Jeżeli podpis składa inna osoba niż wójt, burmistrz, prezydent miasta, starosta, osoba uprawniona do składania oświadczeń woli przez spółkę lub organizację nie wymieniona w Krajowym Rejestrze Sądowym należy dołączyć dokument potwierdzający uprawnienia do składania oświadczeń w imieniu beneficjenta wsparcia dla tej osoby.)</t>
    </r>
  </si>
  <si>
    <t>Koszty materiałów i robót budowlanych budynku</t>
  </si>
  <si>
    <t>Koszty hali garażowej w budynku mieszkalnym</t>
  </si>
  <si>
    <t>Koszty stanowisk postojowych lub garaży</t>
  </si>
  <si>
    <r>
      <t xml:space="preserve">Wskaźnik (I.) powierzchniowy, zgodny z art. 15 ww. ustawy należy zastosować - jeżeli w budynku lub części budynku, w których w wyniku realizacji przedsięwzięcia powstaną lokale mieszkalne, </t>
    </r>
    <r>
      <rPr>
        <u/>
        <sz val="11"/>
        <rFont val="Calibri"/>
        <family val="2"/>
        <charset val="238"/>
        <scheme val="minor"/>
      </rPr>
      <t>znajdują się lub powstaną również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lokali mieszkalnych, w powierzchni stanowiącej sumę powierzchni użytkowej lokali, oraz powierzchni użytkowej lokali nieobjętych finansowym wsparciem. Wartość wskaźnika równa się (liczbie wskazanej w pkt V.A.A.2</t>
    </r>
    <r>
      <rPr>
        <b/>
        <sz val="11"/>
        <rFont val="Calibri"/>
        <family val="2"/>
        <charset val="238"/>
        <scheme val="minor"/>
      </rPr>
      <t>/</t>
    </r>
    <r>
      <rPr>
        <sz val="11"/>
        <rFont val="Calibri"/>
        <family val="2"/>
        <charset val="238"/>
        <scheme val="minor"/>
      </rPr>
      <t>(liczbie wskazanej w pkt V.A.A.2+liczbie wskazanej w pkt V.A.A.3)).</t>
    </r>
  </si>
  <si>
    <t>Koszty materiałów i robót budowlanych zagospodarowanie terenu</t>
  </si>
  <si>
    <r>
      <t xml:space="preserve">4) </t>
    </r>
    <r>
      <rPr>
        <sz val="11"/>
        <color rgb="FF000000"/>
        <rFont val="Calibri"/>
        <family val="2"/>
        <charset val="238"/>
        <scheme val="minor"/>
      </rPr>
      <t xml:space="preserve">dodatkowa powierzchnia użytkowa przeznaczona na zaspokajanie potrzeb osób starszych nieobejmująca powierzchni użytkowej lokali mieszkalnych dla seniorów [m²] </t>
    </r>
  </si>
  <si>
    <r>
      <t>VIII. Informacje o prawdziwości danych zawartych we wniosku, podpisane przez:</t>
    </r>
    <r>
      <rPr>
        <sz val="11"/>
        <color rgb="FF000000"/>
        <rFont val="Calibri"/>
        <family val="2"/>
        <charset val="238"/>
        <scheme val="minor"/>
      </rPr>
      <t xml:space="preserve"> (Jeżeli podpis składa inna osoba niż wójt, burmistrz, prezydent miasta, starosta, osoba uprawniona do składania oświadczeń woli przez spółkę lub organizację nie wymieniona w Krajowym Rejestrze Sądowym należy dołączyć dokument potwierdzający uprawnienia do składania oświadczeń w imieniu beneficjenta wsparcia dla tej osoby.)</t>
    </r>
  </si>
  <si>
    <r>
      <t xml:space="preserve">VIII. Informacje o prawdziwości danych zawartych we wniosku, podpisane przez: </t>
    </r>
    <r>
      <rPr>
        <sz val="11"/>
        <color rgb="FF000000"/>
        <rFont val="Calibri"/>
        <family val="2"/>
        <charset val="238"/>
        <scheme val="minor"/>
      </rPr>
      <t>(Jeżeli podpis składa inna osoba niż wójt, burmistrz, prezydent miasta, starosta, osoba uprawniona do składania oświadczeń woli przez związek międzygminny nie wymieniona w Krajowym Rejestrze Sądowym należy dołączyć dokument potwierdzający uprawnienia do składania oświadczeń w imieniu beneficjenta wsparcia dla tej osoby.)</t>
    </r>
  </si>
  <si>
    <r>
      <t xml:space="preserve">VIII. Informacje o prawdziwości danych zawartych we wniosku, podpisane przez: </t>
    </r>
    <r>
      <rPr>
        <sz val="11"/>
        <color rgb="FF000000"/>
        <rFont val="Calibri"/>
        <family val="2"/>
        <charset val="238"/>
        <scheme val="minor"/>
      </rPr>
      <t>(Jeżeli podpis składa inna osoba niż wójt, burmistrz, prezydent miasta, osoba uprawniona do składania oświadczeń woli przez związek międzygminny nie wymieniona w Krajowym Rejestrze Sądowym należy dołączyć dokument potwierdzający uprawnienia do składania oświadczeń w imieniu beneficjenta wsparcia dla tej osoby.)</t>
    </r>
  </si>
  <si>
    <r>
      <t xml:space="preserve">VIII. Informacje o prawdziwości danych zawartych we wniosku, podpisane przez: </t>
    </r>
    <r>
      <rPr>
        <sz val="11"/>
        <color rgb="FF000000"/>
        <rFont val="Calibri"/>
        <family val="2"/>
        <charset val="238"/>
        <scheme val="minor"/>
      </rPr>
      <t>(Jeżeli podpis składa inna osoba niż starosta należy dołączyć dokument potwierdzający uprawnienia do składania oświadczeń w imieniu beneficjenta wsparcia dla tej osoby.)</t>
    </r>
  </si>
  <si>
    <t>Łączna powierzchnia użytkowa nabywanych lokali nieobjętych finansowym wsparciem [m²]</t>
  </si>
  <si>
    <r>
      <t xml:space="preserve">Wskaźnik (I.) powierzchniowy, zgodny z art. 15 ww. ustawy należy zastosować - jeżeli w budynku lub części budynku, w których w wyniku realizacji przedsięwzięcia powstaną lokale mieszkalne, </t>
    </r>
    <r>
      <rPr>
        <u/>
        <sz val="11"/>
        <rFont val="Calibri"/>
        <family val="2"/>
        <charset val="238"/>
        <scheme val="minor"/>
      </rPr>
      <t>znajdują się lub powstaną również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lokali mieszkalnych, w powierzchni stanowiącej sumę powierzchni użytkowej lokali, oraz powierzchni użytkowej lokali nieobjętych finansowym wsparciem. Wartość wskaźnika równa się (liczbie wskazanej w pkt V.A.B.3</t>
    </r>
    <r>
      <rPr>
        <b/>
        <sz val="11"/>
        <rFont val="Calibri"/>
        <family val="2"/>
        <charset val="238"/>
        <scheme val="minor"/>
      </rPr>
      <t>/</t>
    </r>
    <r>
      <rPr>
        <sz val="11"/>
        <rFont val="Calibri"/>
        <family val="2"/>
        <charset val="238"/>
        <scheme val="minor"/>
      </rPr>
      <t>(liczbie wskazanej w pkt V.A.B.3+liczbie wskazanej w pkt VI.G)).</t>
    </r>
  </si>
  <si>
    <r>
      <t xml:space="preserve">Wskaźnik (I.) powierzchniowy, zgodny z art. 15 ww. ustawy należy zastosować - jeżeli w budynku lub części budynku, w których w wyniku realizacji przedsięwzięcia powstaną lokale mieszkalne, </t>
    </r>
    <r>
      <rPr>
        <u/>
        <sz val="11"/>
        <rFont val="Calibri"/>
        <family val="2"/>
        <charset val="238"/>
        <scheme val="minor"/>
      </rPr>
      <t>znajdują się lub powstaną również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lokali mieszkalnych, w powierzchni stanowiącej sumę powierzchni użytkowej lokali, oraz powierzchni użytkowej lokali nieobjętych finansowym wsparciem. Wartość wskaźnika równa się (liczbie wskazanej w pkt V.A.C.5</t>
    </r>
    <r>
      <rPr>
        <b/>
        <sz val="11"/>
        <rFont val="Calibri"/>
        <family val="2"/>
        <charset val="238"/>
        <scheme val="minor"/>
      </rPr>
      <t>/</t>
    </r>
    <r>
      <rPr>
        <sz val="11"/>
        <rFont val="Calibri"/>
        <family val="2"/>
        <charset val="238"/>
        <scheme val="minor"/>
      </rPr>
      <t>(liczbie wskazanej w pkt V.A.C.5+liczbie wskazanej w pkt V.A.C.7)).</t>
    </r>
  </si>
  <si>
    <t>operat szacunkowy</t>
  </si>
  <si>
    <r>
      <t xml:space="preserve">Wskaźnik (I.) powierzchniowy, zgodny z art. 15 ww. ustawy należy zastosować - jeżeli w budynku lub części budynku, w których w wyniku realizacji przedsięwzięcia powstaną miejsca noclegowe, </t>
    </r>
    <r>
      <rPr>
        <u/>
        <sz val="11"/>
        <rFont val="Calibri"/>
        <family val="2"/>
        <charset val="238"/>
        <scheme val="minor"/>
      </rPr>
      <t>znajdują się lub powstaną również pomieszczenia lub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noclegowni, w powierzchni stanowiącej sumę powierzchni użytkowej noclegowni, oraz powierzchni użytkowej pomieszczeń i lokali nieobjętych finansowym wsparciem. Wartość wskaźnika równa się (liczbie wskazanej w pkt V.B.1.2)</t>
    </r>
    <r>
      <rPr>
        <b/>
        <sz val="11"/>
        <rFont val="Calibri"/>
        <family val="2"/>
        <charset val="238"/>
        <scheme val="minor"/>
      </rPr>
      <t>/</t>
    </r>
    <r>
      <rPr>
        <sz val="11"/>
        <rFont val="Calibri"/>
        <family val="2"/>
        <charset val="238"/>
        <scheme val="minor"/>
      </rPr>
      <t>(liczbie wskazanej w pkt V.B.1.2)+liczbie wskazanej w pkt V.B.1.3))).</t>
    </r>
  </si>
  <si>
    <r>
      <t xml:space="preserve">Wskaźnik (I.) powierzchniowy, zgodny z art. 15 ww. ustawy należy zastosować - jeżeli w budynku lub części budynku, w których w wyniku realizacji przedsięwzięcia powstaną miejsca dla osób bezdomnych, </t>
    </r>
    <r>
      <rPr>
        <u/>
        <sz val="11"/>
        <rFont val="Calibri"/>
        <family val="2"/>
        <charset val="238"/>
        <scheme val="minor"/>
      </rPr>
      <t>znajdują się lub powstaną również pomieszczenia lub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schroniska dla osób bezdomnych, w powierzchni stanowiącej sumę powierzchni użytkowej schroniska dla osób bezdomnych, oraz powierzchni użytkowej pomieszczeń i lokali nieobjętych finansowym wsparciem. Wartość wskaźnika równa się (liczbie wskazanej w pkt V.B.2.2)</t>
    </r>
    <r>
      <rPr>
        <b/>
        <sz val="11"/>
        <rFont val="Calibri"/>
        <family val="2"/>
        <charset val="238"/>
        <scheme val="minor"/>
      </rPr>
      <t>/</t>
    </r>
    <r>
      <rPr>
        <sz val="11"/>
        <rFont val="Calibri"/>
        <family val="2"/>
        <charset val="238"/>
        <scheme val="minor"/>
      </rPr>
      <t>(liczbie wskazanej w pkt V.B.2.2)+liczbie wskazanej w pkt V.B.2.3))).</t>
    </r>
  </si>
  <si>
    <r>
      <t xml:space="preserve">Wskaźnik (I.) powierzchniowy, zgodny z art. 15 ww. ustawy należy zastosować - jeżeli w budynku lub części budynku, w których w wyniku realizacji przedsięwzięcia powstaną miejsca noclegowe, </t>
    </r>
    <r>
      <rPr>
        <u/>
        <sz val="11"/>
        <rFont val="Calibri"/>
        <family val="2"/>
        <charset val="238"/>
        <scheme val="minor"/>
      </rPr>
      <t>znajdują się lub powstaną również pomieszczenia lub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noclegowni, w powierzchni stanowiącej sumę powierzchni użytkowej noclegowni, oraz powierzchni użytkowej pomieszczeń i lokali nieobjętych finansowym wsparciem. Wartość wskaźnika równa się (sumie liczbie wskazanej w pkt V.B.1.2)</t>
    </r>
    <r>
      <rPr>
        <b/>
        <sz val="11"/>
        <rFont val="Calibri"/>
        <family val="2"/>
        <charset val="238"/>
        <scheme val="minor"/>
      </rPr>
      <t>/</t>
    </r>
    <r>
      <rPr>
        <sz val="11"/>
        <rFont val="Calibri"/>
        <family val="2"/>
        <charset val="238"/>
        <scheme val="minor"/>
      </rPr>
      <t>(liczbie wskazanej w pkt V.B.1.2)+liczbie wskazanej w pkt V.B.1.3))).</t>
    </r>
  </si>
  <si>
    <r>
      <t xml:space="preserve">Wskaźnik (I.) powierzchniowy, zgodny z art. 15 ww. ustawy należy zastosować - jeżeli w budynku lub części budynku, w których w wyniku realizacji przedsięwzięcia powstaną miejsca dla osób bezdomnych, miejsca w noclegowniach lub miejsca w ogrzewalniach </t>
    </r>
    <r>
      <rPr>
        <u/>
        <sz val="11"/>
        <rFont val="Calibri"/>
        <family val="2"/>
        <charset val="238"/>
        <scheme val="minor"/>
      </rPr>
      <t>znajdują się lub powstaną również pomieszczenia lub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schroniska dla osób bezdomnych, noclegowni lub ogrzewalni w powierzchni stanowiącej sumę powierzchni użytkowej schroniska dla osób bezdomnych, oraz powierzchni użytkowej pomieszczeń i lokali nieobjętych finansowym wsparciem. Wartość wskaźnika równa się (sumie liczb wskazanych w pkt V.B.1.2 + V.B.2.2 + V.B.3.2)</t>
    </r>
    <r>
      <rPr>
        <b/>
        <sz val="11"/>
        <rFont val="Calibri"/>
        <family val="2"/>
        <charset val="238"/>
        <scheme val="minor"/>
      </rPr>
      <t>/</t>
    </r>
    <r>
      <rPr>
        <sz val="11"/>
        <rFont val="Calibri"/>
        <family val="2"/>
        <charset val="238"/>
        <scheme val="minor"/>
      </rPr>
      <t>(sumie liczb wskazanych w pkt V.B.1.2 + V.B.2.2 + V.B.3.2))+ sumie liczb wskazanych w pkt V.B.1.3 + V.B.2.3 + V.B.3.3)))).</t>
    </r>
  </si>
  <si>
    <t>Przewidywana data rozpoczęcia realizacji przedsięwzięcia /Data rozpoczęcia realizacji przedsięwzięcia (dzień, miesiąc (słownie) i rok).</t>
  </si>
  <si>
    <t>Przewidywana data zakończenia realizacji przedsięwzięcia / Data zakończenia realizacji przedsięwzięcia (dzień, miesiąc (słownie) i rok).</t>
  </si>
  <si>
    <t>Przewidywana data rozpoczęcia realizacji przedsięwzięcia / Data rozpoczęcia realizacji przedsięwzięcia (dzień, miesiąc (słownie) i rok).</t>
  </si>
  <si>
    <t>Jednocześnie potwierdzam za zgodność z oryginałem wszystkie przedłożone do wniosku o finansowe wsparcie dokumenty.</t>
  </si>
  <si>
    <t>A. Liczba lokali wchodzących w skład mieszkaniowego zasobu gminy, w tym liczba lokali, które zostaną utworzone i liczba lokali, które zostaną zmodernizowane.</t>
  </si>
  <si>
    <t>kwota rezerwy z stawką VAT 8%</t>
  </si>
  <si>
    <t>kwota rezerwy z stawką VAT 23%</t>
  </si>
  <si>
    <t xml:space="preserve"> Informacja o dacie bądź planowanej dacie zawarcia umowy, o której mowa w art. 5 ust. 2 pkt 1 albo pkt 2 lit. a albo art. 5c ust. 3 ustawy</t>
  </si>
  <si>
    <r>
      <t>Zgodnie z art. 14 ust. 1 pkt 1 lit. a tiret drugie i ust. 2 ww. ustawy przez koszty wykonania stanowisk postojowych lub garaży znajdujących się w budynkach mieszkalnych i wielopoziomowych, rozumie się koszty wykonania stanowisk postojowych lub garaży zlokalizowanych w obrębie finansowanego przedsięwzięcia w liczbie nieprzekraczającej minimalnej liczby wynikającej z ustaleń miejscowego planu zagospodarowania przestrzennego albo decyzji o warunkach zabudowy oraz przypadającej na finansowanie w ramach przedsięwzięcia. Przedstawiamy wskaźnik kosztowy ma on zastosowanie do kosztów realizowanych stanowisk postojowych lub garaży znajdujących się w budynkach mieszkalnych i wielopoziomowych. Koszty te rodzajowo należy wyodrębnić w przynajmniej jednej pozycji (</t>
    </r>
    <r>
      <rPr>
        <b/>
        <sz val="11"/>
        <rFont val="Calibri"/>
        <family val="2"/>
        <charset val="238"/>
        <scheme val="minor"/>
      </rPr>
      <t>Koszty stanowisk postojowych lub garaży, Koszty hali garażowej w budynku mieszkalnym</t>
    </r>
    <r>
      <rPr>
        <sz val="11"/>
        <rFont val="Calibri"/>
        <family val="2"/>
        <charset val="238"/>
        <scheme val="minor"/>
      </rPr>
      <t xml:space="preserve">) w pkt VI.F. i zastosować wskaźnik kosztowy do realizowanych stanowisk postojowych lub garaży. W przypadku gdy w przedsięwzięciu występuje zarówno wskaźnik kosztowy realizowanych stanowisk postojowych lub garaży oraz wskaźnik powierzchniowy, zgodny z art. 15 ww. ustawy to dla pozycji kosztowej stanowiska postojowe i garaże należy zastosować iloczyn obu wskaźników. </t>
    </r>
    <r>
      <rPr>
        <b/>
        <sz val="11"/>
        <rFont val="Calibri"/>
        <family val="2"/>
        <charset val="238"/>
        <scheme val="minor"/>
      </rPr>
      <t>Wskaźnik (II.) kosztowy</t>
    </r>
    <r>
      <rPr>
        <sz val="11"/>
        <rFont val="Calibri"/>
        <family val="2"/>
        <charset val="238"/>
        <scheme val="minor"/>
      </rPr>
      <t xml:space="preserve"> jaki należy zastosować do realizowanych stanowisk postojowych lub garaży znajdujących się w budynkach mieszkalnych i wielopoziomowych to liczba równa ilorazowi (liczby z pkt VI.ZG.6 objęte wnioskiem i liczby z pkt VI.ZG.5 realizowane).</t>
    </r>
  </si>
  <si>
    <t>Jeżeli zastosowane ww. wskaźniki kosztowe I. i II. nie są wystarczające, żeby wyodrębnić wszystkie koszty niekwalifikowane opisz poniżej szczegółowo informację o sposobie wyodrębnienia tych kosztów przedsięwzięcia, o których mowa w art. 14 ust. 1 ustawy, które nie podlegają sfinansowaniu w ramach danego wniosku. Koszty te rodzajowo należy wyodrębnić w pozycji w pkt VI.F. oraz wpisać dla tych pozycji wskaźnik III. kosztowy.</t>
  </si>
  <si>
    <t>Jeżeli zastosowany ww. wskaźniki kosztowy I. nie jest wystarczający, żeby wyodrębnić wszystkie koszty niekwalifikowane opisz poniżej szczegółowo informację o sposobie wyodrębnienia tych kosztów przedsięwzięcia, o których mowa w art. 14 ust. 1 ustawy, które nie podlegają sfinansowaniu w ramach danego wniosku. Koszty te rodzajowo należy wyodrębnić w pozycji w pkt VI.F. oraz wpisać dla tych pozycji wskaźnik II. kosztowy.</t>
  </si>
  <si>
    <t>Jeżeli zastosowany ww. wskaźniki kosztowy I. nie jest wystarczający, żeby wyodrębnić wszystkie koszty niekwalifikowane opisz poniżej szczegółowo informację o sposobie wyodrębnienia tych kosztów przedsięwzięcia, o których mowa w art. 14 ust. 2 ustawy, które nie podlegają sfinansowaniu w ramach danego wniosku. Koszty te rodzajowo należy wyodrębnić w pozycji w pkt VI.F. oraz wpisać dla tych pozycji wskaźnik II. kosztowy.</t>
  </si>
  <si>
    <t>Inne źródła</t>
  </si>
  <si>
    <t>Między innymi preferencyjny kredyt z programu wspierania społecznego budownictwa czynszowego, partycypacja przyszłych najemców, itp.</t>
  </si>
  <si>
    <t>Informuję, że wobec przedsięwzięcia nie stosuje się standardów określonych ww. rozporządzeniu, zgodnie z § 2 pkt 1 tego rozporządzenia.</t>
  </si>
  <si>
    <t>Informuję, że wobec przedsięwzięcia nie stosuje się standardów określonych ww. rozporządzeniu, zgodnie z § 2 pkt 2 tego rozporządzenia.</t>
  </si>
  <si>
    <t>Informuję, że wobec przedsięwzięcia nie stosuje się standardów określonych ww. rozporządzeniu, zgodnie z § 2 pkt 3 tego rozporządzenia.</t>
  </si>
  <si>
    <t>Informuję, że wobec przedsięwzięcia nie stosuje się standardów określonych ww. rozporządzeniu, zgodnie z § 2 pkt 4 tego rozporządzenia.</t>
  </si>
  <si>
    <t>Informuję, że koszty łącznej powierzchni użytkowej lokali znajdujących się lub powstających w budynku, nieobjętych finansowym wsparciem (V.A.A.3) nie zostały ujęte w pozycjach kosztowych pkt VI.F wniosku. Wskazane, w pkt VI.F wniosku, pozycje kosztowe dotyczą tylko i wyłącznie kosztów łącznej powierzchni użytkowej tworzonych w ramach przedsięwzięcia lokali wchodzących w skład mieszkaniowego zasobu gminy, mieszkań treningowych lub wspomaganych oraz tymczasowych pomieszczeń (V.A.A.2) dlatego wskaźnik kosztowy nie został zastosowany.</t>
  </si>
  <si>
    <t>Informuję, że koszty powierzchni użytkowej lokali znajdujących się lub powstających w budynku, nieobjętych finansowym wsparciem (V.A.A.3) zostały ujęte w pozycjach kosztowych pkt VI.F wniosku dlatego wskaźnik kosztowy został zastosowany.</t>
  </si>
  <si>
    <t>Informuję, że koszty łącznej powierzchni użytkowej nabywanych lokali nieobjętych finansowym wsparciem (liczba w komórce AJ97) nie zostały ujęte w pozycjach kosztowych pkt VI.F wniosku. Wskazane, w pkt VI.F wniosku, pozycje kosztowe dotyczą tylko i wyłącznie kosztów łącznej powierzchni użytkowej lokali mieszkalnych nabywanych w ramach przedsięwzięcia (V.A.B.3) dlatego wskaźnik kosztowy nie został zastosowany.</t>
  </si>
  <si>
    <t>Informuję, że koszty łącznej powierzchni użytkowej nabywanych lokali nieobjętych finansowym wsparciem (liczba w komórce AJ97) zostały ujęte w pozycjach kosztowych pkt VI.F wniosku dlatego wskaźnik kosztowy został zastosowany.</t>
  </si>
  <si>
    <t xml:space="preserve">Oświadczam, że wszczęto co najmniej jedno postępowanie o zamówienie publiczne na prace projektowe albo na podstawie umowy rozpoczęto prace projektowe przed dniem 1 stycznia 2024 r. </t>
  </si>
  <si>
    <t xml:space="preserve">Oświadczam, że została wydana decyzja o warunkach zabudowy i zagospodarowania terenu lub wszczęto postępowanie o jej wydanie przed dniem 1 stycznia 2024 r.  </t>
  </si>
  <si>
    <t xml:space="preserve">Oświadczam, że inwestor złożył wniosek o wydanie pozwolenia na budowę albo posiada pozwolenie na budowę przed dniem 1 stycznia 2024 r.  </t>
  </si>
  <si>
    <t>Oświadczam, że zostało dokonane zgłoszenie budowy lub innych robót budowlanych, w przypadku gdy nie jest wymagane uzyskanie pozwolenia na budowę, przed dniem 1 stycznia 2024 r.</t>
  </si>
  <si>
    <r>
      <t>Oświadczam, że wartość wskaźnika rocznego zapotrzebowania na nieodnawialną energię pierwotną EP w budynku realizowanym w ramach przedsięwzięcia nie przekracza 52 kWh/(m</t>
    </r>
    <r>
      <rPr>
        <vertAlign val="superscript"/>
        <sz val="11"/>
        <color theme="1"/>
        <rFont val="Calibri"/>
        <family val="2"/>
        <charset val="238"/>
        <scheme val="minor"/>
      </rPr>
      <t>2</t>
    </r>
    <r>
      <rPr>
        <sz val="11"/>
        <color theme="1"/>
        <rFont val="Calibri"/>
        <family val="2"/>
        <scheme val="minor"/>
      </rPr>
      <t>·rok).</t>
    </r>
  </si>
  <si>
    <r>
      <t>Jeżeli wartość wskaźnika rocznego zapotrzebowania na nieodnawialną energię pierwotną EP kWh/(m</t>
    </r>
    <r>
      <rPr>
        <vertAlign val="superscript"/>
        <sz val="11"/>
        <color theme="1"/>
        <rFont val="Calibri"/>
        <family val="2"/>
        <charset val="238"/>
        <scheme val="minor"/>
      </rPr>
      <t>2</t>
    </r>
    <r>
      <rPr>
        <sz val="11"/>
        <color theme="1"/>
        <rFont val="Calibri"/>
        <family val="2"/>
        <charset val="238"/>
        <scheme val="minor"/>
      </rPr>
      <t>·rok) dla realizowanego budynku przekracza 52 kWh/(m</t>
    </r>
    <r>
      <rPr>
        <vertAlign val="superscript"/>
        <sz val="11"/>
        <color theme="1"/>
        <rFont val="Calibri"/>
        <family val="2"/>
        <charset val="238"/>
        <scheme val="minor"/>
      </rPr>
      <t>2</t>
    </r>
    <r>
      <rPr>
        <sz val="11"/>
        <color theme="1"/>
        <rFont val="Calibri"/>
        <family val="2"/>
        <charset val="238"/>
        <scheme val="minor"/>
      </rPr>
      <t>·rok), wybierz jedno z oświadczeń, potwierdzając rozpoczęcie jednej z czynności przed dniem 1 stycznia 2024 r.</t>
    </r>
  </si>
  <si>
    <r>
      <t>Przepis art. 6aa ustawy z dnia 8 grudnia 2006 r. o finansowym wsparciu niektórych przedsięwzięć mieszkaniowych (Dz.U. 2024 poz. 304 z późn. zm.) stanowi, że w przypadku przedsięwzięć, o których mowa w art. 3 ust. 1 pkt 1 oraz w art. 5 ust. 1 pkt 1, finansowego wsparcia udziela się, jeżeli wartość wskaźnika rocznego zapotrzebowania na nieodnawialną energię pierwotną EP w budynku powstałym w ramach przedsięwzięcia nie przekracza 52 kWh/(m</t>
    </r>
    <r>
      <rPr>
        <vertAlign val="superscript"/>
        <sz val="11"/>
        <color theme="1"/>
        <rFont val="Calibri"/>
        <family val="2"/>
        <charset val="238"/>
        <scheme val="minor"/>
      </rPr>
      <t>2</t>
    </r>
    <r>
      <rPr>
        <sz val="11"/>
        <color theme="1"/>
        <rFont val="Calibri"/>
        <family val="2"/>
        <charset val="238"/>
        <scheme val="minor"/>
      </rPr>
      <t xml:space="preserve">·rok). W art. 8. ust. 1 ustawy z dnia 29 września 2022 r. o zmianie niektórych ustaw wspierających poprawę warunków mieszkaniowych (Dz.U. 2022 poz. 2456), zostały wprowadzone wyjątki od stosowania art. 6aa ww. ustawy, stanowiące że do przedsięwzięć, o których mowa w art. 3 ust. 1 pkt 1 oraz w art. 5 ust. 1 pkt 1 ustawy zmienianej w art. 5, dla których przed dniem 1 stycznia 2024 r.: 
1) wszczęto co najmniej jedno postępowanie o zamówienie publiczne na prace projektowe albo na podstawie umowy rozpoczęto prace projektowe lub 
2) została wydana decyzja o warunkach zabudowy i zagospodarowania terenu lub wszczęto postępowanie o jej wydanie, lub 
3) inwestor złożył wniosek o wydanie pozwolenia na budowę albo posiada pozwolenie na budowę, lub 
4) zostało dokonane zgłoszenie budowy lub innych robót budowlanych, w przypadku gdy nie jest wymagane uzyskanie pozwolenia na budowę 
– nie stosuje się przepisu art. 6aa ustawy zmienianej w art. 5. </t>
    </r>
  </si>
  <si>
    <r>
      <t xml:space="preserve">Przepis art. 8. ust. 2 ustawy z dnia 29 września 2022 r. o zmianie niektórych ustaw wspierających poprawę warunków mieszkaniowych, stanowi że w przypadku przedsięwzięć, o których mowa w art. 5 ust. 1 pkt 1 ustawy zmienianej w art. 5, spełniających warunek, o którym mowa w art. 8 ust. 1 ww. ustawy, stosuje się: 
1) art. 13 ust. 1 pkt 1 ustawy zmienianej w art. 5 w brzmieniu nadanym niniejszą ustawą (wysokość finansowego wsparcia na realizację przedsięwzięcia nie może przekroczyć </t>
    </r>
    <r>
      <rPr>
        <b/>
        <sz val="11"/>
        <color theme="1"/>
        <rFont val="Calibri"/>
        <family val="2"/>
        <charset val="238"/>
        <scheme val="minor"/>
      </rPr>
      <t>45% kosztów przedsięwzięcia</t>
    </r>
    <r>
      <rPr>
        <sz val="11"/>
        <color theme="1"/>
        <rFont val="Calibri"/>
        <family val="2"/>
        <charset val="238"/>
        <scheme val="minor"/>
      </rPr>
      <t xml:space="preserve"> (…) w części przekraczającej 35% kosztów przedsięwzięcia pokrywany jest do wysokości odpowiadającej wartości prawa własności albo prawa użytkowania wieczystego gruntu będącego we władaniu inwestora, na którym realizowane jest przedsięwzięcie), jeżeli wartość wskaźnika rocznego zapotrzebowania na nieodnawialną energię pierwotną EP w budynku powstałym w ramach przedsięwzięcia nie przekracza 52 kWh/(m</t>
    </r>
    <r>
      <rPr>
        <vertAlign val="superscript"/>
        <sz val="11"/>
        <color theme="1"/>
        <rFont val="Calibri"/>
        <family val="2"/>
        <charset val="238"/>
        <scheme val="minor"/>
      </rPr>
      <t>2</t>
    </r>
    <r>
      <rPr>
        <sz val="11"/>
        <color theme="1"/>
        <rFont val="Calibri"/>
        <family val="2"/>
        <charset val="238"/>
        <scheme val="minor"/>
      </rPr>
      <t xml:space="preserve"> ·rok); 
2) art. 13 ust. 1 pkt 1 ustawy zmienianej w art. 5 w brzmieniu dotychczasowym (wysokość finansowego wsparcia na realizację przedsięwzięcia nie może przekroczyć </t>
    </r>
    <r>
      <rPr>
        <b/>
        <sz val="11"/>
        <color theme="1"/>
        <rFont val="Calibri"/>
        <family val="2"/>
        <charset val="238"/>
        <scheme val="minor"/>
      </rPr>
      <t>35% kosztów przedsięwzięcia</t>
    </r>
    <r>
      <rPr>
        <sz val="11"/>
        <color theme="1"/>
        <rFont val="Calibri"/>
        <family val="2"/>
        <charset val="238"/>
        <scheme val="minor"/>
      </rPr>
      <t xml:space="preserve"> (…) w części przekraczającej 25% kosztów przedsięwzięcia pokrywany jest do wysokości odpowiadającej wartości prawa własności albo prawa użytkowania wieczystego gruntu będącego we władaniu inwestora, na którym realizowane jest przedsięwzięcie), jeżeli wartość wskaźnika rocznego zapotrzebowania na nieodnawialną energię pierwotną EP w budynku powstałym w ramach przedsięwzięcia przekracza 52 kWh/(m</t>
    </r>
    <r>
      <rPr>
        <vertAlign val="superscript"/>
        <sz val="11"/>
        <color theme="1"/>
        <rFont val="Calibri"/>
        <family val="2"/>
        <charset val="238"/>
        <scheme val="minor"/>
      </rPr>
      <t>2</t>
    </r>
    <r>
      <rPr>
        <sz val="11"/>
        <color theme="1"/>
        <rFont val="Calibri"/>
        <family val="2"/>
        <charset val="238"/>
        <scheme val="minor"/>
      </rPr>
      <t xml:space="preserve"> ·rok).</t>
    </r>
  </si>
  <si>
    <t>Informuję o prawdziwości danych zawartych we wniosku.</t>
  </si>
  <si>
    <t>Nie dotyczy realizowanego przedsięwzięcia EP nie przekracza 52 kWh/(m2·rok).</t>
  </si>
  <si>
    <t>do 25 lub 45% w przypadku BB/RPBn lokali mieszkalnych przeznaczonych na wynajem art. 5</t>
  </si>
  <si>
    <t>25%/35%</t>
  </si>
  <si>
    <t>Proszę wypełnić niebieskie pola, brak wypełnienia niebieskich pól może spowodować wezwanie do uzupełnienia wniosku, co wydłuży okres rozpatrzenia wniosku.</t>
  </si>
  <si>
    <t>B. Remont budynku albo jego części (udziela się również gdy remont dotyczy lokalu mieszkalnego zajmowanego przez lokatora na podstawie obowiązującej umowy najmu, jeżeli beneficjent wsparcia uzyskał premię, o której mowa w art. 11g ust. 1 ustawy z dnia 21 listopada 2008 r. o wspieraniu termomodernizacji i remontów oraz o centralnej ewidencji emisyjności budynków (Dz. U. z 2023 r. poz. 2496), z tytułu realizacji przedsięwzięcia termomodernizacyjnego lub remontowego w budynku, w którym znajdują się te lokale mieszkalne, i realizuje to przedsięwzięcie łącznie z remontem lub przebudową tego lokalu).</t>
  </si>
  <si>
    <t>C. Przebudowa budynku albo jego części (udziela się również gdy przebudowa dotyczy lokalu mieszkalnego zajmowanego przez lokatora na podstawie obowiązującej umowy najmu, jeżeli beneficjent wsparcia uzyskał premię, o której mowa w art. 11g ust. 1 ustawy z dnia 21 listopada 2008 r. o wspieraniu termomodernizacji i remontów oraz o centralnej ewidencji emisyjności budynków (Dz. U. z 2023 r. poz. 2496), z tytułu realizacji przedsięwzięcia termomodernizacyjnego lub remontowego w budynku, w którym znajdują się te lokale mieszkalne, i realizuje to przedsięwzięcie łącznie z remontem lub przebudową tego lokalu).</t>
  </si>
  <si>
    <t>Jednocześnie oświadczam, że podana wartość gruntu została określona zgodnie z poniższymi zasadami.  W przypadku realizacji przedsięwzięcia na podstawie art. 5 ustawy beneficjentowi wsparcia przysługuje prawo do podwyższenie wsparcia o maksymalnie 10% kosztów przedsięwzięcia, jeżeli to przedsięwzięcie jest realizowane na gruncie stanowiącym własność lub będącym w użytkowaniu wieczystym inwestora, ale nie więcej niż o wartość gruntu, na którym realizowane jest przedsięwzięcie.
Przedsięwzięcie stanowi budynek/budynki wraz z zagospodarowaniem terenu, w części dotyczącej mieszkań na wynajem, objętych jednym wnioskiem o udzielenie wsparcia.
Grunt na którym jest realizowane przedsięwzięcie odpowiada obszarowi zagospodarowania terenu określonemu w dokumentacji projektowej (w projekcie zagospodarowania terenu) w przypadku, gdy budynek/ki wraz z zagospodarowaniem terenu dotyczą w całości mieszkań na wynajem. 
W przypadku, gdy :
- przedsięwzięcie nie dotyczy wszystkich budynków objętych dokumentacją projektową,
- przedsięwzięcie nie dotyczy pełnego zakresu zagospodarowania terenu objętego dokumentacją projektową (np. z zakresu przedsięwzięcia konieczne jest wyłączenie części realizowanych stanowisk postojowych lub garaży znajdujących się w budynkach mieszkalnych i garażach wielopoziomowych, wykraczających ponad minimalną liczbę wynikającą z ustaleń miejscowego planu zagospodarowania przestrzennego albo decyzji o warunkach zabudowy oraz przypadającą na finansowanie w ramach przedsięwzięcia lokale mieszkalne), 
- w projektowanym budynku/ach są pomieszczenia nie objęte przedsięwzięciem (np. mieszkania inne niż na wynajem, lokale użytkowe)
- obszar zagospodarowania terenu dla przedsięwzięcia określony w dokumentacji projektowej jest mniejszy niż działka/działki w granicach ewidencyjnych (występuje to m.in. przy inwestycjach realizowanych etapami)
zleceniodawca (Inwestor) zlecając rzeczoznawcy majątkowemu sporządzenie wyceny gruntu określa odpowiednio, mając na uwadze powyższe wyłączenia, wielkość obszaru, na którym jest realizowane przedsięwzięcie (w mkw. lub proc. pow. działki/działek budowlanych w granicach ewidencyjnych)
Wartość gruntu winna być określona w operacie szacunkowym sporządzonym zgodnie z przepisami ustawy z dnia 21 sierpnia 1997 r. o gospodarce nieruchomościami.</t>
  </si>
  <si>
    <t>Jednocześnie oświadczam, że podana wartość gruntu została określona zgodnie z poniższymi zasadami.  W przypadku realizacji przedsięwzięcia na podstawie art. 5 ustawy beneficjentowi wsparcia przysługuje prawo do podwyższenie wsparcia o maksymalnie 10% kosztów przedsięwzięcia, jeżeli to przedsięwzięcie jest realizowane na gruncie stanowiącym własność lub będącym w użytkowaniu wieczystym inwestora, ale nie więcej niż o wartość gruntu, na którym realizowane jest przedsięwzięcie.
Przedsięwzięcie stanowi budynek/budynki wraz z zagospodarowaniem terenu, w części dotyczącej mieszkań na wynajem, objętych jednym wnioskiem o udzielenie wsparcia.
Grunt na którym jest realizowane przedsięwzięcie odpowiada obszarowi zagospodarowania terenu określonemu w dokumentacji projektowej (w projekcie zagospodarowania terenu) w przypadku, gdy budynek/ki wraz z zagospodarowaniem terenu dotyczą w całości mieszkań na wynajem. W przypadku, gdy :
- przedsięwzięcie nie dotyczy wszystkich budynków objętych dokumentacją projektową,
- przedsięwzięcie nie dotyczy pełnego zakresu zagospodarowania terenu objętego dokumentacją projektową (np. z zakresu przedsięwzięcia konieczne jest wyłączenie części realizowanych stanowisk postojowych lub garaży znajdujących się w budynkach mieszkalnych i garażach wielopoziomowych, wykraczających ponad minimalną liczbę wynikającą z ustaleń miejscowego planu zagospodarowania przestrzennego albo decyzji o warunkach zabudowy oraz przypadającą na finansowanie w ramach przedsięwzięcia lokale mieszkalne), 
- w projektowanym budynku/ach są pomieszczenia nie objęte przedsięwzięciem (np. mieszkania inne niż na wynajem, lokale użytkowe)
- obszar zagospodarowania terenu dla przedsięwzięcia określony w dokumentacji projektowej jest mniejszy niż działka/działki w granicach ewidencyjnych (występuje to m.in. przy inwestycjach realizowanych etapami)
zleceniodawca (Inwestor) zlecając rzeczoznawcy majątkowemu sporządzenie wyceny gruntu określa odpowiednio, mając na uwadze powyższe wyłączenia, wielkość obszaru, na którym jest realizowane przedsięwzięcie (w mkw. lub proc. pow. działki/działek budowlanych w granicach ewidencyjnych)
Wartość gruntu winna być określona w operacie szacunkowym sporządzonym zgodnie z przepisami ustawy z dnia 21 sierpnia 1997 r. o gospodarce nieruchomościami.</t>
  </si>
  <si>
    <t>Lokale Mieszkalne stanowiące mieszkaniowy zasób gminy ***** art. 3</t>
  </si>
  <si>
    <t>Mieszkania treningowe i wspomagane ***** art. 3 oraz art. 6</t>
  </si>
  <si>
    <t>***** 10% wysokość finansowego wsparcia podwyższa się o 10 punktów procentowych, jeżeli budynek jest wpisany do rejestru zabytków lub znajduje się na obszarze wpisanym do rejestru zabytków</t>
  </si>
  <si>
    <r>
      <t>Wprowadź wartość wskaźnika rocznego zapotrzebowania na nieodnawialną energię pierwotną EP kWh/(m</t>
    </r>
    <r>
      <rPr>
        <vertAlign val="superscript"/>
        <sz val="11"/>
        <color theme="1"/>
        <rFont val="Calibri"/>
        <family val="2"/>
        <charset val="238"/>
        <scheme val="minor"/>
      </rPr>
      <t>2</t>
    </r>
    <r>
      <rPr>
        <sz val="11"/>
        <color theme="1"/>
        <rFont val="Calibri"/>
        <family val="2"/>
        <charset val="238"/>
        <scheme val="minor"/>
      </rPr>
      <t>·rok) dla realizowanego budynku - informacja dla każdego budynku</t>
    </r>
    <r>
      <rPr>
        <sz val="11"/>
        <color theme="1"/>
        <rFont val="Calibri"/>
        <family val="2"/>
        <charset val="238"/>
        <scheme val="minor"/>
      </rPr>
      <t xml:space="preserve">, jeżeli wartości EP dla poszczególnych budynków są różne. </t>
    </r>
  </si>
  <si>
    <t>K. Liczba lokali mieszkalnych realizowanych w ramach programu „Za życiem” o których mowa w art. 13 ust. 4 ustawy.</t>
  </si>
  <si>
    <t>Dopuszczalna łączna kwota udzielonego gminie finansowego wsparcia, o którym mowa w art. 5 ust. 1 pkt 1 i pkt 2 lit. a, oraz wsparcia udzielonego ze środków zlikwidowanego Rządowego Funduszu Rozwoju Mieszkalnictwa na sfinansowanie części lub całości działania polegającego na objęciu udziałów lub akcji w istniejącej SIM, która przed dniem objęcia tych udziałów lub akcji prowadziła działalność na terenie tej gminy, nie może przekroczyć 45 % kosztów przedsięwzięcia wynoszących.</t>
  </si>
  <si>
    <t>Łączna kwota udzielonego gminie finansowego wsparcia, o którym mowa w art. 5 ust. 1 pkt 1 i pkt 2 lit. a, oraz wsparcia udzielonego ze środków zlikwidowanego Rządowego Funduszu Rozwoju Mieszkalnictwa na sfinansowanie części lub całości działania polegającego na objęciu udziałów lub akcji w istniejącej SIM, która przed dniem objęcia tych udziałów lub akcji prowadziła działalność na terenie tej gminy, nie może przekroczyć 45 % kosztów przedsięwzięcia wynoszących.</t>
  </si>
  <si>
    <t>Adres do doręczeń elektronicznych, o których mowa w ustawie z dnia 18 listopada 2020 r. o doręczeniach elektronicznych (Dz. U. z 2024 r. poz. 1045 i 1841). Adres do doręczeń można sprawdzić klikając w link.</t>
  </si>
  <si>
    <t>Adres inwestora do doręczeń elektronicznych, o których mowa w ustawie z dnia 18 listopada 2020 r. o doręczeniach elektronicznych.</t>
  </si>
  <si>
    <t>wsparcie ze środków Rządowego Funduszu Rozwoju Mieszkalnictwa, udzielone na podstawie art. 33l ustawy z dnia 26 października 1995 r. o społecznych formach rozwoju mieszkalnictwa (Dz. U. z 2025 r. poz. 1273) w brzmieniu obowiązującym w dniu 21 sierpnia 2025 r.</t>
  </si>
  <si>
    <t>W przypadku przedsięwzięć realizowanych na podstawie art. 3 ust. 1 pkt 1, art. 4 ust. 1 pkt 1, art. 4a ust. 1 pkt 1, art. 5 ust. 1 pkt 1 i art. 5c ustawy, informacje o dokumentach potwierdzających prawo do prowadzenia robót budowlanych:</t>
  </si>
  <si>
    <t>2) jeżeli planowany zakres robót wymaga zgłoszenia, o którym mowa w art. 30 lub w art. 71 ust. 2 ustawy z dnia 7 lipca 1994 r. – Prawo budowlane (Dz. U. z 2025 r. poz. 418, 1080, 1535 i 1673) – informacje o dacie zgłoszenia, dacie i numerze zaświadczenia organu administracji architektoniczno-budowlanej o braku podstaw do wniesienia sprzeciwu, o którym mowa w art. 30 ust. 5aa i art. 71 ust. 4c ustawy z dnia 7 lipca 1994 r. – Prawo budowlane, albo zaświadczenia organu administracji architektoniczno-budowlanej o niewniesieniu w terminie sprzeciwu wobec zgłoszenia oraz informacja o organie, który to zaświadczenie wydał, oraz o danych podmiotu zgłaszającego.</t>
  </si>
  <si>
    <t>1) jeżeli planowany zakres robót wymaga pozwolenia na budowę lub zezwolenia na realizację inwestycji drogowej – informacje o organie, który wydał decyzję, dacie wydania decyzji i jej numerze, dacie ostateczności lub wykonalności decyzji oraz o danych podmiotu, na który została wydana decyzja</t>
  </si>
  <si>
    <t>W przypadku przedsięwzięć realizowanych na podstawie art. 3 ust. 1 pkt 1, art. 4 ust. 1 pkt 1, art. 4a ust. 1 pkt 1 i art. 5c ustawy, informacje o dacie rozpoczęcia przedsięwzięcia wynikającej z dziennika budowy i dacie ostatniego wpisu do dziennika budowy dokonanego przed złożeniem wniosku o finansowe wsparcie – jeżeli dla robót budowlanych wymagane jest prowadzenie dziennika budowy, a roboty budowlane zostały już rozpoczęte.</t>
  </si>
  <si>
    <t>W przypadku przedsięwzięć, o których mowa w art. 3 ust. 1 pkt 5 i 6 i art. 4a ust. 1 pkt 3 ustawy, informacja o:
1)	przewidywanej cenie sprzedaży, a jeżeli przedsięwzięcie zostało rozpoczęte przed dniem złożenia wniosku o finansowe wsparcie – informacja o dacie sporządzenia umowy sprzedaży i cenie sprzedaży;
2)	wartości gruntu, wynikającej z aktualnego operatu szacunkowego, sporządzonego zgodnie z przepisami ustawy z dnia 21 sierpnia 1997 r. o gospodarce nieruchomościami (Dz. U. z 2024 r. poz. 1145, 1222, 1717 i 1881 oraz z 2025 r. poz. 1077 i 1080).</t>
  </si>
  <si>
    <r>
      <t xml:space="preserve">W przypadku przedsięwzięć, o których mowa w art. 3 ust. 1 pkt 5 i 6 ustawy, jeżeli przedmiotem zakupu jest </t>
    </r>
    <r>
      <rPr>
        <b/>
        <sz val="11"/>
        <color theme="1"/>
        <rFont val="Calibri"/>
        <family val="2"/>
        <charset val="238"/>
        <scheme val="minor"/>
      </rPr>
      <t>byłe mieszkanie zakładowe</t>
    </r>
    <r>
      <rPr>
        <sz val="11"/>
        <color theme="1"/>
        <rFont val="Calibri"/>
        <family val="2"/>
        <charset val="238"/>
        <scheme val="minor"/>
      </rPr>
      <t xml:space="preserve">, </t>
    </r>
    <r>
      <rPr>
        <b/>
        <sz val="11"/>
        <color theme="1"/>
        <rFont val="Calibri"/>
        <family val="2"/>
        <charset val="238"/>
        <scheme val="minor"/>
      </rPr>
      <t>budynek mieszkalny z byłymi mieszkaniami zakładowymi albo udział we współwłasności budynku mieszkalnego, w którym znajdują się byłe mieszkania zakładowe</t>
    </r>
    <r>
      <rPr>
        <sz val="11"/>
        <color theme="1"/>
        <rFont val="Calibri"/>
        <family val="2"/>
        <charset val="238"/>
        <scheme val="minor"/>
      </rPr>
      <t>, informacja o:
1)	wartości rynkowej nieruchomości, wynikającej z aktualnego operatu szacunkowego, sporządzonego zgodnie z przepisami ustawy z dnia 21 sierpnia 1997 r. o gospodarce nieruchomościami;
2)	wartości rynkowej gruntu, wynikającej z aktualnego operatu szacunkowego, sporządzonego zgodnie z przepisami ustawy z dnia 21 sierpnia 1997 r. o gospodarce nieruchomościami.</t>
    </r>
  </si>
  <si>
    <t>W przypadku gdy z realizacją przedsięwzięcia realizowanego na gruncie stanowiącym własność inwestora lub wobec którego inwestor ma prawo użytkowania wieczystego jest związane zawarcie umowy, o której mowa w art. 5 ust. 2 pkt 1 ustawy, informacja o wartości rynkowej gruntu stanowiącego własność lub będącego w użytkowaniu wieczystym inwestora, na którym jest realizowane przedsięwzięcie, wynikająca z aktualnego operatu szacunkowego sporządzonego zgodnie z przepisami ustawy z dnia 21 sierpnia 1997 r. o gospodarce nieruchomościami.</t>
  </si>
  <si>
    <t>W przypadku, o którym mowa w art. 13 ust. 5 ustawy, informacja o wpisie budynku lub obszaru, na którym się on znajduje, do rejestru zabytków, w tym o dacie wydania decyzji, dacie prawomocności, numerze decyzji i organie, który wydał decyzję.</t>
  </si>
  <si>
    <t>W przypadku przedsięwzięć, o których mowa w art. 5c ustawy, liczba przedsięwzięć lub inwestycji powiązanych z przedsięwzięciem, o którym mowa w art. 5c ust. 1 pkt 1–6 i ust. 1a ustawy.</t>
  </si>
  <si>
    <t>5)  ceny nieruchomości zbytej przez gminę na zasadach określonych w ustawie z dnia 16 grudnia 2020 r. o zbywaniu nieruchomości z rozliczeniem „lokal za grunt” (Dz. U. z 2023 r. poz. 1525) – w przypadku, o którym mowa w art. 5c ust. 1 pkt 5 i ust. 1a pkt 2 ustawy.</t>
  </si>
  <si>
    <t>2) kosztów przedsięwzięcia, o którym mowa w art. 3, art. 4 lub art. 6 ustawy – w przypadku, o którym mowa w art. 5c ust. 1 pkt 2 i ust. 1a pkt 1 ustawy (do sumy przyjęto 50% kosztów, w związku z ograniczeniem art. 13 ust. 6 ustawy)</t>
  </si>
  <si>
    <t>1) partycypacji finansowej gminy w kosztach przedsięwzięcia inwestycyjno-budowlanego – w przypadku, o którym mowa w art. 5c ust. 1 pkt 1 ustawy</t>
  </si>
  <si>
    <t>4) iloczynu 20% średniego wskaźnika przeliczeniowego kosztu odtworzenia 1 m2 powierzchni użytkowej budynków mieszkalnych w rozumieniu art. 2 pkt 14 ustawy z dnia 20 lipca 2018 r. o pomocy państwa w ponoszeniu wydatków mieszkaniowych w pierwszych latach najmu mieszkania (Dz. U. z 2024 r. poz. 506), obliczonego dla danej gminy według stanu na dzień złożenia wniosku o finansowe wsparcie na realizację przedsięwzięcia infrastrukturalnego, oraz powierzchni użytkowej mieszkań w rozumieniu art. 2 pkt 8 tej ustawy – w przypadku, o którym mowa w art. 5c ust. 1 pkt 4 ustawy.</t>
  </si>
  <si>
    <t>B. Remont budynku albo jego części</t>
  </si>
  <si>
    <t>C. Przebudowa budynku albo jego części</t>
  </si>
  <si>
    <r>
      <t xml:space="preserve">a) </t>
    </r>
    <r>
      <rPr>
        <sz val="11"/>
        <color rgb="FF000000"/>
        <rFont val="Calibri"/>
        <family val="2"/>
        <charset val="238"/>
        <scheme val="minor"/>
      </rPr>
      <t xml:space="preserve"> adres nieruchomości</t>
    </r>
  </si>
  <si>
    <r>
      <rPr>
        <b/>
        <sz val="11"/>
        <color rgb="FF000000"/>
        <rFont val="Calibri"/>
        <family val="2"/>
        <charset val="238"/>
        <scheme val="minor"/>
      </rPr>
      <t xml:space="preserve">b) </t>
    </r>
    <r>
      <rPr>
        <sz val="11"/>
        <color rgb="FF000000"/>
        <rFont val="Calibri"/>
        <family val="2"/>
        <charset val="238"/>
        <scheme val="minor"/>
      </rPr>
      <t>nowa powierzchnia użytkowa schroniska dla osób bezdomnych w m², w tym powierzchnia mieszkalna w m²</t>
    </r>
  </si>
  <si>
    <r>
      <t xml:space="preserve">c)  </t>
    </r>
    <r>
      <rPr>
        <sz val="11"/>
        <color rgb="FF000000"/>
        <rFont val="Calibri"/>
        <family val="2"/>
        <charset val="238"/>
        <scheme val="minor"/>
      </rPr>
      <t>nowa powierzchnia użytkowa niestanowiąca schroniska dla osób bezdomnych w m²</t>
    </r>
  </si>
  <si>
    <r>
      <t xml:space="preserve">d)  </t>
    </r>
    <r>
      <rPr>
        <sz val="11"/>
        <color rgb="FF000000"/>
        <rFont val="Calibri"/>
        <family val="2"/>
        <charset val="238"/>
        <scheme val="minor"/>
      </rPr>
      <t>nowa liczba miejsc w pomieszczeniach mieszkalnych</t>
    </r>
  </si>
  <si>
    <r>
      <t xml:space="preserve">e)  </t>
    </r>
    <r>
      <rPr>
        <sz val="11"/>
        <color rgb="FF000000"/>
        <rFont val="Calibri"/>
        <family val="2"/>
        <charset val="238"/>
        <scheme val="minor"/>
      </rPr>
      <t>dotychczasowa powierzchnia użytkowa schroniska dla osób bezdomnych w m², w tym powierzchnia mieszkalna w m²</t>
    </r>
  </si>
  <si>
    <r>
      <t xml:space="preserve">f)  </t>
    </r>
    <r>
      <rPr>
        <sz val="11"/>
        <color rgb="FF000000"/>
        <rFont val="Calibri"/>
        <family val="2"/>
        <charset val="238"/>
        <scheme val="minor"/>
      </rPr>
      <t>całkowita liczba miejsc w pomieszczeniach mieszkalnych, po zakończeniu realizacji przedsięwzięcia</t>
    </r>
  </si>
  <si>
    <r>
      <rPr>
        <b/>
        <sz val="11"/>
        <color rgb="FF000000"/>
        <rFont val="Calibri"/>
        <family val="2"/>
        <charset val="238"/>
        <scheme val="minor"/>
      </rPr>
      <t xml:space="preserve">b) </t>
    </r>
    <r>
      <rPr>
        <sz val="11"/>
        <color rgb="FF000000"/>
        <rFont val="Calibri"/>
        <family val="2"/>
        <charset val="238"/>
        <scheme val="minor"/>
      </rPr>
      <t>nowa powierzchnia użytkowa noclegowni w m²</t>
    </r>
  </si>
  <si>
    <r>
      <t xml:space="preserve">c)  </t>
    </r>
    <r>
      <rPr>
        <sz val="11"/>
        <color rgb="FF000000"/>
        <rFont val="Calibri"/>
        <family val="2"/>
        <charset val="238"/>
        <scheme val="minor"/>
      </rPr>
      <t>nowa powierzchnia użytkowa niestanowiąca noclegowni w m²</t>
    </r>
  </si>
  <si>
    <r>
      <t xml:space="preserve">d)  </t>
    </r>
    <r>
      <rPr>
        <sz val="11"/>
        <color rgb="FF000000"/>
        <rFont val="Calibri"/>
        <family val="2"/>
        <charset val="238"/>
        <scheme val="minor"/>
      </rPr>
      <t>nowa liczba miejsc w pomieszczeniach noclegowych</t>
    </r>
  </si>
  <si>
    <r>
      <t xml:space="preserve">e)  </t>
    </r>
    <r>
      <rPr>
        <sz val="11"/>
        <color rgb="FF000000"/>
        <rFont val="Calibri"/>
        <family val="2"/>
        <charset val="238"/>
        <scheme val="minor"/>
      </rPr>
      <t>dotychczasowa powierzchnia użytkowa noclegowni w m²</t>
    </r>
  </si>
  <si>
    <r>
      <t xml:space="preserve">f) </t>
    </r>
    <r>
      <rPr>
        <sz val="11"/>
        <color rgb="FF000000"/>
        <rFont val="Calibri"/>
        <family val="2"/>
        <charset val="238"/>
        <scheme val="minor"/>
      </rPr>
      <t>całkowita liczba miejsc w pomieszczeniach noclegowych, po zakończeniu realizacji przedsięwzięcia</t>
    </r>
  </si>
  <si>
    <r>
      <t xml:space="preserve">b)  </t>
    </r>
    <r>
      <rPr>
        <sz val="11"/>
        <color rgb="FF000000"/>
        <rFont val="Calibri"/>
        <family val="2"/>
        <charset val="238"/>
        <scheme val="minor"/>
      </rPr>
      <t>nowa powierzchnia użytkowa ogrzewalni w m²</t>
    </r>
  </si>
  <si>
    <r>
      <t xml:space="preserve">c)  </t>
    </r>
    <r>
      <rPr>
        <sz val="11"/>
        <color rgb="FF000000"/>
        <rFont val="Calibri"/>
        <family val="2"/>
        <charset val="238"/>
        <scheme val="minor"/>
      </rPr>
      <t>nowa powierzchnia użytkowa niestanowiąca ogrzewalni w m²</t>
    </r>
  </si>
  <si>
    <r>
      <t xml:space="preserve">d) </t>
    </r>
    <r>
      <rPr>
        <sz val="11"/>
        <color rgb="FF000000"/>
        <rFont val="Calibri"/>
        <family val="2"/>
        <charset val="238"/>
        <scheme val="minor"/>
      </rPr>
      <t xml:space="preserve"> nowa liczba miejsc w ogrzewalni</t>
    </r>
  </si>
  <si>
    <r>
      <t xml:space="preserve">e)  </t>
    </r>
    <r>
      <rPr>
        <sz val="11"/>
        <color rgb="FF000000"/>
        <rFont val="Calibri"/>
        <family val="2"/>
        <charset val="238"/>
        <scheme val="minor"/>
      </rPr>
      <t>dotychczasowa powierzchnia użytkowa ogrzewalni w m²</t>
    </r>
  </si>
  <si>
    <r>
      <t xml:space="preserve">f)  </t>
    </r>
    <r>
      <rPr>
        <sz val="11"/>
        <color rgb="FF000000"/>
        <rFont val="Calibri"/>
        <family val="2"/>
        <charset val="238"/>
        <scheme val="minor"/>
      </rPr>
      <t>całkowita liczba miejsc w ogrzewalni, po zakończeniu realizacji przedsięwzięcia</t>
    </r>
  </si>
  <si>
    <t xml:space="preserve">1)  noclegownia: </t>
  </si>
  <si>
    <t>3)  ogrzewalnia:</t>
  </si>
  <si>
    <t>2)  schronisko dla osób bezdomnych:</t>
  </si>
  <si>
    <r>
      <rPr>
        <b/>
        <sz val="11"/>
        <color rgb="FF000000"/>
        <rFont val="Calibri"/>
        <family val="2"/>
        <charset val="238"/>
        <scheme val="minor"/>
      </rPr>
      <t>4)</t>
    </r>
    <r>
      <rPr>
        <sz val="11"/>
        <color rgb="FF000000"/>
        <rFont val="Calibri"/>
        <family val="2"/>
        <charset val="238"/>
        <scheme val="minor"/>
      </rPr>
      <t xml:space="preserve"> dostosowanie do wymagań osób ze szczególnymi potrzebami w rozumieniu art. 2 pkt 3 ustawy z dnia 19 lipca 2019 r. o zapewnianiu dostępności osobom ze szczególnymi potrzebami (Dz. U. z 2024 r. poz. 1411) (podjazdy lub platformy dla wózków, ciągi komunikacyjne w budynku wolne od barier poziomych i pionowych zapewniające dostęp na wszystkie kondygnacje użytkowe, w tym windy lub inne rozwiązania architektoniczne zwiększające dostępność architektoniczną budynku).</t>
    </r>
  </si>
  <si>
    <r>
      <t xml:space="preserve">4) </t>
    </r>
    <r>
      <rPr>
        <sz val="11"/>
        <color rgb="FF000000"/>
        <rFont val="Calibri"/>
        <family val="2"/>
        <charset val="238"/>
        <scheme val="minor"/>
      </rPr>
      <t>dostosowanie do wymagań osób ze szczególnymi potrzebami w rozumieniu art. 2 pkt 3 ustawy z dnia 19 lipca 2019 r. o zapewnianiu dostępności osobom ze szczególnymi potrzebami (Dz. U. z 2024 r. poz. 1411) (podjazdy lub platformy dla wózków, ciągi komunikacyjne w budynku wolne od barier poziomych i pionowych zapewniające dostęp na wszystkie kondygnacje użytkowe, w tym windy lub inne rozwiązania architektoniczne zwiększające dostępność architektoniczną budynku).</t>
    </r>
  </si>
  <si>
    <t>A. W przypadku budowy budynku, jego remontu, przebudowy lub zmiany sposobu jego użytkowania:</t>
  </si>
  <si>
    <t>B.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(Dz. U. z 2025 r. poz. 1214 i 1302) – zakres informacji taki jak w lit. A.</t>
  </si>
  <si>
    <t>D. Charakterystyka przedsięwzięcia określonego w art. 5c ustawy</t>
  </si>
  <si>
    <r>
      <t xml:space="preserve">E. </t>
    </r>
    <r>
      <rPr>
        <sz val="11"/>
        <color rgb="FF000000"/>
        <rFont val="Calibri"/>
        <family val="2"/>
        <charset val="238"/>
        <scheme val="minor"/>
      </rPr>
      <t>Informacja, czy przedsięwzięcie zostało zakończone przed dniem złożenia wniosku, o którym mowa w art. 8 ust. 1 ustawy (z wyłączeniem przedsięwzięć, o których mowa w art. 3 ust. 1 pkt 5 i 6 oraz art. 4a ust. 1 pkt 3 ustawy).</t>
    </r>
  </si>
  <si>
    <r>
      <t xml:space="preserve">F. </t>
    </r>
    <r>
      <rPr>
        <sz val="11"/>
        <color rgb="FF000000"/>
        <rFont val="Calibri"/>
        <family val="2"/>
        <charset val="238"/>
        <scheme val="minor"/>
      </rPr>
      <t>Informacja o planowanych kosztach przedsięwzięcia, o których mowa w art. 14 ust. 1 ustawy, z uwzględnieniem wartości netto i brutto oraz ze wskazaniem wysokości przyjętej stawki podatku od towarów i usług, dokumentów, na podstawie których te koszty określono (w przypadku przedsięwzięcia obejmującego remont lub przebudowę części kilku budynków w rozbiciu na poszczególne lokale mieszkalne znajdujące się w budynkach objętych wnioskiem ze wskazaniem ich adresu), a także jeżeli przedsięwzięcie obejmuje zakup, montaż lub budowę instalacji odnawialnego źródła energii, o której mowa w art. 2 pkt 13 lit. a ustawy z dnia 20 lutego 2015 r. o odnawialnych źródłach energii (Dz. U. z 2024 r. poz. 1361, z późn. zm. )), z wyłączeniem magazynu biogazu rolniczego, przyłączonej do sieci dystrybucyjnej za pośrednictwem wewnętrznej instalacji, wskazanie kosztów zakupu, montażu lub budowy tej instalacji.</t>
    </r>
  </si>
  <si>
    <t>Informuję, że wszystkie wymienione powyżej koszty są kosztami kwalifikowanymi w rozumieniu art. 14 ust. 1 ustawy o finansowym wsparciu niektórych przedsięwzięć mieszkaniowych. W kosztach kwalifikowanych nie zostały ujęte w szczególności: koszty związane z lokalami niemieszkalnymi, drogami publicznymi, siecią wodociągową, siecią kanalizacji sanitarnej, deszczowej, ogólnospławnej, siecią gazową, siecią energetyczną, siecią cieplną, siecią telekomunikacyjną (w zakresie wykraczającym poza koszty wykonania niezbędnego uzbrojenia terenu na działce, działkach, na których realizowane jest przedsięwzięcie),  koszty sporządzenia operatu szacunkowego, koszty wyposażenia lokali niewymienione w art. 6b ww. ustawy oraz inne koszty nie ujęte w art.14 ww. ustawy.</t>
  </si>
  <si>
    <t>Koszty projektowania</t>
  </si>
  <si>
    <r>
      <t xml:space="preserve">I. </t>
    </r>
    <r>
      <rPr>
        <sz val="11"/>
        <color rgb="FF000000"/>
        <rFont val="Calibri"/>
        <family val="2"/>
        <charset val="238"/>
        <scheme val="minor"/>
      </rPr>
      <t xml:space="preserve">Informacja, czy beneficjent wsparcia ubiega się o finansowe wsparcie na przedsięwzięcie, o którym mowa w art. 3 ust. 1 pkt 5 i 6 ustawy, którego przedmiotem zakupu są byłe mieszkania zakładowe, wraz z ich wykazem, których lokatorami są:
</t>
    </r>
    <r>
      <rPr>
        <b/>
        <sz val="11"/>
        <color rgb="FF000000"/>
        <rFont val="Calibri"/>
        <family val="2"/>
        <charset val="238"/>
        <scheme val="minor"/>
      </rPr>
      <t xml:space="preserve">1) </t>
    </r>
    <r>
      <rPr>
        <sz val="11"/>
        <color rgb="FF000000"/>
        <rFont val="Calibri"/>
        <family val="2"/>
        <charset val="238"/>
        <scheme val="minor"/>
      </rPr>
      <t xml:space="preserve">osoby, które przed dniem 7 lutego 2001 r. były pracownikami przedsiębiorstwa państwowego lub spółki handlowej, w których Skarb Państwa był podmiotem dominującym w rozumieniu ustawy z dnia 29 lipca 2005 r. o ofercie publicznej i warunkach wprowadzania instrumentów finansowych do zorganizowanego systemu obrotu oraz o spółkach publicznych (Dz. U. z 2025 r. poz. 592);
</t>
    </r>
    <r>
      <rPr>
        <b/>
        <sz val="11"/>
        <color rgb="FF000000"/>
        <rFont val="Calibri"/>
        <family val="2"/>
        <charset val="238"/>
        <scheme val="minor"/>
      </rPr>
      <t xml:space="preserve">2) </t>
    </r>
    <r>
      <rPr>
        <sz val="11"/>
        <color rgb="FF000000"/>
        <rFont val="Calibri"/>
        <family val="2"/>
        <charset val="238"/>
        <scheme val="minor"/>
      </rPr>
      <t>zstępni, wstępni, małżonek lokatora, osoby przysposabiające lokatora i przysposobione przez niego oraz osoby, które pozostawały z lokatorem w faktycznym wspólnym pożyciu, zamieszkujące z lokatorem w chwili jego śmierci, którzy wstąpili w stosunek najmu po śmierci osób wskazanych w pkt 1.</t>
    </r>
  </si>
  <si>
    <t>Informuję, że (beneficjent wsparcia) ubiegam się o finansowe wsparcie na przedsięwzięcie, o którym mowa w art. 3 ust. 1 pkt 5 i 6 ustawy, którego przedmiotem zakupu są byłe mieszkania zakładowe, wraz z ich wykazem, których lokatorami są:
1)	osoby, które przed dniem 7 lutego 2001 r. były pracownikami przedsiębiorstwa państwowego lub spółki handlowej, w których Skarb Państwa był podmiotem dominującym w rozumieniu ustawy z dnia 29 lipca 2005 r. o ofercie publicznej i warunkach wprowadzania instrumentów finansowych do zorganizowanego systemu obrotu oraz o spółkach publicznych (Dz. U. z 2025 r. poz. 592);
2)	zstępni, wstępni, małżonek lokatora, osoby przysposabiające lokatora i przysposobione przez niego oraz osoby, które pozostawały z lokatorem w faktycznym wspólnym pożyciu, zamieszkujące z lokatorem w chwili jego śmierci, którzy wstąpili w stosunek najmu po śmierci osób wskazanych w pkt 1.</t>
  </si>
  <si>
    <r>
      <rPr>
        <b/>
        <sz val="11"/>
        <color rgb="FF000000"/>
        <rFont val="Calibri"/>
        <family val="2"/>
        <charset val="238"/>
        <scheme val="minor"/>
      </rPr>
      <t>J.</t>
    </r>
    <r>
      <rPr>
        <sz val="11"/>
        <color rgb="FF000000"/>
        <rFont val="Calibri"/>
        <family val="2"/>
        <charset val="238"/>
        <scheme val="minor"/>
      </rPr>
      <t xml:space="preserve"> Informacja, czy przedsięwzięcie jest objęte gminnym programem rewitalizacji w rozumieniu przepisu art. 15 ustawy z dnia 9 października 2015 r. o rewitalizacji (Dz. U. z 2024 r. poz. 278).</t>
    </r>
  </si>
  <si>
    <r>
      <t>K.</t>
    </r>
    <r>
      <rPr>
        <sz val="11"/>
        <color rgb="FF000000"/>
        <rFont val="Calibri"/>
        <family val="2"/>
        <charset val="238"/>
        <scheme val="minor"/>
      </rPr>
      <t xml:space="preserve"> W sytuacji, gdy beneficjent wsparcia nie korzysta z finansowego wsparcia w ramach planu rozwojowego, informacja, czy tworzone lokale mieszkalne na wynajem będą wynajmowane i użytkowane na zasadach wskazanych w art. 7a–7f ustawy – w przypadku gdy z realizacją przedsięwzięcia jest związane zawarcie umowy, o której mowa w art. 5 ust. 2 pkt 1 ustawy.</t>
    </r>
  </si>
  <si>
    <r>
      <t xml:space="preserve">M. </t>
    </r>
    <r>
      <rPr>
        <sz val="11"/>
        <color rgb="FF000000"/>
        <rFont val="Calibri"/>
        <family val="2"/>
        <charset val="238"/>
        <scheme val="minor"/>
      </rPr>
      <t>W sytuacji, gdy beneficjent wsparcia nie korzysta z finansowego wsparcia w ramach planu rozwojowego, informacja, czy inwestor, któremu powierzy się świadczenie usługi publicznej w ogólnym interesie gospodarczym, świadczyć będzie usługę polegającą na najmie lokali mieszkalnych na warunkach określonych w art. 7a–7f ustawy – w przypadku gdy z realizacją przedsięwzięcia jest związane zawarcie umowy, o której mowa w art. 5 ust. 2 pkt 1 ustawy.</t>
    </r>
  </si>
  <si>
    <r>
      <t xml:space="preserve">L. </t>
    </r>
    <r>
      <rPr>
        <sz val="11"/>
        <color rgb="FF000000"/>
        <rFont val="Calibri"/>
        <family val="2"/>
        <charset val="238"/>
        <scheme val="minor"/>
      </rPr>
      <t>Informacja, czy tworzone lokale mieszkalne na wynajem będą wynajmowane i użytkowane na zasadach wskazanych w art. 7a–7d oraz 7f ustawy – w przypadku gdy z realizacją przedsięwzięcia jest związane zawarcie umowy, o której mowa w art. 5 ust. 2 pkt 2 ustawy.</t>
    </r>
  </si>
  <si>
    <r>
      <t>N.</t>
    </r>
    <r>
      <rPr>
        <sz val="11"/>
        <color rgb="FF000000"/>
        <rFont val="Calibri"/>
        <family val="2"/>
        <charset val="238"/>
        <scheme val="minor"/>
      </rPr>
      <t xml:space="preserve"> Informacja, czy inwestor, któremu powierzy się świadczenie usługi publicznej w ogólnym interesie gospodarczym, świadczyć będzie usługę polegającą na najmie lokali mieszkalnych na warunkach określonych w art. 7a–7d oraz 7f ustawy – w przypadku gdy z realizacją przedsięwzięcia jest związane zawarcie umowy, o której mowa w art. 5 ust. 2 pkt 2 ustawy.</t>
    </r>
  </si>
  <si>
    <r>
      <t xml:space="preserve">R. </t>
    </r>
    <r>
      <rPr>
        <sz val="11"/>
        <color rgb="FF000000"/>
        <rFont val="Calibri"/>
        <family val="2"/>
        <charset val="238"/>
        <scheme val="minor"/>
      </rPr>
      <t>Informacja, czy część lokali będzie przeznaczona dla rodzin z dziećmi posiadającymi zaświadczenie, o którym mowa w art. 4 ust. 3 ustawy z dnia 4 listopada 2016 r. o wsparciu kobiet w ciąży i rodzin „Za życiem” (Dz. U. z 2024 r. poz. 1829).</t>
    </r>
  </si>
  <si>
    <t>Część lokali będzie przeznaczona dla rodzin z dziećmi posiadającymi zaświadczenie, o którym mowa w art. 4 ust. 3 ustawy z dnia 4 listopada 2016 r. o wsparciu kobiet w ciąży i rodzin „Za życiem” (Dz. U. z 2024 r. poz. 1829).</t>
  </si>
  <si>
    <t>Żaden lokal nie będzie przeznaczony dla rodzin z dziećmi posiadającymi zaświadczenie, o którym mowa w art. 4 ust. 3 ustawy z dnia 4 listopada 2016 r. o wsparciu kobiet w ciąży i rodzin „Za życiem” (Dz. U. z 2024 r. poz. 1829).</t>
  </si>
  <si>
    <r>
      <t xml:space="preserve">S. </t>
    </r>
    <r>
      <rPr>
        <sz val="11"/>
        <color rgb="FF000000"/>
        <rFont val="Calibri"/>
        <family val="2"/>
        <charset val="238"/>
        <scheme val="minor"/>
      </rPr>
      <t xml:space="preserve">Informacja, czy: 
1) przedsięwzięcie jest realizowane zgodnie ze standardami określonymi w rozporządzeniu Ministra Inwestycji i Rozwoju z dnia 4 marca 2019 r. w sprawie standardów dotyczących przestrzennego kształtowania budynku i jego otoczenia, technologii wykonania i wyposażenia technicznego budynku oraz lokalizacji przedsięwzięć realizowanych z wykorzystaniem finansowego wsparcia z Funduszu Dopłat (Dz. U. z 2019 r. poz. 457) albo 
2) wobec przedsięwzięcia nie stosuje się standardów określonych w rozporządzeniu, o którym mowa w pkt 1, zgodnie z § 2 pkt 1 lub 2 lub 3 lub 4 ) tego rozporządzenia. </t>
    </r>
  </si>
  <si>
    <r>
      <t xml:space="preserve">T. </t>
    </r>
    <r>
      <rPr>
        <sz val="11"/>
        <color rgb="FF000000"/>
        <rFont val="Calibri"/>
        <family val="2"/>
        <charset val="238"/>
        <scheme val="minor"/>
      </rPr>
      <t>Informacja, czy przedsięwzięcie spełnia standardy, o których mowa w przepisach wydanych na podstawie art. 48a ust. 14 ustawy z dnia 12 marca 2004 r. o pomocy społecznej – w przypadku przedsięwzięcia, o którym mowa w art. 4 ustawy.</t>
    </r>
  </si>
  <si>
    <r>
      <t xml:space="preserve">U. </t>
    </r>
    <r>
      <rPr>
        <sz val="11"/>
        <color rgb="FF000000"/>
        <rFont val="Calibri"/>
        <family val="2"/>
        <charset val="238"/>
        <scheme val="minor"/>
      </rPr>
      <t>Informacja, czy przedsięwzięcie spełnia standardy, o których mowa w przepisach wydanych na podstawie art. 53 ust. 24 ustawy z dnia 12 marca 2004 r. o pomocy społecznej – w przypadku przedsięwzięcia, o którym mowa w art. 6 ustawy.</t>
    </r>
  </si>
  <si>
    <r>
      <t>W.</t>
    </r>
    <r>
      <rPr>
        <sz val="11"/>
        <color rgb="FF000000"/>
        <rFont val="Calibri"/>
        <family val="2"/>
        <charset val="238"/>
        <scheme val="minor"/>
      </rPr>
      <t xml:space="preserve"> Informacja, czy finansowe wsparcie, o którym mowa w art. 3, art. 5 i art. 5a ustawy, jest udzielane na przedsięwzięcie, w wyniku którego powstaną lokale mieszkalne, których docelową grupę najemców będą stanowić również osoby starsze, o których mowa w art. 5b ustawy – w przypadku gdy finansowe wsparcie ma być udzielone także na utworzenie dodatkowych powierzchni użytkowych przeznaczonych na zaspokojenie potrzeb osób starszych.</t>
    </r>
  </si>
  <si>
    <r>
      <rPr>
        <b/>
        <sz val="11"/>
        <color rgb="FF000000"/>
        <rFont val="Calibri"/>
        <family val="2"/>
        <charset val="238"/>
        <scheme val="minor"/>
      </rPr>
      <t>X.</t>
    </r>
    <r>
      <rPr>
        <sz val="11"/>
        <color rgb="FF000000"/>
        <rFont val="Calibri"/>
        <family val="2"/>
        <charset val="238"/>
        <scheme val="minor"/>
      </rPr>
      <t xml:space="preserve"> Informacja, czy w ramach przedsięwzięcia występuje pomoc publiczna – w przypadku przedsięwzięć, o których mowa w art. 5c ustawy.</t>
    </r>
  </si>
  <si>
    <r>
      <rPr>
        <b/>
        <sz val="11"/>
        <color rgb="FF000000"/>
        <rFont val="Calibri"/>
        <family val="2"/>
        <charset val="238"/>
        <scheme val="minor"/>
      </rPr>
      <t>Y.</t>
    </r>
    <r>
      <rPr>
        <sz val="11"/>
        <color rgb="FF000000"/>
        <rFont val="Calibri"/>
        <family val="2"/>
        <charset val="238"/>
        <scheme val="minor"/>
      </rPr>
      <t xml:space="preserve"> Informacja, czy beneficjent wsparcia będący jednoosobową spółką gminną jest spółką, której gmina powierzyła realizację zadania własnego w zakresie zaspokajania potrzeb mieszkaniowych wspólnoty samorządowej w rozumieniu przepisu art. 2 pkt 5a lit. b ustawy – w przypadku przedsięwzięć, o których mowa w art. 3 albo art. 4 ustawy.</t>
    </r>
  </si>
  <si>
    <r>
      <rPr>
        <b/>
        <sz val="11"/>
        <color rgb="FF000000"/>
        <rFont val="Calibri"/>
        <family val="2"/>
        <charset val="238"/>
        <scheme val="minor"/>
      </rPr>
      <t xml:space="preserve">Z. </t>
    </r>
    <r>
      <rPr>
        <sz val="11"/>
        <color rgb="FF000000"/>
        <rFont val="Calibri"/>
        <family val="2"/>
        <charset val="238"/>
        <scheme val="minor"/>
      </rPr>
      <t>W przypadku przedsięwzięć realizowanych na podstawie art. 3 ust. 1 pkt 1, art. 4 ust. 1 pkt 1, art. 4a ust. 1 pkt 1, art. 5 ust. 1 pkt 1 i art. 5c ustawy informacja o numerze księgi wieczystej prowadzonej dla nieruchomości objętej przedsięwzięciem.</t>
    </r>
  </si>
  <si>
    <r>
      <rPr>
        <b/>
        <sz val="11"/>
        <color rgb="FF000000"/>
        <rFont val="Calibri"/>
        <family val="2"/>
        <charset val="238"/>
        <scheme val="minor"/>
      </rPr>
      <t xml:space="preserve">ZA. </t>
    </r>
    <r>
      <rPr>
        <sz val="11"/>
        <color rgb="FF000000"/>
        <rFont val="Calibri"/>
        <family val="2"/>
        <charset val="238"/>
        <scheme val="minor"/>
      </rPr>
      <t>Informacja, czy beneficjent wsparcia lub inwestor posiada prawo własności lub użytkowania wieczystego lub dzierżawy lub użyczenia gruntu, na którym realizowane jest przedsięwzięcie, albo prawo własności budynku lub części budynku (w tym lokali), w którym realizowane jest przedsięwzięcie, albo o posiadanym prawie własności lub dzierżawy lub użytkowania wieczystego gruntu (dla przedsięwzięć, o których mowa w art. 3 ust. 1, art. 4, art. 4a ust. 1, art. 5 ust. 1 i art. 5c ustawy).</t>
    </r>
  </si>
  <si>
    <r>
      <t xml:space="preserve">ZB. </t>
    </r>
    <r>
      <rPr>
        <sz val="11"/>
        <color rgb="FF000000"/>
        <rFont val="Calibri"/>
        <family val="2"/>
        <charset val="238"/>
        <scheme val="minor"/>
      </rPr>
      <t>W przypadku przedsięwzięć, o których mowa w art. 3 ust. 1 pkt 1, art. 4 ust. 1 pkt 1, art. 4a ust. 1 pkt 1 i art. 5 ust. 1 pkt 1 ustawy, informacje o:</t>
    </r>
  </si>
  <si>
    <t>5) łącznej liczbie realizowanych stanowisk postojowych lub garaży znajdujących się w budynkach mieszkalnych i wielopoziomowych, w tym przypadających na lokale mieszkalne objęte wnioskiem</t>
  </si>
  <si>
    <r>
      <t>ZC.</t>
    </r>
    <r>
      <rPr>
        <sz val="11"/>
        <color rgb="FF000000"/>
        <rFont val="Calibri"/>
        <family val="2"/>
        <charset val="238"/>
        <scheme val="minor"/>
      </rPr>
      <t xml:space="preserve"> W przypadku przedsięwzięcia, o którym mowa w art. 5 ust. 1 albo art. 5c ust. 2 ustawy, informacja o dacie albo planowanej dacie zawarcia umowy, o której mowa w art. 5 ust. 2 pkt 1 albo pkt 2 lit. a albo art. 5c ust. 3 ustawy, oraz okresie, na jaki została bądź zostanie zawarta ta umowa.  </t>
    </r>
  </si>
  <si>
    <r>
      <t xml:space="preserve">ZD. </t>
    </r>
    <r>
      <rPr>
        <sz val="11"/>
        <color rgb="FF000000"/>
        <rFont val="Calibri"/>
        <family val="2"/>
        <charset val="238"/>
        <scheme val="minor"/>
      </rPr>
      <t xml:space="preserve">W przypadku przedsięwzięcia, o którym mowa w art. 5 ust. 1 pkt 2 lit. b ustawy, informacja, czy gmina określiła kryteria, o których mowa w art. 22e ust. 1 pkt 1 ustawy z dnia 26 października 1995 r. o społecznych formach rozwoju mieszkalnictwa. </t>
    </r>
  </si>
  <si>
    <r>
      <rPr>
        <b/>
        <sz val="11"/>
        <color rgb="FF000000"/>
        <rFont val="Calibri"/>
        <family val="2"/>
        <charset val="238"/>
        <scheme val="minor"/>
      </rPr>
      <t xml:space="preserve">ZE. </t>
    </r>
    <r>
      <rPr>
        <sz val="11"/>
        <color rgb="FF000000"/>
        <rFont val="Calibri"/>
        <family val="2"/>
        <charset val="238"/>
        <scheme val="minor"/>
      </rPr>
      <t>Informacja, czy przed złożeniem danego wniosku o finansowe wsparcie, budynek lub jego część, które są aktualnie przedmiotem przedsięwzięcia, podlegał finansowaniu ze środków Funduszu Dopłat. Jeżeli tak, to informacja czy przedsięwzięcie, w ramach którego finansowany był ten budynek lub ta część zostało rozliczone i kiedy nastąpiło to rozliczenie.</t>
    </r>
  </si>
  <si>
    <r>
      <rPr>
        <b/>
        <sz val="11"/>
        <color rgb="FF000000"/>
        <rFont val="Calibri"/>
        <family val="2"/>
        <charset val="238"/>
        <scheme val="minor"/>
      </rPr>
      <t>ZF.</t>
    </r>
    <r>
      <rPr>
        <sz val="11"/>
        <color rgb="FF000000"/>
        <rFont val="Calibri"/>
        <family val="2"/>
        <charset val="238"/>
        <scheme val="minor"/>
      </rPr>
      <t xml:space="preserve"> W przypadku przedsięwzięcia, o którym mowa w art. 3 ust. 1 pkt 1, art. 5 ust. 1 pkt 1 informacja czy przedsięwzięcie jest realizowane na podstawie dokumentacji projektowej opracowanej z wykorzystaniem zasobu projektów, o którym mowa w art. 7g ustawy.</t>
    </r>
  </si>
  <si>
    <r>
      <t xml:space="preserve">ZK. </t>
    </r>
    <r>
      <rPr>
        <sz val="11"/>
        <color rgb="FF000000"/>
        <rFont val="Calibri"/>
        <family val="2"/>
        <charset val="238"/>
        <scheme val="minor"/>
      </rPr>
      <t>W przypadku przedsięwzięć, o których mowa w art. 3 ust. 1 pkt 1 oraz w art. 5 ust. 1 pkt 1 ustawy, informacja, czy wartość wskaźnika rocznego zapotrzebowania na nieodnawialną energię pierwotną EP w budynku powstałym w ramach przedsięwzięcia przekracza czy nie przekracza 52 kWh/(m</t>
    </r>
    <r>
      <rPr>
        <sz val="11"/>
        <color rgb="FF000000"/>
        <rFont val="Aptos Narrow"/>
        <family val="2"/>
      </rPr>
      <t>²</t>
    </r>
    <r>
      <rPr>
        <sz val="11"/>
        <color rgb="FF000000"/>
        <rFont val="Calibri"/>
        <family val="2"/>
        <charset val="238"/>
        <scheme val="minor"/>
      </rPr>
      <t>×rok).</t>
    </r>
  </si>
  <si>
    <r>
      <t xml:space="preserve">ZL. </t>
    </r>
    <r>
      <rPr>
        <sz val="11"/>
        <color rgb="FF000000"/>
        <rFont val="Calibri"/>
        <family val="2"/>
        <charset val="238"/>
        <scheme val="minor"/>
      </rPr>
      <t>Informacja, czy koszty przedsięwzięcia obejmują koszty związane z zakupem, montażem i uruchomieniem indywidualnego kotła zasilanego paliwami kopalnymi.</t>
    </r>
  </si>
  <si>
    <t>Informuję, że koszty przedsięwzięcia nie obejmują kosztów związanych z zakupem, montażem i uruchomieniem indywidualnego kotła zasilanego paliwami kopalnymi.</t>
  </si>
  <si>
    <r>
      <t>Informuję, że wartość wskaźnika rocznego zapotrzebowania na nieodnawialną energię pierwotną EP w budynku powstałym w ramach przedsięwzięcia nie przekracza 52 kWh/(m</t>
    </r>
    <r>
      <rPr>
        <sz val="11"/>
        <color theme="1"/>
        <rFont val="Aptos Narrow"/>
        <family val="2"/>
      </rPr>
      <t>²</t>
    </r>
    <r>
      <rPr>
        <sz val="11"/>
        <color theme="1"/>
        <rFont val="Calibri"/>
        <family val="2"/>
        <charset val="238"/>
        <scheme val="minor"/>
      </rPr>
      <t>×rok).</t>
    </r>
  </si>
  <si>
    <r>
      <t>Informuję, że wartość wskaźnika rocznego zapotrzebowania na nieodnawialną energię pierwotną EP w budynku powstałym w ramach przedsięwzięcia przekracza  n 52 kWh/(m</t>
    </r>
    <r>
      <rPr>
        <sz val="11"/>
        <color theme="1"/>
        <rFont val="Aptos Narrow"/>
        <family val="2"/>
      </rPr>
      <t>²</t>
    </r>
    <r>
      <rPr>
        <sz val="11"/>
        <color theme="1"/>
        <rFont val="Calibri"/>
        <family val="2"/>
        <charset val="238"/>
        <scheme val="minor"/>
      </rPr>
      <t>×rok).</t>
    </r>
  </si>
  <si>
    <t>Informuję, że koszty przedsięwzięcia obejmują kosztów związanych z zakupem, montażem i uruchomieniem indywidualnego kotła zasilanego paliwami kopalnymi.</t>
  </si>
  <si>
    <t>Informuję, że wartość wskaźnika rocznego zapotrzebowania na nieodnawialną energię pierwotną EP w budynku powstałym w ramach przedsięwzięcia nie przekracza 52 kWh/(m²×rok).</t>
  </si>
  <si>
    <t>Umowa, o której mowa w art. 5 ust. 2 pkt 1 ustawy będzie obowiązywała przez okres co najmniej 25 lat, licząc od dnia rozliczenia kosztów przedsięwzięcia tj. od dnia wpływu do banku poprawnych i kompletnych dokumentów wynikających m.in. z art. 18 ustawy i zapisów umowy o udzielenie finansowego wsparcia, o której mowa w art. 12 ustawy.</t>
  </si>
  <si>
    <t>Informuję, że przed złożeniem wniosku o finansowe wsparcie, budynek lub jego część, które są aktualnie przedmiotem przedsięwzięcia, podlegał finansowaniu ze środków Funduszu Dopłat. Jednocześnie informuję, że przedsięwzięcie, w ramach którego finansowany był ten budynek nie zostało rozliczone lub zostało rozliczone, a rozliczenie to nastąpiło na mniej niż 15 (w przypadku dofinansowań udzielonych przed 22 sierpnia 2025 r.) albo 25 (w przypadku dofinansowań udzielonych po 22 sierpnia 2025 r.) lat przed złożeniem niniejszego wniosku.</t>
  </si>
  <si>
    <t>Informuję, że przed złożeniem wniosku o finansowe wsparcie, budynek lub jego część, które są aktualnie przedmiotem przedsięwzięcia, nie podlegał finansowaniu ze środków Funduszu Dopłat lub rozliczenie to nastąpiło na więcej niż 15 (w przypadku dofinansowań udzielonych przed 22 sierpnia 2025 r.) albo 25 (w przypadku dofinansowań udzielonych po 22 sierpnia 2025 r.) lat przed złożeniem niniejszego wniosku.</t>
  </si>
  <si>
    <t xml:space="preserve">Informuję, że przed złożeniem wniosku o finansowe wsparcie, budynek lub jego część, które są aktualnie przedmiotem przedsięwzięcia, podlegał finansowaniu ze środków Funduszu Dopłat. Jednocześnie informuję, że przedsięwzięcie, w ramach którego finansowany był ten budynek lub ta część nie zostało rozliczone lub rozliczenie to nastąpiło na mniej niż 15 (w przypadku dofinansowań udzielonych przed 22 sierpnia 2025 r.) albo 25 (w przypadku dofinansowań udzielonych po 22 sierpnia 2025 r.) lat przed złożeniem niniejszego wniosku. </t>
  </si>
  <si>
    <r>
      <t>Przygotowany wniosek prosimy zapisać do formatu PDF i opatrzeć kwalifikowanym podpisem elektronicznym przez osobę lub osoby upoważnione do składania oświadczeń woli przez wnioskodawcę.                                                                                                                                                                                                 Krótka instrukcja zapisania wniosku do</t>
    </r>
    <r>
      <rPr>
        <b/>
        <sz val="12"/>
        <color theme="1"/>
        <rFont val="Arial"/>
        <family val="2"/>
        <charset val="238"/>
      </rPr>
      <t xml:space="preserve"> pliku PDF</t>
    </r>
    <r>
      <rPr>
        <sz val="12"/>
        <color theme="1"/>
        <rFont val="Arial"/>
        <family val="2"/>
        <charset val="238"/>
      </rPr>
      <t xml:space="preserve">:  Kliknij na górnym pasku  </t>
    </r>
    <r>
      <rPr>
        <b/>
        <sz val="12"/>
        <color theme="1"/>
        <rFont val="Arial"/>
        <family val="2"/>
        <charset val="238"/>
      </rPr>
      <t>Pliki</t>
    </r>
    <r>
      <rPr>
        <sz val="12"/>
        <color theme="1"/>
        <rFont val="Arial"/>
        <family val="2"/>
        <charset val="238"/>
      </rPr>
      <t xml:space="preserve"> -&gt; wybierz </t>
    </r>
    <r>
      <rPr>
        <b/>
        <sz val="12"/>
        <color theme="1"/>
        <rFont val="Arial"/>
        <family val="2"/>
        <charset val="238"/>
      </rPr>
      <t>Zapisz plik</t>
    </r>
    <r>
      <rPr>
        <sz val="12"/>
        <color theme="1"/>
        <rFont val="Arial"/>
        <family val="2"/>
        <charset val="238"/>
      </rPr>
      <t xml:space="preserve"> -&gt; </t>
    </r>
    <r>
      <rPr>
        <b/>
        <sz val="12"/>
        <color theme="1"/>
        <rFont val="Arial"/>
        <family val="2"/>
        <charset val="238"/>
      </rPr>
      <t xml:space="preserve">wybierz folder </t>
    </r>
    <r>
      <rPr>
        <sz val="12"/>
        <color theme="1"/>
        <rFont val="Arial"/>
        <family val="2"/>
        <charset val="238"/>
      </rPr>
      <t xml:space="preserve">docelowy zapisania pliku Wniosku -&gt; </t>
    </r>
    <r>
      <rPr>
        <b/>
        <sz val="12"/>
        <color theme="1"/>
        <rFont val="Arial"/>
        <family val="2"/>
        <charset val="238"/>
      </rPr>
      <t>zmień Zapisz jako typ Skoroszyt programu Excel wybierając z rozwijanej listy plik PDF</t>
    </r>
    <r>
      <rPr>
        <sz val="12"/>
        <color theme="1"/>
        <rFont val="Arial"/>
        <family val="2"/>
        <charset val="238"/>
      </rPr>
      <t xml:space="preserve"> i kliknij </t>
    </r>
    <r>
      <rPr>
        <b/>
        <sz val="12"/>
        <color theme="1"/>
        <rFont val="Arial"/>
        <family val="2"/>
        <charset val="238"/>
      </rPr>
      <t>Zapisz</t>
    </r>
    <r>
      <rPr>
        <sz val="12"/>
        <color theme="1"/>
        <rFont val="Arial"/>
        <family val="2"/>
        <charset val="238"/>
      </rPr>
      <t xml:space="preserve">. Wniosek zapisany w formacie pdf jest gotowy do podpisania. Wniosek podpisany należy wysłać za pomocą środków komunikacji elektronicznej przez elektroniczną skrzynkę podawczą banku ePUAP:  /BGK/DFM lub przez e-doręczenia na adres: AE:PL-61003-21615-HCHHR-20. Na potwierdzenie wysłania wniosku należy pobrać dokument Urzędowego Poświadczenia Przedłożenia (UPP). Po pobraniu UPP należy oczekiwać do 30 dni na korespondencję z banku w przedmiotowej sprawie. Przez ten czas nie należy przesyłać wniosku ponownie lub zmian do niego. </t>
    </r>
  </si>
  <si>
    <t>Szanowni Państwo,
przesyłając nowy wniosek w tytule sprawy (w piśmie przewodnim lub technicznym przesyłanym poprzez ePUAP/e-doręczenia wraz z wnioskiem) proszę wpisywać treść „nowy wniosek”, a jeśli przesyłana jest korekta wniosku proszę wpisać „korekta wniosku dla sprawy numer (…)”. Numer sprawy to znak pisma – wezwania do uzupełnienia. Przesyłana korespondencja do banku poprzez ePUAP lub przez e-doręczenia powinna dotyczyć jednej sprawy. Taki sposób oznakowania korespondencji pozwoli nam usprawnić obsługę Państwa wniosków. Dziękujemy za stosowanie się do powyższego.</t>
  </si>
  <si>
    <t>Łącznie powinno zsumować się na kwalifikowany koszt przedsięwzięcia</t>
  </si>
  <si>
    <t>Przewidywana data rozpoczęcia realizacji przedsięwzięcia /Data rozpoczęcia realizacji przedsięwzięcia (dzień, miesiąc (słownie) i rok). Dla przedsięwzięć, o których mowa w art. 5 ust. 1 pkt 1 i pkt 2 lit. a  poprzez rozpoczęcie realizacji przedsięwzięcia rozumie się datę zawarcia umowy, o której mowa w art. 5 ust. 2 pkt 1. Data ta jest zbieżna z datą wskazywaną w pkt VI.ZC.</t>
  </si>
  <si>
    <r>
      <t>Zgodnie z art. 14 ust. 1 pkt 1 lit. a tiret drugie i ust. 2 ww. ustawy przez koszty wykonania stanowisk postojowych lub garaży znajdujących się w budynkach mieszkalnych i wielopoziomowych, rozumie się koszty wykonania stanowisk postojowych lub garaży zlokalizowanych w obrębie finansowanego przedsięwzięcia w liczbie nieprzekraczającej minimalnej liczby wynikającej z ustaleń miejscowego planu zagospodarowania przestrzennego albo decyzji o warunkach zabudowy oraz przypadającej na finansowanie w ramach przedsięwzięcia. Przedstawiamy wskaźnik kosztowy ma on zastosowanie do kosztów realizowanych stanowisk postojowych lub garaży znajdujących się w budynkach mieszkalnych i wielopoziomowych. Koszty te rodzajowo należy wyodrębnić w przynajmniej jednej pozycji (</t>
    </r>
    <r>
      <rPr>
        <b/>
        <sz val="11"/>
        <rFont val="Calibri"/>
        <family val="2"/>
        <charset val="238"/>
        <scheme val="minor"/>
      </rPr>
      <t>Koszty stanowisk postojowych lub garaży, Koszty hali garażowej w budynku mieszkalnym</t>
    </r>
    <r>
      <rPr>
        <sz val="11"/>
        <rFont val="Calibri"/>
        <family val="2"/>
        <charset val="238"/>
        <scheme val="minor"/>
      </rPr>
      <t xml:space="preserve">) w pkt VI.F. i zastosować wskaźnik kosztowy do realizowanych stanowisk postojowych lub garaży. W przypadku gdy w przedsięwzięciu występuje zarówno wskaźnik kosztowy realizowanych stanowisk postojowych lub garaży oraz wskaźnik powierzchniowy, zgodny z art. 15 ww. ustawy to dla pozycji kosztowej stanowiska postojowe i garaże należy zastosować iloczyn obu wskaźników. </t>
    </r>
    <r>
      <rPr>
        <b/>
        <sz val="11"/>
        <rFont val="Calibri"/>
        <family val="2"/>
        <charset val="238"/>
        <scheme val="minor"/>
      </rPr>
      <t>Wskaźnik (II.) kosztowy</t>
    </r>
    <r>
      <rPr>
        <sz val="11"/>
        <rFont val="Calibri"/>
        <family val="2"/>
        <charset val="238"/>
        <scheme val="minor"/>
      </rPr>
      <t xml:space="preserve"> jaki należy zastosować do realizowanych stanowisk postojowych lub garaży znajdujących się w budynkach mieszkalnych i wielopoziomowych to liczba równa ilorazowi (liczby z pkt VI.ZB.6 objęte wnioskiem i liczby z pkt VI.ZB.5 realizowane).</t>
    </r>
  </si>
  <si>
    <t>W imieniu beneficjenta, udzielam pełnomocnictwa osobie wskazanej w pkt I.E. niniejszego wniosku do uzyskiwania informacji oraz wyjaśnień we wszystkich sprawach dotyczących wniosku, w tym w zakresie jego rozpatrywania, uzupełnień, rozstrzygnięć, a w przypadku przyznania finansowego wsparcia– również do uzyskiwania informacji w zakresie zawarcia umowy, jej aneksowania, realizacji przedsięwzięcia, rozliczenia, obowiązków po rozliczeniu oraz kontroli.</t>
  </si>
  <si>
    <r>
      <t>Przygotowany wniosek prosimy zapisać do formatu PDF i opatrzeć kwalifikowanym podpisem elektronicznym przez osobę lub osoby upoważnione do składania oświadczeń woli przez wnioskodawcę.                                                                                                                                                                                             Krótka instrukcja zapisania wniosku do</t>
    </r>
    <r>
      <rPr>
        <b/>
        <sz val="12"/>
        <color theme="1"/>
        <rFont val="Arial"/>
        <family val="2"/>
        <charset val="238"/>
      </rPr>
      <t xml:space="preserve"> pliku PDF</t>
    </r>
    <r>
      <rPr>
        <sz val="12"/>
        <color theme="1"/>
        <rFont val="Arial"/>
        <family val="2"/>
        <charset val="238"/>
      </rPr>
      <t xml:space="preserve">:  Kliknij na górnym pasku  </t>
    </r>
    <r>
      <rPr>
        <b/>
        <sz val="12"/>
        <color theme="1"/>
        <rFont val="Arial"/>
        <family val="2"/>
        <charset val="238"/>
      </rPr>
      <t>Pliki</t>
    </r>
    <r>
      <rPr>
        <sz val="12"/>
        <color theme="1"/>
        <rFont val="Arial"/>
        <family val="2"/>
        <charset val="238"/>
      </rPr>
      <t xml:space="preserve"> -&gt; wybierz </t>
    </r>
    <r>
      <rPr>
        <b/>
        <sz val="12"/>
        <color theme="1"/>
        <rFont val="Arial"/>
        <family val="2"/>
        <charset val="238"/>
      </rPr>
      <t>Zapisz plik</t>
    </r>
    <r>
      <rPr>
        <sz val="12"/>
        <color theme="1"/>
        <rFont val="Arial"/>
        <family val="2"/>
        <charset val="238"/>
      </rPr>
      <t xml:space="preserve"> -&gt; </t>
    </r>
    <r>
      <rPr>
        <b/>
        <sz val="12"/>
        <color theme="1"/>
        <rFont val="Arial"/>
        <family val="2"/>
        <charset val="238"/>
      </rPr>
      <t xml:space="preserve">wybierz folder </t>
    </r>
    <r>
      <rPr>
        <sz val="12"/>
        <color theme="1"/>
        <rFont val="Arial"/>
        <family val="2"/>
        <charset val="238"/>
      </rPr>
      <t xml:space="preserve">docelowy zapisania pliku Wniosku -&gt; </t>
    </r>
    <r>
      <rPr>
        <b/>
        <sz val="12"/>
        <color theme="1"/>
        <rFont val="Arial"/>
        <family val="2"/>
        <charset val="238"/>
      </rPr>
      <t>zmień Zapisz jako typ Skoroszyt programu Excel wybierając z rozwijanej listy plik PDF</t>
    </r>
    <r>
      <rPr>
        <sz val="12"/>
        <color theme="1"/>
        <rFont val="Arial"/>
        <family val="2"/>
        <charset val="238"/>
      </rPr>
      <t xml:space="preserve"> i kliknij </t>
    </r>
    <r>
      <rPr>
        <b/>
        <sz val="12"/>
        <color theme="1"/>
        <rFont val="Arial"/>
        <family val="2"/>
        <charset val="238"/>
      </rPr>
      <t>Zapisz</t>
    </r>
    <r>
      <rPr>
        <sz val="12"/>
        <color theme="1"/>
        <rFont val="Arial"/>
        <family val="2"/>
        <charset val="238"/>
      </rPr>
      <t xml:space="preserve">. Wniosek zapisany w formacie pdf jest gotowy do podpisania. Wniosek podpisany należy wysłać za pomocą środków komunikacji elektronicznej przez elektroniczną skrzynkę podawczą banku ePUAP:  /BGK/DFM lub przez e-doręczenia na adres: AE:PL-61003-21615-HCHHR-20. Na potwierdzenie wysłania wniosku należy pobrać dokument Urzędowego Poświadczenia Przedłożenia (UPP). Po pobraniu UPP należy oczekiwać do 30 dni na korespondencję z banku w przedmiotowej sprawie. Przez ten czas nie należy przesyłać wniosku ponownie lub zmian do niego. </t>
    </r>
  </si>
  <si>
    <t xml:space="preserve">W przypadku podpisania wniosku przez inną osobą niż Wójt/Burmistrz/Prezydent należy przesłać  pełnomocnictwo do złożenia wniosku. </t>
  </si>
  <si>
    <r>
      <rPr>
        <sz val="11"/>
        <rFont val="Calibri"/>
        <family val="2"/>
        <charset val="238"/>
        <scheme val="minor"/>
      </rPr>
      <t>Wzór pełnomocnictwa akceptowanego przez bank znajduje się</t>
    </r>
    <r>
      <rPr>
        <u/>
        <sz val="11"/>
        <color theme="10"/>
        <rFont val="Calibri"/>
        <family val="2"/>
        <scheme val="minor"/>
      </rPr>
      <t xml:space="preserve"> tutaj   </t>
    </r>
  </si>
  <si>
    <t>Wzór pełnomocnictwa akceptowanego przez bank znajduje się tutaj</t>
  </si>
  <si>
    <r>
      <t>Przygotowany wniosek prosimy zapisać do formatu PDF i opatrzeć kwalifikowanym podpisem elektronicznym przez osobę lub osoby upoważnione do składania oświadczeń woli przez wnioskodawcę.  
                                                                                                                                                                                             Krótka instrukcja zapisania wniosku do</t>
    </r>
    <r>
      <rPr>
        <b/>
        <sz val="12"/>
        <color theme="1"/>
        <rFont val="Arial"/>
        <family val="2"/>
        <charset val="238"/>
      </rPr>
      <t xml:space="preserve"> pliku PDF</t>
    </r>
    <r>
      <rPr>
        <sz val="12"/>
        <color theme="1"/>
        <rFont val="Arial"/>
        <family val="2"/>
        <charset val="238"/>
      </rPr>
      <t xml:space="preserve">:  Kliknij na górnym pasku  </t>
    </r>
    <r>
      <rPr>
        <b/>
        <sz val="12"/>
        <color theme="1"/>
        <rFont val="Arial"/>
        <family val="2"/>
        <charset val="238"/>
      </rPr>
      <t>Pliki</t>
    </r>
    <r>
      <rPr>
        <sz val="12"/>
        <color theme="1"/>
        <rFont val="Arial"/>
        <family val="2"/>
        <charset val="238"/>
      </rPr>
      <t xml:space="preserve"> -&gt; wybierz </t>
    </r>
    <r>
      <rPr>
        <b/>
        <sz val="12"/>
        <color theme="1"/>
        <rFont val="Arial"/>
        <family val="2"/>
        <charset val="238"/>
      </rPr>
      <t>Zapisz plik</t>
    </r>
    <r>
      <rPr>
        <sz val="12"/>
        <color theme="1"/>
        <rFont val="Arial"/>
        <family val="2"/>
        <charset val="238"/>
      </rPr>
      <t xml:space="preserve"> -&gt; </t>
    </r>
    <r>
      <rPr>
        <b/>
        <sz val="12"/>
        <color theme="1"/>
        <rFont val="Arial"/>
        <family val="2"/>
        <charset val="238"/>
      </rPr>
      <t xml:space="preserve">wybierz folder </t>
    </r>
    <r>
      <rPr>
        <sz val="12"/>
        <color theme="1"/>
        <rFont val="Arial"/>
        <family val="2"/>
        <charset val="238"/>
      </rPr>
      <t xml:space="preserve">docelowy zapisania pliku Wniosku -&gt; </t>
    </r>
    <r>
      <rPr>
        <b/>
        <sz val="12"/>
        <color theme="1"/>
        <rFont val="Arial"/>
        <family val="2"/>
        <charset val="238"/>
      </rPr>
      <t>zmień Zapisz jako typ Skoroszyt programu Excel wybierając z rozwijanej listy plik PDF</t>
    </r>
    <r>
      <rPr>
        <sz val="12"/>
        <color theme="1"/>
        <rFont val="Arial"/>
        <family val="2"/>
        <charset val="238"/>
      </rPr>
      <t xml:space="preserve"> i kliknij </t>
    </r>
    <r>
      <rPr>
        <b/>
        <sz val="12"/>
        <color theme="1"/>
        <rFont val="Arial"/>
        <family val="2"/>
        <charset val="238"/>
      </rPr>
      <t>Zapisz</t>
    </r>
    <r>
      <rPr>
        <sz val="12"/>
        <color theme="1"/>
        <rFont val="Arial"/>
        <family val="2"/>
        <charset val="238"/>
      </rPr>
      <t xml:space="preserve">. Wniosek zapisany w formacie pdf jest gotowy do podpisania. Wniosek podpisany należy wysłać za pomocą środków komunikacji elektronicznej przez elektroniczną skrzynkę podawczą banku ePUAP:  /BGK/DFM lub przez e-doręczenia na adres: AE:PL-61003-21615-HCHHR-20. Na potwierdzenie wysłania wniosku należy pobrać dokument Urzędowego Poświadczenia Przedłożenia (UPP). Po pobraniu UPP należy oczekiwać do 30 dni na korespondencję z banku w przedmiotowej sprawie. Przez ten czas nie należy przesyłać wniosku ponownie lub zmian do niego. </t>
    </r>
  </si>
  <si>
    <r>
      <rPr>
        <sz val="12"/>
        <rFont val="Calibri"/>
        <family val="2"/>
        <scheme val="minor"/>
      </rPr>
      <t>Wzór pełnomocnictwa akceptowanego przez bank znajduje się</t>
    </r>
    <r>
      <rPr>
        <u/>
        <sz val="12"/>
        <color theme="10"/>
        <rFont val="Calibri"/>
        <family val="2"/>
        <scheme val="minor"/>
      </rPr>
      <t xml:space="preserve"> tutaj   </t>
    </r>
  </si>
  <si>
    <t>Uwaga: Zgodnie z art. 3 ust 3 ustawy finansowego wsparcia na remont lub przebudowę budynku mieszkalnego albo części takiego budynku udziela się, jeśli ten remont lub ta przebudowa nie dotyczy lokalu mieszkalnego zajmowanego przez lokatora na podstawie obowiązującej umowy najmu przy czym, zgodnie ze stanowiskiem Ministerstwa Rozwoju i Technologii, udostępnienie lokatorowi na czas remontu/przebudowy lokalu zamiennego w rozumieniu art. 10 ust 4 ustawy o ochronie praw lokatorów, mieszkaniowym zasobie gminy i zmianie Kodeksu cywilnego nie spełnia warunku art. 3 ust 3 ustawy.</t>
  </si>
  <si>
    <t xml:space="preserve">Remont lub przebudowa budynku mieszkalnego </t>
  </si>
  <si>
    <t xml:space="preserve">B. Remont budynku albo jego części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</si>
</sst>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zł&quot;_-;\-* #,##0.00\ &quot;zł&quot;_-;_-* &quot;-&quot;??\ &quot;zł&quot;_-;_-@_-"/>
    <numFmt numFmtId="164" formatCode="000\-000\-00\-00"/>
    <numFmt numFmtId="165" formatCode="_-* #,##0.00\ [$zł-415]_-;\-* #,##0.00\ [$zł-415]_-;_-* &quot;-&quot;??\ [$zł-415]_-;_-@_-"/>
    <numFmt numFmtId="166" formatCode="[$-F800]dddd\,\ mmmm\ dd\,\ yyyy"/>
    <numFmt numFmtId="167" formatCode="0.00000000%"/>
    <numFmt numFmtId="168" formatCode="[$-415]d\ mmmm\ yyyy;@"/>
    <numFmt numFmtId="169" formatCode="0.0000"/>
  </numFmts>
  <fonts count="123"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b/>
      <sz val="11"/>
      <color theme="1"/>
      <name val="Calibri"/>
      <family val="2"/>
      <charset val="238"/>
      <scheme val="minor"/>
    </font>
    <font>
      <b/>
      <sz val="9"/>
      <color rgb="FF000000"/>
      <name val="Arial"/>
      <family val="2"/>
      <charset val="238"/>
    </font>
    <font>
      <u/>
      <sz val="11"/>
      <color theme="10"/>
      <name val="Calibri"/>
      <family val="2"/>
      <scheme val="minor"/>
    </font>
    <font>
      <sz val="9"/>
      <color rgb="FF000000"/>
      <name val="Arial"/>
      <family val="2"/>
      <charset val="238"/>
    </font>
    <font>
      <vertAlign val="superscript"/>
      <sz val="9"/>
      <color rgb="FF000000"/>
      <name val="Arial"/>
      <family val="2"/>
      <charset val="238"/>
    </font>
    <font>
      <sz val="11"/>
      <color rgb="FF000000"/>
      <name val="Arial"/>
      <family val="2"/>
      <charset val="238"/>
    </font>
    <font>
      <b/>
      <sz val="11"/>
      <color theme="1"/>
      <name val="Arial"/>
      <family val="2"/>
      <charset val="238"/>
    </font>
    <font>
      <sz val="11"/>
      <color theme="1"/>
      <name val="Arial"/>
      <family val="2"/>
      <charset val="238"/>
    </font>
    <font>
      <b/>
      <sz val="11"/>
      <color rgb="FF000000"/>
      <name val="Arial"/>
      <family val="2"/>
      <charset val="238"/>
    </font>
    <font>
      <sz val="11"/>
      <name val="Arial"/>
      <family val="2"/>
      <charset val="238"/>
    </font>
    <font>
      <sz val="11"/>
      <color theme="0" tint="-0.499984740745262"/>
      <name val="Calibri"/>
      <family val="2"/>
      <charset val="238"/>
      <scheme val="minor"/>
    </font>
    <font>
      <sz val="11"/>
      <name val="Calibri"/>
      <family val="2"/>
      <charset val="238"/>
      <scheme val="minor"/>
    </font>
    <font>
      <sz val="18"/>
      <color rgb="FFFFFF00"/>
      <name val="Calibri"/>
      <family val="2"/>
      <charset val="238"/>
      <scheme val="minor"/>
    </font>
    <font>
      <b/>
      <sz val="11"/>
      <name val="Calibri"/>
      <family val="2"/>
      <charset val="238"/>
      <scheme val="minor"/>
    </font>
    <font>
      <sz val="9"/>
      <color theme="1"/>
      <name val="Arial"/>
      <family val="2"/>
      <charset val="238"/>
    </font>
    <font>
      <sz val="16"/>
      <color rgb="FFFFFF00"/>
      <name val="Calibri"/>
      <family val="2"/>
      <charset val="238"/>
      <scheme val="minor"/>
    </font>
    <font>
      <sz val="11"/>
      <color rgb="FFFF0000"/>
      <name val="Arial"/>
      <family val="2"/>
      <charset val="238"/>
    </font>
    <font>
      <b/>
      <sz val="9"/>
      <color theme="1"/>
      <name val="Arial"/>
      <family val="2"/>
      <charset val="238"/>
    </font>
    <font>
      <sz val="11"/>
      <color rgb="FFFFFF00"/>
      <name val="Arial"/>
      <family val="2"/>
      <charset val="238"/>
    </font>
    <font>
      <sz val="16"/>
      <name val="Calibri"/>
      <family val="2"/>
      <charset val="238"/>
      <scheme val="minor"/>
    </font>
    <font>
      <sz val="11"/>
      <color rgb="FFFFFF00"/>
      <name val="Calibri"/>
      <family val="2"/>
      <charset val="238"/>
      <scheme val="minor"/>
    </font>
    <font>
      <vertAlign val="superscript"/>
      <sz val="8"/>
      <color rgb="FF000000"/>
      <name val="Arial"/>
      <family val="2"/>
      <charset val="238"/>
    </font>
    <font>
      <sz val="11"/>
      <color theme="0"/>
      <name val="Arial"/>
      <family val="2"/>
      <charset val="238"/>
    </font>
    <font>
      <sz val="8"/>
      <color theme="1"/>
      <name val="Arial"/>
      <family val="2"/>
      <charset val="238"/>
    </font>
    <font>
      <sz val="10"/>
      <color theme="1"/>
      <name val="Arial"/>
      <family val="2"/>
      <charset val="238"/>
    </font>
    <font>
      <sz val="10"/>
      <color rgb="FFFFFF00"/>
      <name val="Arial"/>
      <family val="2"/>
      <charset val="238"/>
    </font>
    <font>
      <b/>
      <sz val="10"/>
      <color theme="1"/>
      <name val="Arial"/>
      <family val="2"/>
      <charset val="238"/>
    </font>
    <font>
      <sz val="10"/>
      <color rgb="FF000000"/>
      <name val="Arial"/>
      <family val="2"/>
      <charset val="238"/>
    </font>
    <font>
      <vertAlign val="superscript"/>
      <sz val="10"/>
      <color rgb="FF000000"/>
      <name val="Arial"/>
      <family val="2"/>
      <charset val="238"/>
    </font>
    <font>
      <sz val="10"/>
      <name val="Arial"/>
      <family val="2"/>
      <charset val="238"/>
    </font>
    <font>
      <sz val="10"/>
      <color rgb="FFFF0000"/>
      <name val="Arial"/>
      <family val="2"/>
      <charset val="238"/>
    </font>
    <font>
      <sz val="10"/>
      <color theme="1"/>
      <name val="Calibri"/>
      <family val="2"/>
      <charset val="238"/>
      <scheme val="minor"/>
    </font>
    <font>
      <sz val="9"/>
      <color theme="1"/>
      <name val="Calibri"/>
      <family val="2"/>
      <charset val="238"/>
      <scheme val="minor"/>
    </font>
    <font>
      <sz val="6"/>
      <color theme="1"/>
      <name val="Calibri"/>
      <family val="2"/>
      <charset val="238"/>
      <scheme val="minor"/>
    </font>
    <font>
      <sz val="7"/>
      <color theme="1"/>
      <name val="Calibri"/>
      <family val="2"/>
      <charset val="238"/>
      <scheme val="minor"/>
    </font>
    <font>
      <sz val="11"/>
      <color rgb="FF000000"/>
      <name val="Calibri"/>
      <family val="2"/>
      <charset val="238"/>
      <scheme val="minor"/>
    </font>
    <font>
      <b/>
      <sz val="11"/>
      <color rgb="FF000000"/>
      <name val="Calibri"/>
      <family val="2"/>
      <charset val="238"/>
      <scheme val="minor"/>
    </font>
    <font>
      <sz val="9"/>
      <color theme="1"/>
      <name val="Calibri"/>
      <family val="2"/>
      <scheme val="minor"/>
    </font>
    <font>
      <b/>
      <sz val="9"/>
      <color theme="1"/>
      <name val="Calibri"/>
      <family val="2"/>
      <scheme val="minor"/>
    </font>
    <font>
      <sz val="11"/>
      <color rgb="FFFF0000"/>
      <name val="Calibri"/>
      <family val="2"/>
      <charset val="238"/>
      <scheme val="minor"/>
    </font>
    <font>
      <sz val="4"/>
      <color theme="1"/>
      <name val="Calibri"/>
      <family val="2"/>
      <scheme val="minor"/>
    </font>
    <font>
      <sz val="10"/>
      <color rgb="FFFFFF00"/>
      <name val="Calibri"/>
      <family val="2"/>
      <charset val="238"/>
      <scheme val="minor"/>
    </font>
    <font>
      <b/>
      <sz val="10"/>
      <color theme="1"/>
      <name val="Calibri"/>
      <family val="2"/>
      <charset val="238"/>
      <scheme val="minor"/>
    </font>
    <font>
      <sz val="10"/>
      <color rgb="FF000000"/>
      <name val="Calibri"/>
      <family val="2"/>
      <charset val="238"/>
      <scheme val="minor"/>
    </font>
    <font>
      <sz val="9"/>
      <color rgb="FF000000"/>
      <name val="Calibri"/>
      <family val="2"/>
      <charset val="238"/>
      <scheme val="minor"/>
    </font>
    <font>
      <sz val="12"/>
      <color theme="1"/>
      <name val="Calibri"/>
      <family val="2"/>
      <charset val="238"/>
      <scheme val="minor"/>
    </font>
    <font>
      <sz val="12"/>
      <color theme="1"/>
      <name val="Times New Roman"/>
      <family val="1"/>
      <charset val="238"/>
    </font>
    <font>
      <b/>
      <sz val="12"/>
      <color theme="1"/>
      <name val="Times New Roman"/>
      <family val="1"/>
      <charset val="238"/>
    </font>
    <font>
      <sz val="7"/>
      <color theme="1"/>
      <name val="Calibri"/>
      <family val="2"/>
      <scheme val="minor"/>
    </font>
    <font>
      <sz val="10"/>
      <color theme="1"/>
      <name val="Times New Roman"/>
      <family val="1"/>
      <charset val="238"/>
    </font>
    <font>
      <vertAlign val="superscript"/>
      <sz val="10"/>
      <color theme="1"/>
      <name val="Times New Roman"/>
      <family val="1"/>
      <charset val="238"/>
    </font>
    <font>
      <b/>
      <sz val="8"/>
      <color theme="1"/>
      <name val="Calibri"/>
      <family val="2"/>
      <charset val="238"/>
      <scheme val="minor"/>
    </font>
    <font>
      <sz val="12"/>
      <color theme="1"/>
      <name val="Arial"/>
      <family val="2"/>
      <charset val="238"/>
    </font>
    <font>
      <b/>
      <sz val="12"/>
      <color theme="1"/>
      <name val="Arial"/>
      <family val="2"/>
      <charset val="238"/>
    </font>
    <font>
      <sz val="8"/>
      <color theme="1"/>
      <name val="Calibri"/>
      <family val="2"/>
      <scheme val="minor"/>
    </font>
    <font>
      <sz val="8"/>
      <color theme="1"/>
      <name val="Calibri"/>
      <family val="2"/>
      <charset val="238"/>
      <scheme val="minor"/>
    </font>
    <font>
      <sz val="11"/>
      <color theme="1"/>
      <name val="Times New Roman"/>
      <family val="1"/>
      <charset val="238"/>
    </font>
    <font>
      <b/>
      <sz val="7"/>
      <color theme="1"/>
      <name val="Calibri"/>
      <family val="2"/>
      <charset val="238"/>
      <scheme val="minor"/>
    </font>
    <font>
      <u/>
      <sz val="11"/>
      <name val="Calibri"/>
      <family val="2"/>
      <charset val="238"/>
      <scheme val="minor"/>
    </font>
    <font>
      <vertAlign val="superscript"/>
      <sz val="11"/>
      <color theme="1"/>
      <name val="Calibri"/>
      <family val="2"/>
      <charset val="238"/>
      <scheme val="minor"/>
    </font>
    <font>
      <b/>
      <sz val="9"/>
      <name val="Arial"/>
      <family val="2"/>
      <charset val="238"/>
    </font>
    <font>
      <sz val="9"/>
      <name val="Calibri"/>
      <family val="2"/>
      <scheme val="minor"/>
    </font>
    <font>
      <b/>
      <sz val="9"/>
      <name val="Calibri"/>
      <family val="2"/>
      <scheme val="minor"/>
    </font>
    <font>
      <sz val="11"/>
      <color rgb="FF000000"/>
      <name val="Aptos Narrow"/>
      <family val="2"/>
    </font>
    <font>
      <sz val="11"/>
      <color theme="1"/>
      <name val="Aptos Narrow"/>
      <family val="2"/>
    </font>
    <font>
      <u/>
      <sz val="11"/>
      <color theme="10"/>
      <name val="Calibri"/>
      <family val="2"/>
      <charset val="238"/>
      <scheme val="minor"/>
    </font>
    <font>
      <b/>
      <sz val="12"/>
      <color theme="1"/>
      <name val="Calibri"/>
      <family val="2"/>
      <charset val="238"/>
    </font>
    <font>
      <u/>
      <sz val="12"/>
      <color theme="10"/>
      <name val="Calibri"/>
      <family val="2"/>
      <scheme val="minor"/>
    </font>
    <font>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rgb="FF00B05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right style="thin">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6">
    <xf numFmtId="0" fontId="0" fillId="0" borderId="0"/>
    <xf numFmtId="9" fontId="53" fillId="0" borderId="0" applyFont="0" applyFill="0" applyBorder="0" applyAlignment="0" applyProtection="0"/>
    <xf numFmtId="0" fontId="56" fillId="0" borderId="0" applyNumberFormat="0" applyFill="0" applyBorder="0" applyAlignment="0" applyProtection="0"/>
    <xf numFmtId="44" fontId="53" fillId="0" borderId="0" applyFont="0" applyFill="0" applyBorder="0" applyAlignment="0" applyProtection="0"/>
    <xf numFmtId="0" fontId="83" fillId="0" borderId="0"/>
    <xf numFmtId="44" fontId="53" fillId="0" borderId="0" applyFont="0" applyFill="0" applyBorder="0" applyAlignment="0" applyProtection="0"/>
  </cellStyleXfs>
  <cellXfs count="782">
    <xf numFmtId="0" fontId="0" fillId="0" borderId="0" xfId="0"/>
    <xf numFmtId="0" fontId="55" fillId="0" borderId="0" xfId="0" applyFont="1"/>
    <xf numFmtId="0" fontId="56" fillId="0" borderId="0" xfId="2" applyAlignment="1">
      <alignment horizontal="justify" vertical="center"/>
    </xf>
    <xf numFmtId="0" fontId="55" fillId="0" borderId="0" xfId="0" applyFont="1" applyAlignment="1">
      <alignment horizontal="justify" vertical="center"/>
    </xf>
    <xf numFmtId="0" fontId="55" fillId="0" borderId="0" xfId="0" applyFont="1" applyAlignment="1">
      <alignment wrapText="1"/>
    </xf>
    <xf numFmtId="0" fontId="56" fillId="0" borderId="0" xfId="2" applyAlignment="1">
      <alignment horizontal="left" vertical="center"/>
    </xf>
    <xf numFmtId="0" fontId="0" fillId="0" borderId="0" xfId="0" applyAlignment="1">
      <alignment wrapText="1"/>
    </xf>
    <xf numFmtId="0" fontId="0" fillId="0" borderId="0" xfId="0" applyAlignment="1">
      <alignment horizontal="left" vertical="center"/>
    </xf>
    <xf numFmtId="0" fontId="57" fillId="0" borderId="0" xfId="0" applyFont="1" applyAlignment="1">
      <alignment horizontal="left" vertical="center"/>
    </xf>
    <xf numFmtId="0" fontId="55" fillId="2" borderId="0" xfId="0" applyFont="1" applyFill="1" applyAlignment="1">
      <alignment horizontal="justify" vertical="center"/>
    </xf>
    <xf numFmtId="0" fontId="55" fillId="3" borderId="0" xfId="0" applyFont="1" applyFill="1" applyAlignment="1">
      <alignment horizontal="justify" vertical="center"/>
    </xf>
    <xf numFmtId="0" fontId="52" fillId="0" borderId="0" xfId="0" applyFont="1"/>
    <xf numFmtId="0" fontId="52" fillId="0" borderId="0" xfId="0" applyFont="1" applyAlignment="1">
      <alignment horizontal="left"/>
    </xf>
    <xf numFmtId="0" fontId="52" fillId="4" borderId="0" xfId="0" applyFont="1" applyFill="1"/>
    <xf numFmtId="0" fontId="52" fillId="0" borderId="0" xfId="0" applyFont="1" applyAlignment="1">
      <alignment horizontal="left" vertical="center" wrapText="1"/>
    </xf>
    <xf numFmtId="0" fontId="52" fillId="0" borderId="0" xfId="0" applyFont="1" applyAlignment="1">
      <alignment horizontal="left" vertical="center"/>
    </xf>
    <xf numFmtId="9" fontId="52" fillId="0" borderId="0" xfId="1" applyFont="1" applyFill="1" applyBorder="1" applyAlignment="1">
      <alignment horizontal="left" vertical="center"/>
    </xf>
    <xf numFmtId="0" fontId="67" fillId="0" borderId="0" xfId="0" applyFont="1" applyAlignment="1">
      <alignment horizontal="left" vertical="center"/>
    </xf>
    <xf numFmtId="0" fontId="52" fillId="4" borderId="0" xfId="0" applyFont="1" applyFill="1" applyAlignment="1">
      <alignment horizontal="left"/>
    </xf>
    <xf numFmtId="0" fontId="65" fillId="4" borderId="0" xfId="0" applyFont="1" applyFill="1" applyAlignment="1">
      <alignment vertical="center" wrapText="1"/>
    </xf>
    <xf numFmtId="0" fontId="69" fillId="4" borderId="7" xfId="0" applyFont="1" applyFill="1" applyBorder="1" applyAlignment="1">
      <alignment vertical="center"/>
    </xf>
    <xf numFmtId="9" fontId="64" fillId="4" borderId="1" xfId="1" applyFont="1" applyFill="1" applyBorder="1" applyAlignment="1">
      <alignment horizontal="center" vertical="center"/>
    </xf>
    <xf numFmtId="9" fontId="52" fillId="4" borderId="1" xfId="1" applyFont="1" applyFill="1" applyBorder="1" applyAlignment="1">
      <alignment horizontal="center" vertical="center"/>
    </xf>
    <xf numFmtId="0" fontId="52" fillId="2" borderId="0" xfId="0" applyFont="1" applyFill="1"/>
    <xf numFmtId="0" fontId="73" fillId="2" borderId="16" xfId="0" applyFont="1" applyFill="1" applyBorder="1" applyAlignment="1">
      <alignment vertical="center"/>
    </xf>
    <xf numFmtId="0" fontId="69" fillId="4" borderId="20" xfId="0" applyFont="1" applyFill="1" applyBorder="1" applyAlignment="1">
      <alignment vertical="center"/>
    </xf>
    <xf numFmtId="9" fontId="0" fillId="0" borderId="5" xfId="1" applyFont="1" applyBorder="1" applyAlignment="1">
      <alignment horizontal="center" vertical="center"/>
    </xf>
    <xf numFmtId="9" fontId="0" fillId="0" borderId="25" xfId="1" applyFont="1" applyBorder="1" applyAlignment="1">
      <alignment horizontal="center" vertical="center"/>
    </xf>
    <xf numFmtId="9" fontId="52" fillId="4" borderId="26" xfId="1" applyFont="1" applyFill="1" applyBorder="1" applyAlignment="1">
      <alignment horizontal="center" vertical="center"/>
    </xf>
    <xf numFmtId="9" fontId="0" fillId="0" borderId="30" xfId="1" applyFont="1" applyBorder="1" applyAlignment="1">
      <alignment horizontal="center" vertical="center"/>
    </xf>
    <xf numFmtId="9" fontId="52" fillId="4" borderId="31" xfId="1" applyFont="1" applyFill="1" applyBorder="1" applyAlignment="1">
      <alignment horizontal="center" vertical="center"/>
    </xf>
    <xf numFmtId="9" fontId="0" fillId="0" borderId="33" xfId="1" applyFont="1" applyBorder="1" applyAlignment="1">
      <alignment horizontal="center" vertical="center"/>
    </xf>
    <xf numFmtId="9" fontId="0" fillId="0" borderId="34" xfId="1" applyFont="1" applyBorder="1" applyAlignment="1">
      <alignment horizontal="center" vertical="center"/>
    </xf>
    <xf numFmtId="9" fontId="0" fillId="0" borderId="35" xfId="1" applyFont="1" applyBorder="1" applyAlignment="1">
      <alignment horizontal="center" vertical="center"/>
    </xf>
    <xf numFmtId="9" fontId="0" fillId="0" borderId="12" xfId="1" applyFont="1" applyBorder="1" applyAlignment="1">
      <alignment horizontal="center" vertical="center"/>
    </xf>
    <xf numFmtId="9" fontId="0" fillId="0" borderId="36" xfId="1" applyFont="1" applyBorder="1" applyAlignment="1">
      <alignment horizontal="center" vertical="center"/>
    </xf>
    <xf numFmtId="9" fontId="52" fillId="4" borderId="36" xfId="1" applyFont="1" applyFill="1" applyBorder="1" applyAlignment="1">
      <alignment horizontal="center" vertical="center"/>
    </xf>
    <xf numFmtId="9" fontId="52" fillId="4" borderId="13" xfId="1" applyFont="1" applyFill="1" applyBorder="1" applyAlignment="1">
      <alignment horizontal="center" vertical="center"/>
    </xf>
    <xf numFmtId="9" fontId="52" fillId="4" borderId="27" xfId="1" applyFont="1" applyFill="1" applyBorder="1" applyAlignment="1">
      <alignment horizontal="center" vertical="center"/>
    </xf>
    <xf numFmtId="9" fontId="52" fillId="4" borderId="28" xfId="1" applyFont="1" applyFill="1" applyBorder="1" applyAlignment="1">
      <alignment horizontal="center" vertical="center"/>
    </xf>
    <xf numFmtId="9" fontId="52" fillId="4" borderId="32" xfId="1" applyFont="1" applyFill="1" applyBorder="1" applyAlignment="1">
      <alignment horizontal="center" vertical="center"/>
    </xf>
    <xf numFmtId="9" fontId="64" fillId="4" borderId="26" xfId="1" applyFont="1" applyFill="1" applyBorder="1" applyAlignment="1">
      <alignment horizontal="center" vertical="center"/>
    </xf>
    <xf numFmtId="9" fontId="64" fillId="4" borderId="27" xfId="1" applyFont="1" applyFill="1" applyBorder="1" applyAlignment="1">
      <alignment horizontal="center" vertical="center"/>
    </xf>
    <xf numFmtId="0" fontId="50" fillId="0" borderId="16" xfId="0" applyFont="1" applyBorder="1" applyAlignment="1">
      <alignment horizontal="left" vertical="center"/>
    </xf>
    <xf numFmtId="0" fontId="56" fillId="0" borderId="21" xfId="2" applyFill="1" applyBorder="1" applyAlignment="1">
      <alignment horizontal="left" vertical="center" wrapText="1"/>
    </xf>
    <xf numFmtId="0" fontId="56" fillId="0" borderId="0" xfId="2"/>
    <xf numFmtId="0" fontId="56" fillId="0" borderId="22" xfId="2" applyFill="1" applyBorder="1" applyAlignment="1">
      <alignment horizontal="left" vertical="center" wrapText="1"/>
    </xf>
    <xf numFmtId="0" fontId="56" fillId="0" borderId="23" xfId="2" applyFill="1" applyBorder="1" applyAlignment="1">
      <alignment horizontal="left" vertical="center" wrapText="1"/>
    </xf>
    <xf numFmtId="0" fontId="74" fillId="4" borderId="0" xfId="0" applyFont="1" applyFill="1"/>
    <xf numFmtId="0" fontId="56" fillId="0" borderId="8" xfId="2" applyFill="1" applyBorder="1" applyAlignment="1">
      <alignment horizontal="left" vertical="center" wrapText="1"/>
    </xf>
    <xf numFmtId="0" fontId="56" fillId="0" borderId="24" xfId="2" applyFill="1" applyBorder="1" applyAlignment="1">
      <alignment horizontal="left" vertical="center" wrapText="1"/>
    </xf>
    <xf numFmtId="0" fontId="56" fillId="0" borderId="17" xfId="2" applyFill="1" applyBorder="1" applyAlignment="1">
      <alignment horizontal="left" vertical="center" wrapText="1"/>
    </xf>
    <xf numFmtId="0" fontId="56" fillId="0" borderId="18" xfId="2" applyFill="1" applyBorder="1" applyAlignment="1">
      <alignment horizontal="left" vertical="center" wrapText="1"/>
    </xf>
    <xf numFmtId="0" fontId="56" fillId="0" borderId="29" xfId="2" applyFill="1" applyBorder="1" applyAlignment="1">
      <alignment horizontal="left" vertical="center" wrapText="1"/>
    </xf>
    <xf numFmtId="0" fontId="66" fillId="4" borderId="0" xfId="0" applyFont="1" applyFill="1" applyAlignment="1">
      <alignment vertical="center"/>
    </xf>
    <xf numFmtId="9" fontId="0" fillId="0" borderId="37" xfId="1" applyFont="1" applyBorder="1" applyAlignment="1">
      <alignment horizontal="center" vertical="center"/>
    </xf>
    <xf numFmtId="9" fontId="64" fillId="4" borderId="15" xfId="1" applyFont="1" applyFill="1" applyBorder="1" applyAlignment="1">
      <alignment horizontal="center" vertical="center"/>
    </xf>
    <xf numFmtId="9" fontId="52" fillId="4" borderId="15" xfId="1" applyFont="1" applyFill="1" applyBorder="1" applyAlignment="1">
      <alignment horizontal="center" vertical="center"/>
    </xf>
    <xf numFmtId="9" fontId="52" fillId="4" borderId="38" xfId="1" applyFont="1" applyFill="1" applyBorder="1" applyAlignment="1">
      <alignment horizontal="center" vertical="center"/>
    </xf>
    <xf numFmtId="0" fontId="54" fillId="6" borderId="16" xfId="0" applyFont="1" applyFill="1" applyBorder="1" applyAlignment="1">
      <alignment horizontal="left" vertical="center"/>
    </xf>
    <xf numFmtId="0" fontId="61" fillId="0" borderId="0" xfId="0" applyFont="1" applyProtection="1">
      <protection locked="0"/>
    </xf>
    <xf numFmtId="0" fontId="68" fillId="0" borderId="0" xfId="0" applyFont="1" applyProtection="1">
      <protection locked="0"/>
    </xf>
    <xf numFmtId="0" fontId="68" fillId="0" borderId="9" xfId="0" applyFont="1" applyBorder="1" applyProtection="1">
      <protection locked="0"/>
    </xf>
    <xf numFmtId="0" fontId="68" fillId="0" borderId="10" xfId="0" applyFont="1" applyBorder="1" applyProtection="1">
      <protection locked="0"/>
    </xf>
    <xf numFmtId="0" fontId="60" fillId="0" borderId="0" xfId="0" applyFont="1" applyProtection="1">
      <protection locked="0"/>
    </xf>
    <xf numFmtId="0" fontId="71" fillId="0" borderId="0" xfId="0" applyFont="1" applyProtection="1">
      <protection locked="0"/>
    </xf>
    <xf numFmtId="0" fontId="57" fillId="0" borderId="0" xfId="0" applyFont="1" applyAlignment="1" applyProtection="1">
      <alignment vertical="center" wrapText="1"/>
      <protection locked="0"/>
    </xf>
    <xf numFmtId="0" fontId="59" fillId="0" borderId="0" xfId="0" applyFont="1" applyAlignment="1" applyProtection="1">
      <alignment wrapText="1"/>
      <protection locked="0"/>
    </xf>
    <xf numFmtId="0" fontId="61" fillId="4" borderId="0" xfId="0" applyFont="1" applyFill="1" applyProtection="1">
      <protection locked="0"/>
    </xf>
    <xf numFmtId="0" fontId="72" fillId="4" borderId="0" xfId="0" applyFont="1" applyFill="1" applyProtection="1">
      <protection locked="0"/>
    </xf>
    <xf numFmtId="0" fontId="72" fillId="0" borderId="0" xfId="0" applyFont="1" applyProtection="1">
      <protection locked="0"/>
    </xf>
    <xf numFmtId="0" fontId="76" fillId="0" borderId="0" xfId="0" applyFont="1" applyProtection="1">
      <protection locked="0"/>
    </xf>
    <xf numFmtId="0" fontId="63" fillId="0" borderId="0" xfId="0" applyFont="1" applyProtection="1">
      <protection locked="0"/>
    </xf>
    <xf numFmtId="0" fontId="62" fillId="0" borderId="0" xfId="0" applyFont="1" applyAlignment="1" applyProtection="1">
      <alignment vertical="center" wrapText="1"/>
      <protection locked="0"/>
    </xf>
    <xf numFmtId="0" fontId="59" fillId="0" borderId="0" xfId="0" applyFont="1" applyAlignment="1" applyProtection="1">
      <alignment vertical="center" wrapText="1"/>
      <protection locked="0"/>
    </xf>
    <xf numFmtId="0" fontId="79" fillId="0" borderId="0" xfId="0" applyFont="1" applyProtection="1">
      <protection locked="0"/>
    </xf>
    <xf numFmtId="0" fontId="78" fillId="0" borderId="41" xfId="0" applyFont="1" applyBorder="1" applyProtection="1">
      <protection locked="0"/>
    </xf>
    <xf numFmtId="0" fontId="78" fillId="0" borderId="0" xfId="0" applyFont="1" applyProtection="1">
      <protection locked="0"/>
    </xf>
    <xf numFmtId="0" fontId="80" fillId="0" borderId="41" xfId="0" applyFont="1" applyBorder="1" applyProtection="1">
      <protection locked="0"/>
    </xf>
    <xf numFmtId="0" fontId="81" fillId="0" borderId="0" xfId="0" applyFont="1" applyAlignment="1" applyProtection="1">
      <alignment vertical="center"/>
      <protection locked="0"/>
    </xf>
    <xf numFmtId="0" fontId="84" fillId="0" borderId="0" xfId="0" applyFont="1" applyAlignment="1" applyProtection="1">
      <alignment horizontal="left" vertical="center"/>
      <protection locked="0"/>
    </xf>
    <xf numFmtId="0" fontId="83" fillId="0" borderId="41" xfId="0" applyFont="1" applyBorder="1" applyProtection="1">
      <protection locked="0"/>
    </xf>
    <xf numFmtId="0" fontId="80" fillId="0" borderId="0" xfId="0" applyFont="1" applyProtection="1">
      <protection locked="0"/>
    </xf>
    <xf numFmtId="0" fontId="83" fillId="0" borderId="0" xfId="0" applyFont="1" applyProtection="1">
      <protection locked="0"/>
    </xf>
    <xf numFmtId="0" fontId="73" fillId="2" borderId="40" xfId="0" applyFont="1" applyFill="1" applyBorder="1" applyAlignment="1">
      <alignment vertical="center"/>
    </xf>
    <xf numFmtId="0" fontId="60" fillId="4" borderId="0" xfId="0" applyFont="1" applyFill="1" applyProtection="1">
      <protection locked="0"/>
    </xf>
    <xf numFmtId="0" fontId="77" fillId="4" borderId="0" xfId="0" applyFont="1" applyFill="1" applyAlignment="1" applyProtection="1">
      <alignment horizontal="right"/>
      <protection locked="0"/>
    </xf>
    <xf numFmtId="0" fontId="74" fillId="4" borderId="0" xfId="0" applyFont="1" applyFill="1" applyProtection="1">
      <protection locked="0"/>
    </xf>
    <xf numFmtId="0" fontId="49" fillId="0" borderId="0" xfId="0" applyFont="1" applyProtection="1">
      <protection locked="0"/>
    </xf>
    <xf numFmtId="14" fontId="86" fillId="5" borderId="0" xfId="0" applyNumberFormat="1" applyFont="1" applyFill="1" applyAlignment="1" applyProtection="1">
      <alignment vertical="center"/>
      <protection locked="0"/>
    </xf>
    <xf numFmtId="0" fontId="49" fillId="4" borderId="0" xfId="0" applyFont="1" applyFill="1" applyProtection="1">
      <protection locked="0"/>
    </xf>
    <xf numFmtId="14" fontId="49" fillId="5" borderId="0" xfId="0" applyNumberFormat="1" applyFont="1" applyFill="1" applyAlignment="1" applyProtection="1">
      <alignment vertical="center"/>
      <protection locked="0"/>
    </xf>
    <xf numFmtId="0" fontId="49" fillId="0" borderId="2" xfId="0" applyFont="1" applyBorder="1" applyProtection="1">
      <protection locked="0"/>
    </xf>
    <xf numFmtId="0" fontId="49" fillId="0" borderId="24" xfId="0" applyFont="1" applyBorder="1" applyProtection="1">
      <protection locked="0"/>
    </xf>
    <xf numFmtId="0" fontId="49" fillId="0" borderId="10" xfId="0" applyFont="1" applyBorder="1" applyProtection="1">
      <protection locked="0"/>
    </xf>
    <xf numFmtId="0" fontId="87" fillId="5" borderId="0" xfId="0" applyFont="1" applyFill="1" applyProtection="1">
      <protection locked="0"/>
    </xf>
    <xf numFmtId="0" fontId="50" fillId="0" borderId="16" xfId="0" applyFont="1" applyBorder="1" applyAlignment="1">
      <alignment horizontal="left" vertical="center" wrapText="1"/>
    </xf>
    <xf numFmtId="0" fontId="50" fillId="0" borderId="20" xfId="0" applyFont="1" applyBorder="1" applyAlignment="1">
      <alignment vertical="center" wrapText="1"/>
    </xf>
    <xf numFmtId="9" fontId="0" fillId="0" borderId="0" xfId="0" applyNumberFormat="1"/>
    <xf numFmtId="9" fontId="0" fillId="0" borderId="0" xfId="1" applyFont="1"/>
    <xf numFmtId="0" fontId="56" fillId="0" borderId="0" xfId="2" applyFill="1" applyBorder="1" applyProtection="1">
      <protection locked="0"/>
    </xf>
    <xf numFmtId="0" fontId="78" fillId="0" borderId="0" xfId="0" applyFont="1" applyAlignment="1" applyProtection="1">
      <alignment horizontal="left" vertical="center"/>
      <protection locked="0"/>
    </xf>
    <xf numFmtId="0" fontId="80" fillId="0" borderId="0" xfId="0" applyFont="1" applyAlignment="1" applyProtection="1">
      <alignment horizontal="left" vertical="center"/>
      <protection locked="0"/>
    </xf>
    <xf numFmtId="0" fontId="81" fillId="0" borderId="0" xfId="0" applyFont="1" applyAlignment="1" applyProtection="1">
      <alignment horizontal="left" vertical="center" wrapText="1"/>
      <protection locked="0"/>
    </xf>
    <xf numFmtId="0" fontId="78" fillId="0" borderId="41" xfId="0" applyFont="1" applyBorder="1" applyAlignment="1" applyProtection="1">
      <alignment horizontal="left" vertical="center"/>
      <protection locked="0"/>
    </xf>
    <xf numFmtId="0" fontId="79" fillId="0" borderId="0" xfId="0" applyFont="1" applyAlignment="1" applyProtection="1">
      <alignment horizontal="left" vertical="center"/>
      <protection locked="0"/>
    </xf>
    <xf numFmtId="0" fontId="72" fillId="0" borderId="0" xfId="0" applyFont="1" applyAlignment="1" applyProtection="1">
      <alignment horizontal="left"/>
      <protection locked="0"/>
    </xf>
    <xf numFmtId="0" fontId="60" fillId="0" borderId="0" xfId="0" applyFont="1" applyAlignment="1" applyProtection="1">
      <alignment horizontal="left"/>
      <protection locked="0"/>
    </xf>
    <xf numFmtId="0" fontId="61" fillId="0" borderId="41" xfId="0" applyFont="1" applyBorder="1" applyAlignment="1" applyProtection="1">
      <alignment horizontal="left"/>
      <protection locked="0"/>
    </xf>
    <xf numFmtId="0" fontId="61" fillId="0" borderId="0" xfId="0" applyFont="1" applyAlignment="1" applyProtection="1">
      <alignment horizontal="left"/>
      <protection locked="0"/>
    </xf>
    <xf numFmtId="0" fontId="56" fillId="0" borderId="0" xfId="2" applyFill="1" applyBorder="1" applyAlignment="1" applyProtection="1">
      <alignment horizontal="left"/>
      <protection locked="0"/>
    </xf>
    <xf numFmtId="0" fontId="60" fillId="0" borderId="41" xfId="0" applyFont="1" applyBorder="1" applyAlignment="1" applyProtection="1">
      <alignment horizontal="left"/>
      <protection locked="0"/>
    </xf>
    <xf numFmtId="0" fontId="59" fillId="0" borderId="0" xfId="0" applyFont="1" applyAlignment="1" applyProtection="1">
      <alignment horizontal="left"/>
      <protection locked="0"/>
    </xf>
    <xf numFmtId="0" fontId="59" fillId="0" borderId="0" xfId="0" applyFont="1" applyAlignment="1" applyProtection="1">
      <alignment horizontal="left" wrapText="1"/>
      <protection locked="0"/>
    </xf>
    <xf numFmtId="0" fontId="68" fillId="0" borderId="0" xfId="0" applyFont="1" applyAlignment="1" applyProtection="1">
      <alignment horizontal="left"/>
      <protection locked="0"/>
    </xf>
    <xf numFmtId="0" fontId="77" fillId="0" borderId="0" xfId="0" applyFont="1" applyAlignment="1" applyProtection="1">
      <alignment horizontal="left"/>
      <protection locked="0"/>
    </xf>
    <xf numFmtId="0" fontId="77" fillId="0" borderId="0" xfId="0" applyFont="1" applyAlignment="1" applyProtection="1">
      <alignment horizontal="right"/>
      <protection locked="0"/>
    </xf>
    <xf numFmtId="0" fontId="83" fillId="0" borderId="41" xfId="0" applyFont="1" applyBorder="1" applyAlignment="1" applyProtection="1">
      <alignment horizontal="left" vertical="center"/>
      <protection locked="0"/>
    </xf>
    <xf numFmtId="0" fontId="56" fillId="0" borderId="0" xfId="2" applyFill="1" applyAlignment="1" applyProtection="1">
      <alignment horizontal="left" vertical="center"/>
      <protection locked="0"/>
    </xf>
    <xf numFmtId="0" fontId="81" fillId="0" borderId="0" xfId="0" applyFont="1" applyAlignment="1" applyProtection="1">
      <alignment horizontal="left" vertical="center"/>
      <protection locked="0"/>
    </xf>
    <xf numFmtId="0" fontId="82" fillId="0" borderId="0" xfId="0" applyFont="1" applyAlignment="1" applyProtection="1">
      <alignment horizontal="left" vertical="center"/>
      <protection locked="0"/>
    </xf>
    <xf numFmtId="0" fontId="78" fillId="0" borderId="0" xfId="0" applyFont="1" applyAlignment="1" applyProtection="1">
      <alignment horizontal="center"/>
      <protection locked="0"/>
    </xf>
    <xf numFmtId="9" fontId="78" fillId="0" borderId="0" xfId="1" applyFont="1" applyFill="1" applyProtection="1">
      <protection locked="0"/>
    </xf>
    <xf numFmtId="9" fontId="78" fillId="0" borderId="0" xfId="1" applyFont="1" applyFill="1" applyAlignment="1" applyProtection="1">
      <alignment horizontal="center" vertical="center"/>
      <protection locked="0"/>
    </xf>
    <xf numFmtId="0" fontId="78" fillId="0" borderId="0" xfId="0" applyFont="1" applyAlignment="1" applyProtection="1">
      <alignment horizontal="right"/>
      <protection locked="0"/>
    </xf>
    <xf numFmtId="0" fontId="70" fillId="0" borderId="0" xfId="0" applyFont="1" applyAlignment="1" applyProtection="1">
      <alignment horizontal="left"/>
      <protection locked="0"/>
    </xf>
    <xf numFmtId="0" fontId="57" fillId="0" borderId="0" xfId="0" applyFont="1" applyAlignment="1" applyProtection="1">
      <alignment wrapText="1"/>
      <protection locked="0"/>
    </xf>
    <xf numFmtId="0" fontId="57" fillId="0" borderId="0" xfId="0" applyFont="1"/>
    <xf numFmtId="0" fontId="68" fillId="0" borderId="1" xfId="0" applyFont="1" applyBorder="1" applyAlignment="1" applyProtection="1">
      <alignment horizontal="center" vertical="center" wrapText="1"/>
      <protection locked="0"/>
    </xf>
    <xf numFmtId="0" fontId="68" fillId="0" borderId="0" xfId="0" applyFont="1" applyAlignment="1" applyProtection="1">
      <alignment horizontal="center" vertical="center" wrapText="1"/>
      <protection locked="0"/>
    </xf>
    <xf numFmtId="2" fontId="92" fillId="0" borderId="0" xfId="0" applyNumberFormat="1" applyFont="1" applyAlignment="1" applyProtection="1">
      <alignment horizontal="center" vertical="center"/>
      <protection locked="0"/>
    </xf>
    <xf numFmtId="0" fontId="92" fillId="0" borderId="0" xfId="0" applyFont="1" applyAlignment="1" applyProtection="1">
      <alignment horizontal="center" vertical="center"/>
      <protection locked="0"/>
    </xf>
    <xf numFmtId="0" fontId="55" fillId="0" borderId="0" xfId="0" applyFont="1" applyAlignment="1" applyProtection="1">
      <alignment horizontal="justify" vertical="center"/>
      <protection locked="0"/>
    </xf>
    <xf numFmtId="0" fontId="56" fillId="0" borderId="0" xfId="2" applyProtection="1">
      <protection locked="0"/>
    </xf>
    <xf numFmtId="0" fontId="65" fillId="0" borderId="0" xfId="0" applyFont="1" applyAlignment="1">
      <alignment vertical="center"/>
    </xf>
    <xf numFmtId="0" fontId="68" fillId="0" borderId="1" xfId="0" applyFont="1" applyBorder="1" applyAlignment="1">
      <alignment horizontal="center" vertical="center" wrapText="1"/>
    </xf>
    <xf numFmtId="0" fontId="89" fillId="0" borderId="0" xfId="0" applyFont="1" applyAlignment="1" applyProtection="1">
      <alignment vertical="center" wrapText="1"/>
      <protection locked="0"/>
    </xf>
    <xf numFmtId="0" fontId="93" fillId="0" borderId="0" xfId="0" applyFont="1" applyAlignment="1">
      <alignment vertical="center" wrapText="1"/>
    </xf>
    <xf numFmtId="0" fontId="78" fillId="0" borderId="0" xfId="0" applyFont="1" applyAlignment="1" applyProtection="1">
      <alignment horizontal="left"/>
      <protection locked="0"/>
    </xf>
    <xf numFmtId="0" fontId="54" fillId="6" borderId="41" xfId="0" applyFont="1" applyFill="1" applyBorder="1" applyAlignment="1">
      <alignment horizontal="center" vertical="center"/>
    </xf>
    <xf numFmtId="0" fontId="54" fillId="6" borderId="42" xfId="0" applyFont="1" applyFill="1" applyBorder="1" applyAlignment="1">
      <alignment horizontal="center" vertical="center"/>
    </xf>
    <xf numFmtId="0" fontId="87" fillId="0" borderId="0" xfId="0" applyFont="1" applyAlignment="1" applyProtection="1">
      <alignment wrapText="1"/>
      <protection locked="0"/>
    </xf>
    <xf numFmtId="0" fontId="57" fillId="0" borderId="0" xfId="0" applyFont="1" applyAlignment="1" applyProtection="1">
      <alignment horizontal="left" vertical="center" wrapText="1"/>
      <protection locked="0"/>
    </xf>
    <xf numFmtId="0" fontId="57" fillId="0" borderId="0" xfId="0" applyFont="1" applyAlignment="1" applyProtection="1">
      <alignment horizontal="left" wrapText="1"/>
      <protection locked="0"/>
    </xf>
    <xf numFmtId="0" fontId="93" fillId="0" borderId="0" xfId="0" applyFont="1" applyAlignment="1" applyProtection="1">
      <alignment vertical="center" wrapText="1"/>
      <protection locked="0"/>
    </xf>
    <xf numFmtId="0" fontId="54" fillId="5" borderId="0" xfId="0" applyFont="1" applyFill="1" applyAlignment="1" applyProtection="1">
      <alignment horizontal="left"/>
      <protection locked="0"/>
    </xf>
    <xf numFmtId="0" fontId="94" fillId="5" borderId="0" xfId="0" applyFont="1" applyFill="1" applyProtection="1">
      <protection locked="0"/>
    </xf>
    <xf numFmtId="0" fontId="61" fillId="0" borderId="0" xfId="0" applyFont="1"/>
    <xf numFmtId="0" fontId="49" fillId="0" borderId="0" xfId="0" applyFont="1"/>
    <xf numFmtId="0" fontId="54" fillId="0" borderId="0" xfId="0" applyFont="1" applyAlignment="1">
      <alignment horizontal="center" vertical="center"/>
    </xf>
    <xf numFmtId="0" fontId="54" fillId="0" borderId="0" xfId="0" applyFont="1"/>
    <xf numFmtId="0" fontId="87" fillId="5" borderId="0" xfId="0" applyFont="1" applyFill="1"/>
    <xf numFmtId="0" fontId="49" fillId="5" borderId="0" xfId="0" applyFont="1" applyFill="1"/>
    <xf numFmtId="0" fontId="87" fillId="0" borderId="0" xfId="0" applyFont="1" applyAlignment="1">
      <alignment wrapText="1"/>
    </xf>
    <xf numFmtId="0" fontId="87" fillId="0" borderId="0" xfId="0" applyFont="1"/>
    <xf numFmtId="0" fontId="74" fillId="0" borderId="0" xfId="0" applyFont="1" applyProtection="1">
      <protection locked="0"/>
    </xf>
    <xf numFmtId="0" fontId="49" fillId="0" borderId="10" xfId="0" applyFont="1" applyBorder="1"/>
    <xf numFmtId="0" fontId="95" fillId="0" borderId="0" xfId="0" applyFont="1" applyAlignment="1" applyProtection="1">
      <alignment horizontal="left" vertical="center"/>
      <protection locked="0"/>
    </xf>
    <xf numFmtId="0" fontId="44" fillId="0" borderId="0" xfId="0" applyFont="1" applyProtection="1">
      <protection locked="0"/>
    </xf>
    <xf numFmtId="0" fontId="44" fillId="4" borderId="0" xfId="0" applyFont="1" applyFill="1" applyProtection="1">
      <protection locked="0"/>
    </xf>
    <xf numFmtId="0" fontId="96" fillId="0" borderId="0" xfId="0" applyFont="1" applyAlignment="1" applyProtection="1">
      <alignment horizontal="left" vertical="center"/>
      <protection locked="0"/>
    </xf>
    <xf numFmtId="0" fontId="44" fillId="0" borderId="2" xfId="0" applyFont="1" applyBorder="1" applyProtection="1">
      <protection locked="0"/>
    </xf>
    <xf numFmtId="0" fontId="44" fillId="0" borderId="24" xfId="0" applyFont="1" applyBorder="1" applyProtection="1">
      <protection locked="0"/>
    </xf>
    <xf numFmtId="0" fontId="85" fillId="0" borderId="41" xfId="0" applyFont="1" applyBorder="1" applyAlignment="1" applyProtection="1">
      <alignment horizontal="left" vertical="center"/>
      <protection locked="0"/>
    </xf>
    <xf numFmtId="0" fontId="85" fillId="0" borderId="0" xfId="0" applyFont="1" applyAlignment="1" applyProtection="1">
      <alignment horizontal="left" vertical="center"/>
      <protection locked="0"/>
    </xf>
    <xf numFmtId="0" fontId="44" fillId="0" borderId="0" xfId="0" applyFont="1"/>
    <xf numFmtId="0" fontId="85" fillId="0" borderId="0" xfId="0" applyFont="1" applyProtection="1">
      <protection locked="0"/>
    </xf>
    <xf numFmtId="0" fontId="85" fillId="0" borderId="41" xfId="0" applyFont="1" applyBorder="1" applyProtection="1">
      <protection locked="0"/>
    </xf>
    <xf numFmtId="0" fontId="96" fillId="0" borderId="41" xfId="0" applyFont="1" applyBorder="1" applyAlignment="1" applyProtection="1">
      <alignment horizontal="left" vertical="center"/>
      <protection locked="0"/>
    </xf>
    <xf numFmtId="0" fontId="54" fillId="0" borderId="0" xfId="0" applyFont="1" applyProtection="1">
      <protection locked="0"/>
    </xf>
    <xf numFmtId="0" fontId="54" fillId="4" borderId="0" xfId="0" applyFont="1" applyFill="1" applyProtection="1">
      <protection locked="0"/>
    </xf>
    <xf numFmtId="0" fontId="97" fillId="0" borderId="0" xfId="0" applyFont="1" applyAlignment="1" applyProtection="1">
      <alignment horizontal="left" vertical="center" wrapText="1"/>
      <protection locked="0"/>
    </xf>
    <xf numFmtId="0" fontId="86" fillId="0" borderId="0" xfId="0" applyFont="1" applyProtection="1">
      <protection locked="0"/>
    </xf>
    <xf numFmtId="0" fontId="99" fillId="0" borderId="0" xfId="0" applyFont="1" applyAlignment="1">
      <alignment horizontal="justify" vertical="center"/>
    </xf>
    <xf numFmtId="9" fontId="0" fillId="0" borderId="43" xfId="1" applyFont="1" applyBorder="1" applyAlignment="1">
      <alignment horizontal="center" vertical="center"/>
    </xf>
    <xf numFmtId="9" fontId="52" fillId="4" borderId="14" xfId="1" applyFont="1" applyFill="1" applyBorder="1" applyAlignment="1">
      <alignment horizontal="center" vertical="center"/>
    </xf>
    <xf numFmtId="9" fontId="52" fillId="4" borderId="39" xfId="1" applyFont="1" applyFill="1" applyBorder="1" applyAlignment="1">
      <alignment horizontal="center" vertical="center"/>
    </xf>
    <xf numFmtId="9" fontId="52" fillId="4" borderId="0" xfId="1" applyFont="1" applyFill="1" applyBorder="1" applyAlignment="1">
      <alignment horizontal="center" vertical="center"/>
    </xf>
    <xf numFmtId="9" fontId="0" fillId="0" borderId="44" xfId="1" applyFont="1" applyBorder="1" applyAlignment="1">
      <alignment horizontal="center" vertical="center"/>
    </xf>
    <xf numFmtId="9" fontId="52" fillId="4" borderId="44" xfId="1" applyFont="1" applyFill="1" applyBorder="1" applyAlignment="1">
      <alignment horizontal="center" vertical="center"/>
    </xf>
    <xf numFmtId="0" fontId="54" fillId="6" borderId="16" xfId="0" applyFont="1" applyFill="1" applyBorder="1" applyAlignment="1">
      <alignment horizontal="left" vertical="center" wrapText="1"/>
    </xf>
    <xf numFmtId="0" fontId="100" fillId="0" borderId="0" xfId="0" applyFont="1" applyAlignment="1">
      <alignment horizontal="justify" vertical="center"/>
    </xf>
    <xf numFmtId="0" fontId="101" fillId="0" borderId="0" xfId="0" applyFont="1"/>
    <xf numFmtId="0" fontId="0" fillId="0" borderId="0" xfId="0" applyAlignment="1">
      <alignment horizontal="center" vertical="center" wrapText="1"/>
    </xf>
    <xf numFmtId="0" fontId="49" fillId="0" borderId="0" xfId="0" applyFont="1" applyAlignment="1">
      <alignment horizontal="center" vertical="center"/>
    </xf>
    <xf numFmtId="0" fontId="56" fillId="0" borderId="0" xfId="2" applyFill="1" applyBorder="1" applyAlignment="1" applyProtection="1">
      <alignment horizontal="left" vertical="center"/>
      <protection locked="0"/>
    </xf>
    <xf numFmtId="166" fontId="0" fillId="0" borderId="0" xfId="0" applyNumberFormat="1"/>
    <xf numFmtId="0" fontId="101" fillId="0" borderId="0" xfId="0" applyFont="1" applyAlignment="1">
      <alignment vertical="center"/>
    </xf>
    <xf numFmtId="9" fontId="0" fillId="0" borderId="11" xfId="1" applyFont="1" applyBorder="1" applyAlignment="1">
      <alignment horizontal="center" vertical="center"/>
    </xf>
    <xf numFmtId="9" fontId="52" fillId="4" borderId="8" xfId="1" applyFont="1" applyFill="1" applyBorder="1" applyAlignment="1">
      <alignment horizontal="center" vertical="center"/>
    </xf>
    <xf numFmtId="0" fontId="37" fillId="0" borderId="16" xfId="0" applyFont="1" applyBorder="1" applyAlignment="1">
      <alignment horizontal="left" vertical="center" wrapText="1"/>
    </xf>
    <xf numFmtId="9" fontId="52" fillId="4" borderId="16" xfId="1" applyFont="1" applyFill="1" applyBorder="1" applyAlignment="1">
      <alignment horizontal="center" vertical="center"/>
    </xf>
    <xf numFmtId="9" fontId="0" fillId="0" borderId="16" xfId="1" applyFont="1" applyBorder="1" applyAlignment="1">
      <alignment horizontal="center" vertical="center"/>
    </xf>
    <xf numFmtId="0" fontId="56" fillId="0" borderId="16" xfId="2" applyBorder="1"/>
    <xf numFmtId="0" fontId="78" fillId="0" borderId="0" xfId="0" applyFont="1" applyAlignment="1" applyProtection="1">
      <alignment horizontal="left" vertical="center" wrapText="1"/>
      <protection locked="0"/>
    </xf>
    <xf numFmtId="0" fontId="55" fillId="7" borderId="0" xfId="0" applyFont="1" applyFill="1" applyAlignment="1">
      <alignment horizontal="justify" vertical="center" wrapText="1"/>
    </xf>
    <xf numFmtId="0" fontId="0" fillId="7" borderId="0" xfId="0" applyFill="1" applyAlignment="1">
      <alignment horizontal="left" vertical="center"/>
    </xf>
    <xf numFmtId="0" fontId="55" fillId="7" borderId="0" xfId="0" applyFont="1" applyFill="1" applyAlignment="1">
      <alignment horizontal="justify" vertical="center"/>
    </xf>
    <xf numFmtId="0" fontId="55" fillId="7" borderId="0" xfId="0" applyFont="1" applyFill="1" applyAlignment="1">
      <alignment horizontal="left" vertical="center" wrapText="1"/>
    </xf>
    <xf numFmtId="0" fontId="100" fillId="7" borderId="0" xfId="0" applyFont="1" applyFill="1" applyAlignment="1">
      <alignment wrapText="1"/>
    </xf>
    <xf numFmtId="0" fontId="34" fillId="0" borderId="0" xfId="0" applyFont="1" applyAlignment="1">
      <alignment horizontal="justify" vertical="center"/>
    </xf>
    <xf numFmtId="0" fontId="0" fillId="0" borderId="1" xfId="0" applyBorder="1" applyAlignment="1">
      <alignment horizontal="left" vertical="center"/>
    </xf>
    <xf numFmtId="0" fontId="0" fillId="0" borderId="1" xfId="0" applyBorder="1"/>
    <xf numFmtId="0" fontId="65" fillId="0" borderId="1" xfId="0" applyFont="1" applyBorder="1" applyAlignment="1">
      <alignment vertical="center"/>
    </xf>
    <xf numFmtId="0" fontId="65" fillId="0" borderId="1" xfId="0" applyFont="1" applyBorder="1" applyAlignment="1">
      <alignment horizontal="center" vertical="center"/>
    </xf>
    <xf numFmtId="0" fontId="0" fillId="0" borderId="1" xfId="0" applyBorder="1" applyAlignment="1">
      <alignment wrapText="1"/>
    </xf>
    <xf numFmtId="0" fontId="0" fillId="0" borderId="0" xfId="0" applyAlignment="1">
      <alignment horizontal="left" vertical="center" wrapText="1"/>
    </xf>
    <xf numFmtId="0" fontId="104" fillId="0" borderId="0" xfId="0" applyFont="1" applyAlignment="1">
      <alignment horizontal="justify" vertical="center"/>
    </xf>
    <xf numFmtId="0" fontId="103" fillId="0" borderId="0" xfId="0" applyFont="1" applyAlignment="1">
      <alignment horizontal="justify" vertical="center"/>
    </xf>
    <xf numFmtId="0" fontId="100" fillId="0" borderId="0" xfId="0" applyFont="1" applyAlignment="1">
      <alignment horizontal="left" wrapText="1"/>
    </xf>
    <xf numFmtId="0" fontId="54" fillId="0" borderId="0" xfId="0" applyFont="1" applyAlignment="1">
      <alignment wrapText="1"/>
    </xf>
    <xf numFmtId="0" fontId="83" fillId="0" borderId="0" xfId="0" applyFont="1" applyAlignment="1" applyProtection="1">
      <alignment wrapText="1"/>
      <protection locked="0"/>
    </xf>
    <xf numFmtId="0" fontId="32" fillId="0" borderId="0" xfId="0" applyFont="1" applyAlignment="1">
      <alignment horizontal="justify" vertical="center"/>
    </xf>
    <xf numFmtId="0" fontId="0" fillId="7" borderId="1" xfId="0" applyFill="1" applyBorder="1" applyAlignment="1">
      <alignment wrapText="1"/>
    </xf>
    <xf numFmtId="0" fontId="100" fillId="0" borderId="0" xfId="0" applyFont="1" applyAlignment="1">
      <alignment horizontal="left" vertical="center" wrapText="1"/>
    </xf>
    <xf numFmtId="0" fontId="0" fillId="2" borderId="1" xfId="0" applyFill="1" applyBorder="1" applyAlignment="1">
      <alignment wrapText="1"/>
    </xf>
    <xf numFmtId="0" fontId="100" fillId="0" borderId="0" xfId="0" applyFont="1" applyAlignment="1">
      <alignment wrapText="1"/>
    </xf>
    <xf numFmtId="0" fontId="83" fillId="0" borderId="0" xfId="0" applyFont="1" applyAlignment="1" applyProtection="1">
      <alignment horizontal="left" vertical="center"/>
      <protection locked="0"/>
    </xf>
    <xf numFmtId="0" fontId="30" fillId="0" borderId="0" xfId="0" applyFont="1" applyAlignment="1">
      <alignment horizontal="center" vertical="center"/>
    </xf>
    <xf numFmtId="2" fontId="54" fillId="0" borderId="1" xfId="0" applyNumberFormat="1" applyFont="1" applyBorder="1" applyAlignment="1">
      <alignment vertical="center"/>
    </xf>
    <xf numFmtId="0" fontId="68" fillId="0" borderId="1" xfId="0" applyFont="1" applyBorder="1" applyAlignment="1" applyProtection="1">
      <alignment horizontal="center" vertical="center"/>
      <protection locked="0"/>
    </xf>
    <xf numFmtId="0" fontId="78" fillId="0" borderId="0" xfId="0" applyFont="1" applyAlignment="1" applyProtection="1">
      <alignment wrapText="1"/>
      <protection locked="0"/>
    </xf>
    <xf numFmtId="0" fontId="68" fillId="0" borderId="0" xfId="0" applyFont="1" applyAlignment="1" applyProtection="1">
      <alignment wrapText="1"/>
      <protection locked="0"/>
    </xf>
    <xf numFmtId="0" fontId="61" fillId="0" borderId="0" xfId="0" applyFont="1" applyAlignment="1" applyProtection="1">
      <alignment wrapText="1"/>
      <protection locked="0"/>
    </xf>
    <xf numFmtId="0" fontId="61" fillId="4" borderId="0" xfId="0" applyFont="1" applyFill="1" applyAlignment="1" applyProtection="1">
      <alignment wrapText="1"/>
      <protection locked="0"/>
    </xf>
    <xf numFmtId="0" fontId="85" fillId="0" borderId="0" xfId="0" applyFont="1" applyAlignment="1" applyProtection="1">
      <alignment wrapText="1"/>
      <protection locked="0"/>
    </xf>
    <xf numFmtId="0" fontId="86" fillId="0" borderId="0" xfId="0" applyFont="1" applyAlignment="1" applyProtection="1">
      <alignment wrapText="1"/>
      <protection locked="0"/>
    </xf>
    <xf numFmtId="0" fontId="44" fillId="0" borderId="0" xfId="0" applyFont="1" applyAlignment="1" applyProtection="1">
      <alignment wrapText="1"/>
      <protection locked="0"/>
    </xf>
    <xf numFmtId="0" fontId="61" fillId="0" borderId="0" xfId="0" applyFont="1" applyAlignment="1" applyProtection="1">
      <alignment vertical="center" wrapText="1"/>
      <protection locked="0"/>
    </xf>
    <xf numFmtId="1" fontId="62" fillId="0" borderId="0" xfId="0" applyNumberFormat="1" applyFont="1" applyAlignment="1" applyProtection="1">
      <alignment vertical="center" wrapText="1"/>
      <protection locked="0"/>
    </xf>
    <xf numFmtId="0" fontId="56" fillId="0" borderId="0" xfId="2" applyFill="1" applyBorder="1" applyAlignment="1">
      <alignment horizontal="left" vertical="center" wrapText="1"/>
    </xf>
    <xf numFmtId="0" fontId="91" fillId="0" borderId="1" xfId="0" applyFont="1" applyBorder="1" applyAlignment="1" applyProtection="1">
      <alignment vertical="center" wrapText="1"/>
      <protection locked="0"/>
    </xf>
    <xf numFmtId="0" fontId="100" fillId="0" borderId="0" xfId="0" applyFont="1"/>
    <xf numFmtId="0" fontId="110" fillId="0" borderId="0" xfId="0" applyFont="1" applyAlignment="1">
      <alignment horizontal="left" vertical="center"/>
    </xf>
    <xf numFmtId="0" fontId="0" fillId="0" borderId="0" xfId="0" applyAlignment="1">
      <alignment vertical="center" wrapText="1"/>
    </xf>
    <xf numFmtId="9" fontId="64" fillId="4" borderId="47" xfId="1" applyFont="1" applyFill="1" applyBorder="1" applyAlignment="1">
      <alignment horizontal="center" vertical="center"/>
    </xf>
    <xf numFmtId="0" fontId="54" fillId="0" borderId="0" xfId="0" applyFont="1" applyAlignment="1">
      <alignment horizontal="left" vertical="center" wrapText="1"/>
    </xf>
    <xf numFmtId="0" fontId="111" fillId="0" borderId="0" xfId="0" applyFont="1" applyAlignment="1">
      <alignment horizontal="left" vertical="center" wrapText="1"/>
    </xf>
    <xf numFmtId="0" fontId="88" fillId="0" borderId="0" xfId="0" applyFont="1" applyAlignment="1">
      <alignment horizontal="center" vertical="center" wrapText="1"/>
    </xf>
    <xf numFmtId="0" fontId="87" fillId="5" borderId="0" xfId="0" applyFont="1" applyFill="1" applyAlignment="1">
      <alignment horizontal="center" vertical="top" wrapText="1"/>
    </xf>
    <xf numFmtId="0" fontId="90" fillId="0" borderId="0" xfId="0" applyFont="1" applyAlignment="1" applyProtection="1">
      <alignment vertical="center" wrapText="1"/>
      <protection locked="0"/>
    </xf>
    <xf numFmtId="0" fontId="87" fillId="5" borderId="0" xfId="0" applyFont="1" applyFill="1" applyAlignment="1">
      <alignment vertical="top" wrapText="1"/>
    </xf>
    <xf numFmtId="0" fontId="56" fillId="0" borderId="0" xfId="2" applyFill="1" applyBorder="1" applyAlignment="1" applyProtection="1">
      <alignment wrapText="1"/>
      <protection locked="0"/>
    </xf>
    <xf numFmtId="0" fontId="18" fillId="0" borderId="16" xfId="0" applyFont="1" applyBorder="1" applyAlignment="1">
      <alignment horizontal="left" vertical="center" wrapText="1"/>
    </xf>
    <xf numFmtId="0" fontId="18" fillId="0" borderId="16" xfId="0" applyFont="1" applyBorder="1" applyAlignment="1">
      <alignment horizontal="left" vertical="center"/>
    </xf>
    <xf numFmtId="0" fontId="78" fillId="0" borderId="0" xfId="0" applyFont="1" applyAlignment="1" applyProtection="1">
      <alignment vertical="center" wrapText="1"/>
      <protection locked="0"/>
    </xf>
    <xf numFmtId="0" fontId="91" fillId="0" borderId="14" xfId="0" applyFont="1" applyBorder="1" applyAlignment="1" applyProtection="1">
      <alignment vertical="center" wrapText="1"/>
      <protection locked="0"/>
    </xf>
    <xf numFmtId="0" fontId="11" fillId="0" borderId="0" xfId="0" applyFont="1" applyAlignment="1">
      <alignment horizontal="justify" vertical="center"/>
    </xf>
    <xf numFmtId="0" fontId="0" fillId="2" borderId="0" xfId="0" applyFill="1" applyAlignment="1">
      <alignment horizontal="left" vertical="center" wrapText="1"/>
    </xf>
    <xf numFmtId="0" fontId="0" fillId="2" borderId="0" xfId="0" applyFill="1" applyAlignment="1">
      <alignment vertical="center" wrapText="1"/>
    </xf>
    <xf numFmtId="0" fontId="32" fillId="0" borderId="0" xfId="0" applyFont="1" applyAlignment="1">
      <alignment horizontal="center" vertical="center"/>
    </xf>
    <xf numFmtId="0" fontId="56" fillId="0" borderId="0" xfId="2" applyFill="1" applyBorder="1" applyAlignment="1" applyProtection="1">
      <alignment horizontal="center" vertical="center" wrapText="1"/>
      <protection locked="0"/>
    </xf>
    <xf numFmtId="0" fontId="7" fillId="0" borderId="19" xfId="0" applyFont="1" applyBorder="1" applyAlignment="1">
      <alignment vertical="center" wrapText="1"/>
    </xf>
    <xf numFmtId="0" fontId="7" fillId="0" borderId="19" xfId="0" applyFont="1" applyBorder="1" applyAlignment="1">
      <alignment vertical="center"/>
    </xf>
    <xf numFmtId="0" fontId="4" fillId="0" borderId="0" xfId="0" applyFont="1" applyAlignment="1">
      <alignment horizontal="justify" vertical="center"/>
    </xf>
    <xf numFmtId="0" fontId="119" fillId="0" borderId="0" xfId="2" applyFont="1" applyAlignment="1" applyProtection="1">
      <alignment vertical="top"/>
      <protection locked="0"/>
    </xf>
    <xf numFmtId="0" fontId="120" fillId="0" borderId="0" xfId="0" applyFont="1" applyProtection="1">
      <protection locked="0"/>
    </xf>
    <xf numFmtId="0" fontId="121" fillId="0" borderId="0" xfId="2" applyFont="1" applyAlignment="1" applyProtection="1">
      <alignment vertical="top"/>
      <protection locked="0"/>
    </xf>
    <xf numFmtId="0" fontId="71" fillId="0" borderId="0" xfId="0" applyFont="1" applyAlignment="1" applyProtection="1">
      <alignment wrapText="1" shrinkToFit="1"/>
      <protection locked="0"/>
    </xf>
    <xf numFmtId="0" fontId="65" fillId="0" borderId="0" xfId="0" applyFont="1" applyAlignment="1">
      <alignment vertical="center"/>
    </xf>
    <xf numFmtId="0" fontId="50" fillId="0" borderId="20" xfId="0" applyFont="1" applyBorder="1" applyAlignment="1">
      <alignment horizontal="left" vertical="center" wrapText="1"/>
    </xf>
    <xf numFmtId="0" fontId="50" fillId="0" borderId="9" xfId="0" applyFont="1" applyBorder="1" applyAlignment="1">
      <alignment horizontal="left" vertical="center" wrapText="1"/>
    </xf>
    <xf numFmtId="0" fontId="50" fillId="0" borderId="19" xfId="0" applyFont="1" applyBorder="1" applyAlignment="1">
      <alignment horizontal="left" vertical="center" wrapText="1"/>
    </xf>
    <xf numFmtId="0" fontId="18" fillId="0" borderId="20" xfId="0" applyFont="1" applyBorder="1" applyAlignment="1">
      <alignment horizontal="left" vertical="center" wrapText="1"/>
    </xf>
    <xf numFmtId="0" fontId="50" fillId="0" borderId="20" xfId="0" applyFont="1" applyBorder="1" applyAlignment="1">
      <alignment horizontal="center" vertical="center" wrapText="1"/>
    </xf>
    <xf numFmtId="0" fontId="50" fillId="0" borderId="9" xfId="0" applyFont="1" applyBorder="1" applyAlignment="1">
      <alignment horizontal="center" vertical="center" wrapText="1"/>
    </xf>
    <xf numFmtId="0" fontId="65" fillId="0" borderId="0" xfId="0" applyFont="1" applyAlignment="1">
      <alignment vertical="center" wrapText="1"/>
    </xf>
    <xf numFmtId="0" fontId="51" fillId="0" borderId="20" xfId="0" applyFont="1" applyBorder="1" applyAlignment="1">
      <alignment horizontal="center" vertical="center"/>
    </xf>
    <xf numFmtId="0" fontId="51" fillId="0" borderId="9" xfId="0" applyFont="1" applyBorder="1" applyAlignment="1">
      <alignment horizontal="center" vertical="center"/>
    </xf>
    <xf numFmtId="0" fontId="51" fillId="0" borderId="19" xfId="0" applyFont="1" applyBorder="1" applyAlignment="1">
      <alignment horizontal="center" vertical="center"/>
    </xf>
    <xf numFmtId="0" fontId="7" fillId="0" borderId="20" xfId="0" applyFont="1" applyBorder="1" applyAlignment="1">
      <alignment horizontal="center" vertical="center" wrapText="1"/>
    </xf>
    <xf numFmtId="0" fontId="18" fillId="0" borderId="9" xfId="0" applyFont="1" applyBorder="1" applyAlignment="1">
      <alignment horizontal="center" vertical="center" wrapText="1"/>
    </xf>
    <xf numFmtId="0" fontId="7" fillId="0" borderId="20" xfId="0" applyFont="1" applyBorder="1" applyAlignment="1">
      <alignment horizontal="center" vertical="center"/>
    </xf>
    <xf numFmtId="0" fontId="18" fillId="0" borderId="9" xfId="0" applyFont="1" applyBorder="1" applyAlignment="1">
      <alignment horizontal="center" vertical="center"/>
    </xf>
    <xf numFmtId="0" fontId="50" fillId="0" borderId="20" xfId="0" applyFont="1" applyBorder="1" applyAlignment="1">
      <alignment horizontal="center" vertical="center"/>
    </xf>
    <xf numFmtId="0" fontId="50" fillId="0" borderId="9" xfId="0" applyFont="1" applyBorder="1" applyAlignment="1">
      <alignment horizontal="center" vertical="center"/>
    </xf>
    <xf numFmtId="0" fontId="50" fillId="0" borderId="19" xfId="0" applyFont="1" applyBorder="1" applyAlignment="1">
      <alignment horizontal="center" vertical="center"/>
    </xf>
    <xf numFmtId="0" fontId="54" fillId="6" borderId="43" xfId="0" applyFont="1" applyFill="1" applyBorder="1" applyAlignment="1">
      <alignment horizontal="center" vertical="center"/>
    </xf>
    <xf numFmtId="0" fontId="54" fillId="6" borderId="14" xfId="0" applyFont="1" applyFill="1" applyBorder="1" applyAlignment="1">
      <alignment horizontal="center" vertical="center"/>
    </xf>
    <xf numFmtId="0" fontId="54" fillId="6" borderId="39" xfId="0" applyFont="1" applyFill="1" applyBorder="1" applyAlignment="1">
      <alignment horizontal="center" vertical="center"/>
    </xf>
    <xf numFmtId="0" fontId="54" fillId="6" borderId="20" xfId="0" applyFont="1" applyFill="1" applyBorder="1" applyAlignment="1">
      <alignment horizontal="center" vertical="center"/>
    </xf>
    <xf numFmtId="0" fontId="54" fillId="6" borderId="9" xfId="0" applyFont="1" applyFill="1" applyBorder="1" applyAlignment="1">
      <alignment horizontal="center" vertical="center"/>
    </xf>
    <xf numFmtId="0" fontId="54" fillId="6" borderId="19" xfId="0" applyFont="1" applyFill="1" applyBorder="1" applyAlignment="1">
      <alignment horizontal="center" vertical="center"/>
    </xf>
    <xf numFmtId="0" fontId="54" fillId="6" borderId="40" xfId="0" applyFont="1" applyFill="1" applyBorder="1" applyAlignment="1">
      <alignment horizontal="center" vertical="center"/>
    </xf>
    <xf numFmtId="0" fontId="54" fillId="6" borderId="41" xfId="0" applyFont="1" applyFill="1" applyBorder="1" applyAlignment="1">
      <alignment horizontal="center" vertical="center"/>
    </xf>
    <xf numFmtId="0" fontId="54" fillId="6" borderId="42" xfId="0" applyFont="1" applyFill="1" applyBorder="1" applyAlignment="1">
      <alignment horizontal="center" vertical="center"/>
    </xf>
    <xf numFmtId="0" fontId="54" fillId="6" borderId="7" xfId="0" applyFont="1" applyFill="1" applyBorder="1" applyAlignment="1">
      <alignment horizontal="center" vertical="center"/>
    </xf>
    <xf numFmtId="0" fontId="54" fillId="6" borderId="11" xfId="0" applyFont="1" applyFill="1" applyBorder="1" applyAlignment="1">
      <alignment horizontal="center" vertical="center"/>
    </xf>
    <xf numFmtId="0" fontId="54" fillId="6" borderId="8" xfId="0" applyFont="1" applyFill="1" applyBorder="1" applyAlignment="1">
      <alignment horizontal="center" vertical="center"/>
    </xf>
    <xf numFmtId="0" fontId="49" fillId="0" borderId="0" xfId="0" applyFont="1" applyAlignment="1">
      <alignment horizontal="left" vertical="center" wrapText="1"/>
    </xf>
    <xf numFmtId="0" fontId="78" fillId="0" borderId="0" xfId="0" applyFont="1" applyAlignment="1" applyProtection="1">
      <alignment horizontal="left" vertical="center" wrapText="1"/>
      <protection locked="0"/>
    </xf>
    <xf numFmtId="4" fontId="91" fillId="2" borderId="3" xfId="1" applyNumberFormat="1" applyFont="1" applyFill="1" applyBorder="1" applyAlignment="1" applyProtection="1">
      <alignment horizontal="center" vertical="center"/>
    </xf>
    <xf numFmtId="4" fontId="91" fillId="2" borderId="4" xfId="1" applyNumberFormat="1" applyFont="1" applyFill="1" applyBorder="1" applyAlignment="1" applyProtection="1">
      <alignment horizontal="center" vertical="center"/>
    </xf>
    <xf numFmtId="4" fontId="91" fillId="2" borderId="5" xfId="1" applyNumberFormat="1" applyFont="1" applyFill="1" applyBorder="1" applyAlignment="1" applyProtection="1">
      <alignment horizontal="center" vertical="center"/>
    </xf>
    <xf numFmtId="9" fontId="91" fillId="0" borderId="3" xfId="1" applyFont="1" applyBorder="1" applyAlignment="1" applyProtection="1">
      <alignment horizontal="center" vertical="center" wrapText="1"/>
      <protection locked="0"/>
    </xf>
    <xf numFmtId="9" fontId="91" fillId="0" borderId="4" xfId="1" applyFont="1" applyBorder="1" applyAlignment="1" applyProtection="1">
      <alignment horizontal="center" vertical="center" wrapText="1"/>
      <protection locked="0"/>
    </xf>
    <xf numFmtId="4" fontId="92" fillId="2" borderId="4" xfId="0" applyNumberFormat="1" applyFont="1" applyFill="1" applyBorder="1" applyAlignment="1">
      <alignment horizontal="center" vertical="center"/>
    </xf>
    <xf numFmtId="4" fontId="92" fillId="2" borderId="5" xfId="0" applyNumberFormat="1" applyFont="1" applyFill="1" applyBorder="1" applyAlignment="1">
      <alignment horizontal="center" vertical="center"/>
    </xf>
    <xf numFmtId="10" fontId="102" fillId="0" borderId="4" xfId="1" applyNumberFormat="1" applyFont="1" applyFill="1" applyBorder="1" applyAlignment="1" applyProtection="1">
      <alignment horizontal="center" vertical="center"/>
      <protection locked="0"/>
    </xf>
    <xf numFmtId="10" fontId="102" fillId="0" borderId="5" xfId="1" applyNumberFormat="1" applyFont="1" applyFill="1" applyBorder="1" applyAlignment="1" applyProtection="1">
      <alignment horizontal="center" vertical="center"/>
      <protection locked="0"/>
    </xf>
    <xf numFmtId="49" fontId="91" fillId="0" borderId="3" xfId="1" applyNumberFormat="1" applyFont="1" applyBorder="1" applyAlignment="1" applyProtection="1">
      <alignment horizontal="center" vertical="center" wrapText="1"/>
      <protection locked="0"/>
    </xf>
    <xf numFmtId="49" fontId="91" fillId="0" borderId="4" xfId="1" applyNumberFormat="1" applyFont="1" applyBorder="1" applyAlignment="1" applyProtection="1">
      <alignment horizontal="center" vertical="center" wrapText="1"/>
      <protection locked="0"/>
    </xf>
    <xf numFmtId="49" fontId="91" fillId="0" borderId="5" xfId="1" applyNumberFormat="1" applyFont="1" applyBorder="1" applyAlignment="1" applyProtection="1">
      <alignment horizontal="center" vertical="center" wrapText="1"/>
      <protection locked="0"/>
    </xf>
    <xf numFmtId="49" fontId="108" fillId="0" borderId="3" xfId="1" applyNumberFormat="1" applyFont="1" applyBorder="1" applyAlignment="1" applyProtection="1">
      <alignment horizontal="center" vertical="center" wrapText="1"/>
      <protection locked="0"/>
    </xf>
    <xf numFmtId="49" fontId="108" fillId="0" borderId="4" xfId="1" applyNumberFormat="1" applyFont="1" applyBorder="1" applyAlignment="1" applyProtection="1">
      <alignment horizontal="center" vertical="center" wrapText="1"/>
      <protection locked="0"/>
    </xf>
    <xf numFmtId="49" fontId="108" fillId="0" borderId="5" xfId="1" applyNumberFormat="1" applyFont="1" applyBorder="1" applyAlignment="1" applyProtection="1">
      <alignment horizontal="center" vertical="center" wrapText="1"/>
      <protection locked="0"/>
    </xf>
    <xf numFmtId="44" fontId="91" fillId="0" borderId="3" xfId="3" applyFont="1" applyBorder="1" applyAlignment="1" applyProtection="1">
      <alignment horizontal="center" vertical="center" wrapText="1"/>
      <protection locked="0"/>
    </xf>
    <xf numFmtId="44" fontId="91" fillId="0" borderId="4" xfId="3" applyFont="1" applyBorder="1" applyAlignment="1" applyProtection="1">
      <alignment horizontal="center" vertical="center" wrapText="1"/>
      <protection locked="0"/>
    </xf>
    <xf numFmtId="0" fontId="90" fillId="0" borderId="0" xfId="0" applyFont="1" applyAlignment="1">
      <alignment horizontal="left" vertical="center" wrapText="1"/>
    </xf>
    <xf numFmtId="0" fontId="56" fillId="0" borderId="0" xfId="2" applyAlignment="1">
      <alignment horizontal="left" vertical="center" wrapText="1"/>
    </xf>
    <xf numFmtId="0" fontId="5" fillId="0" borderId="0" xfId="0" applyFont="1" applyAlignment="1" applyProtection="1">
      <alignment horizontal="center" vertical="center"/>
      <protection locked="0"/>
    </xf>
    <xf numFmtId="0" fontId="91" fillId="0" borderId="3" xfId="0" applyFont="1" applyBorder="1" applyAlignment="1">
      <alignment horizontal="center" vertical="center" wrapText="1"/>
    </xf>
    <xf numFmtId="0" fontId="91" fillId="0" borderId="4" xfId="0" applyFont="1" applyBorder="1" applyAlignment="1">
      <alignment horizontal="center" vertical="center" wrapText="1"/>
    </xf>
    <xf numFmtId="0" fontId="91" fillId="0" borderId="5" xfId="0" applyFont="1" applyBorder="1" applyAlignment="1">
      <alignment horizontal="center" vertical="center" wrapText="1"/>
    </xf>
    <xf numFmtId="0" fontId="89" fillId="0" borderId="49" xfId="0" applyFont="1" applyBorder="1" applyAlignment="1">
      <alignment horizontal="left" vertical="center" wrapText="1"/>
    </xf>
    <xf numFmtId="0" fontId="89" fillId="0" borderId="2" xfId="0" applyFont="1" applyBorder="1" applyAlignment="1">
      <alignment horizontal="left" vertical="center" wrapText="1"/>
    </xf>
    <xf numFmtId="0" fontId="65" fillId="0" borderId="3" xfId="0" applyFont="1" applyBorder="1" applyAlignment="1" applyProtection="1">
      <alignment horizontal="left" vertical="center" wrapText="1"/>
      <protection locked="0"/>
    </xf>
    <xf numFmtId="0" fontId="65" fillId="0" borderId="4" xfId="0" applyFont="1" applyBorder="1" applyAlignment="1" applyProtection="1">
      <alignment horizontal="left" vertical="center" wrapText="1"/>
      <protection locked="0"/>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65" fillId="0" borderId="5" xfId="0" applyFont="1" applyBorder="1" applyAlignment="1">
      <alignment horizontal="left" vertical="center" wrapText="1"/>
    </xf>
    <xf numFmtId="169" fontId="90" fillId="2" borderId="3" xfId="0" applyNumberFormat="1" applyFont="1" applyFill="1" applyBorder="1" applyAlignment="1">
      <alignment horizontal="center" wrapText="1"/>
    </xf>
    <xf numFmtId="169" fontId="90" fillId="2" borderId="4" xfId="0" applyNumberFormat="1" applyFont="1" applyFill="1" applyBorder="1" applyAlignment="1">
      <alignment horizontal="center" wrapText="1"/>
    </xf>
    <xf numFmtId="169" fontId="67" fillId="2" borderId="3" xfId="0" applyNumberFormat="1" applyFont="1" applyFill="1" applyBorder="1" applyAlignment="1">
      <alignment horizontal="center" wrapText="1"/>
    </xf>
    <xf numFmtId="169" fontId="67" fillId="2" borderId="4" xfId="0" applyNumberFormat="1" applyFont="1" applyFill="1" applyBorder="1" applyAlignment="1">
      <alignment horizontal="center" wrapText="1"/>
    </xf>
    <xf numFmtId="0" fontId="91" fillId="0" borderId="1" xfId="0" applyFont="1" applyBorder="1" applyAlignment="1">
      <alignment horizontal="center" vertical="center" wrapText="1"/>
    </xf>
    <xf numFmtId="0" fontId="49" fillId="0" borderId="0" xfId="0" applyFont="1" applyAlignment="1">
      <alignment horizontal="center" vertical="center"/>
    </xf>
    <xf numFmtId="49" fontId="54" fillId="0" borderId="0" xfId="0" applyNumberFormat="1" applyFont="1" applyAlignment="1" applyProtection="1">
      <alignment horizontal="center"/>
      <protection locked="0"/>
    </xf>
    <xf numFmtId="0" fontId="90" fillId="0" borderId="0" xfId="0" applyFont="1" applyAlignment="1">
      <alignment horizontal="left" vertical="center"/>
    </xf>
    <xf numFmtId="10" fontId="91" fillId="0" borderId="3" xfId="1" applyNumberFormat="1" applyFont="1" applyBorder="1" applyAlignment="1" applyProtection="1">
      <alignment horizontal="center" vertical="center"/>
      <protection locked="0"/>
    </xf>
    <xf numFmtId="10" fontId="91" fillId="0" borderId="4" xfId="1" applyNumberFormat="1" applyFont="1" applyBorder="1" applyAlignment="1" applyProtection="1">
      <alignment horizontal="center" vertical="center"/>
      <protection locked="0"/>
    </xf>
    <xf numFmtId="10" fontId="91" fillId="0" borderId="5" xfId="1" applyNumberFormat="1" applyFont="1" applyBorder="1" applyAlignment="1" applyProtection="1">
      <alignment horizontal="center" vertical="center"/>
      <protection locked="0"/>
    </xf>
    <xf numFmtId="0" fontId="89" fillId="0" borderId="0" xfId="0" applyFont="1" applyAlignment="1">
      <alignment horizontal="left" vertical="center" wrapText="1"/>
    </xf>
    <xf numFmtId="0" fontId="90" fillId="0" borderId="0" xfId="0" applyFont="1" applyAlignment="1" applyProtection="1">
      <alignment horizontal="left" vertical="center" wrapText="1"/>
      <protection locked="0"/>
    </xf>
    <xf numFmtId="0" fontId="4" fillId="0" borderId="2" xfId="0" applyFont="1" applyBorder="1" applyAlignment="1">
      <alignment horizontal="left" vertical="center" wrapText="1"/>
    </xf>
    <xf numFmtId="0" fontId="57" fillId="0" borderId="0" xfId="0" applyFont="1" applyAlignment="1" applyProtection="1">
      <alignment horizontal="left" vertical="center" wrapText="1"/>
      <protection locked="0"/>
    </xf>
    <xf numFmtId="2" fontId="54" fillId="0" borderId="0" xfId="0" applyNumberFormat="1" applyFont="1" applyAlignment="1" applyProtection="1">
      <alignment horizontal="center" vertical="center"/>
      <protection locked="0"/>
    </xf>
    <xf numFmtId="0" fontId="20" fillId="0" borderId="0" xfId="0" applyFont="1" applyAlignment="1">
      <alignment horizontal="center" vertical="center"/>
    </xf>
    <xf numFmtId="164" fontId="34" fillId="0" borderId="0" xfId="0" applyNumberFormat="1" applyFont="1" applyAlignment="1" applyProtection="1">
      <alignment horizontal="left" vertical="center"/>
      <protection locked="0"/>
    </xf>
    <xf numFmtId="0" fontId="25" fillId="0" borderId="0" xfId="0" applyFont="1" applyAlignment="1" applyProtection="1">
      <alignment horizontal="left" vertical="center"/>
      <protection locked="0"/>
    </xf>
    <xf numFmtId="0" fontId="49" fillId="0" borderId="0" xfId="0" applyFont="1" applyAlignment="1" applyProtection="1">
      <alignment horizontal="left" vertical="center"/>
      <protection locked="0"/>
    </xf>
    <xf numFmtId="10" fontId="49" fillId="2" borderId="1" xfId="1" applyNumberFormat="1" applyFont="1" applyFill="1" applyBorder="1" applyAlignment="1" applyProtection="1">
      <alignment horizontal="center"/>
    </xf>
    <xf numFmtId="0" fontId="0" fillId="0" borderId="0" xfId="0" applyAlignment="1">
      <alignment horizontal="left" vertical="center" wrapText="1"/>
    </xf>
    <xf numFmtId="0" fontId="32" fillId="0" borderId="0" xfId="0" applyFont="1" applyAlignment="1">
      <alignment horizontal="center" vertical="center"/>
    </xf>
    <xf numFmtId="0" fontId="49" fillId="0" borderId="0" xfId="0" applyFont="1" applyAlignment="1">
      <alignment horizontal="left" vertical="center"/>
    </xf>
    <xf numFmtId="0" fontId="32" fillId="0" borderId="0" xfId="0" applyFont="1" applyAlignment="1">
      <alignment horizontal="left" vertical="center"/>
    </xf>
    <xf numFmtId="0" fontId="30" fillId="0" borderId="0" xfId="0" applyFont="1" applyAlignment="1">
      <alignment horizontal="left" vertical="center"/>
    </xf>
    <xf numFmtId="168" fontId="48" fillId="0" borderId="0" xfId="0" applyNumberFormat="1" applyFont="1" applyAlignment="1" applyProtection="1">
      <alignment horizontal="left" vertical="center"/>
      <protection locked="0"/>
    </xf>
    <xf numFmtId="2" fontId="54" fillId="2" borderId="1" xfId="0" applyNumberFormat="1" applyFont="1" applyFill="1" applyBorder="1" applyAlignment="1">
      <alignment horizontal="center"/>
    </xf>
    <xf numFmtId="0" fontId="43" fillId="0" borderId="0" xfId="0" applyFont="1" applyAlignment="1">
      <alignment horizontal="left" vertical="center"/>
    </xf>
    <xf numFmtId="164" fontId="54" fillId="0" borderId="0" xfId="0" applyNumberFormat="1" applyFont="1" applyAlignment="1" applyProtection="1">
      <alignment horizontal="center"/>
      <protection locked="0"/>
    </xf>
    <xf numFmtId="0" fontId="54" fillId="0" borderId="0" xfId="0" applyFont="1" applyAlignment="1">
      <alignment horizontal="left" vertical="center"/>
    </xf>
    <xf numFmtId="49" fontId="54" fillId="0" borderId="1" xfId="0" applyNumberFormat="1" applyFont="1" applyBorder="1" applyAlignment="1" applyProtection="1">
      <alignment horizontal="center"/>
      <protection locked="0"/>
    </xf>
    <xf numFmtId="165" fontId="56" fillId="2" borderId="0" xfId="2" applyNumberFormat="1" applyFill="1" applyAlignment="1" applyProtection="1">
      <alignment horizontal="center"/>
    </xf>
    <xf numFmtId="0" fontId="49" fillId="0" borderId="0" xfId="0" applyFont="1" applyAlignment="1" applyProtection="1">
      <alignment horizontal="left" vertical="center" wrapText="1"/>
      <protection locked="0"/>
    </xf>
    <xf numFmtId="0" fontId="54" fillId="0" borderId="0" xfId="0" applyFont="1" applyAlignment="1" applyProtection="1">
      <alignment horizontal="center" vertical="center"/>
      <protection locked="0"/>
    </xf>
    <xf numFmtId="1" fontId="54" fillId="0" borderId="0" xfId="0" applyNumberFormat="1" applyFont="1" applyAlignment="1" applyProtection="1">
      <alignment horizontal="center" vertical="center"/>
      <protection locked="0"/>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35" fillId="0" borderId="0" xfId="0" applyFont="1" applyAlignment="1" applyProtection="1">
      <alignment horizontal="left" vertical="center" wrapText="1"/>
      <protection locked="0"/>
    </xf>
    <xf numFmtId="0" fontId="36" fillId="0" borderId="0" xfId="0" applyFont="1" applyAlignment="1" applyProtection="1">
      <alignment horizontal="left" vertical="center" wrapText="1"/>
      <protection locked="0"/>
    </xf>
    <xf numFmtId="0" fontId="49" fillId="0" borderId="3" xfId="0" applyFont="1" applyBorder="1" applyAlignment="1" applyProtection="1">
      <alignment horizontal="center" vertical="center" wrapText="1"/>
      <protection locked="0"/>
    </xf>
    <xf numFmtId="0" fontId="49" fillId="0" borderId="4" xfId="0" applyFont="1" applyBorder="1" applyAlignment="1" applyProtection="1">
      <alignment horizontal="center" vertical="center" wrapText="1"/>
      <protection locked="0"/>
    </xf>
    <xf numFmtId="0" fontId="49" fillId="0" borderId="5" xfId="0" applyFont="1" applyBorder="1" applyAlignment="1" applyProtection="1">
      <alignment horizontal="center" vertical="center" wrapText="1"/>
      <protection locked="0"/>
    </xf>
    <xf numFmtId="0" fontId="42" fillId="0" borderId="0" xfId="0" applyFont="1" applyAlignment="1" applyProtection="1">
      <alignment horizontal="center"/>
      <protection locked="0"/>
    </xf>
    <xf numFmtId="0" fontId="49" fillId="0" borderId="0" xfId="0" applyFont="1" applyAlignment="1" applyProtection="1">
      <alignment horizontal="center"/>
      <protection locked="0"/>
    </xf>
    <xf numFmtId="14" fontId="49" fillId="0" borderId="0" xfId="0" applyNumberFormat="1" applyFont="1" applyAlignment="1" applyProtection="1">
      <alignment horizontal="center"/>
      <protection locked="0"/>
    </xf>
    <xf numFmtId="0" fontId="87" fillId="5" borderId="0" xfId="0" applyFont="1" applyFill="1" applyAlignment="1" applyProtection="1">
      <alignment horizontal="center" vertical="top" wrapText="1"/>
      <protection locked="0"/>
    </xf>
    <xf numFmtId="0" fontId="25" fillId="0" borderId="0" xfId="0" applyFont="1" applyAlignment="1" applyProtection="1">
      <alignment horizontal="center" vertical="center"/>
      <protection locked="0"/>
    </xf>
    <xf numFmtId="0" fontId="49" fillId="0" borderId="0" xfId="0" applyFont="1" applyAlignment="1" applyProtection="1">
      <alignment horizontal="center" vertical="center"/>
      <protection locked="0"/>
    </xf>
    <xf numFmtId="0" fontId="49" fillId="0" borderId="0" xfId="0" applyFont="1" applyAlignment="1">
      <alignment horizontal="center" vertical="center" wrapText="1"/>
    </xf>
    <xf numFmtId="0" fontId="88" fillId="0" borderId="0" xfId="0" applyFont="1" applyAlignment="1">
      <alignment horizontal="center" vertical="center" wrapText="1"/>
    </xf>
    <xf numFmtId="0" fontId="54" fillId="0" borderId="0" xfId="0" applyFont="1" applyAlignment="1">
      <alignment horizontal="left"/>
    </xf>
    <xf numFmtId="0" fontId="89" fillId="0" borderId="0" xfId="0" applyFont="1" applyAlignment="1">
      <alignment horizontal="left" vertical="center"/>
    </xf>
    <xf numFmtId="0" fontId="54" fillId="0" borderId="0" xfId="0" applyFont="1" applyAlignment="1">
      <alignment horizontal="left" vertical="center" wrapText="1"/>
    </xf>
    <xf numFmtId="0" fontId="54" fillId="0" borderId="0" xfId="0" applyFont="1" applyAlignment="1" applyProtection="1">
      <alignment horizontal="center" vertical="center" wrapText="1"/>
      <protection locked="0"/>
    </xf>
    <xf numFmtId="0" fontId="54" fillId="0" borderId="0" xfId="0" applyFont="1" applyAlignment="1" applyProtection="1">
      <alignment horizontal="left" vertical="center"/>
      <protection locked="0"/>
    </xf>
    <xf numFmtId="0" fontId="65" fillId="0" borderId="2" xfId="0" applyFont="1" applyBorder="1" applyAlignment="1">
      <alignment horizontal="left" vertical="center" wrapText="1"/>
    </xf>
    <xf numFmtId="0" fontId="65" fillId="0" borderId="51" xfId="0" applyFont="1" applyBorder="1" applyAlignment="1">
      <alignment horizontal="left" vertical="center" wrapText="1"/>
    </xf>
    <xf numFmtId="0" fontId="65" fillId="0" borderId="6" xfId="0" applyFont="1" applyBorder="1" applyAlignment="1">
      <alignment horizontal="left" vertical="center" wrapText="1"/>
    </xf>
    <xf numFmtId="0" fontId="65" fillId="0" borderId="47" xfId="0" applyFont="1" applyBorder="1" applyAlignment="1">
      <alignment horizontal="left" vertical="center" wrapText="1"/>
    </xf>
    <xf numFmtId="0" fontId="89" fillId="0" borderId="3" xfId="0" applyFont="1" applyBorder="1" applyAlignment="1">
      <alignment horizontal="left" vertical="center" wrapText="1"/>
    </xf>
    <xf numFmtId="0" fontId="89" fillId="0" borderId="4" xfId="0" applyFont="1" applyBorder="1" applyAlignment="1">
      <alignment horizontal="left" vertical="center" wrapText="1"/>
    </xf>
    <xf numFmtId="0" fontId="89" fillId="0" borderId="5" xfId="0" applyFont="1" applyBorder="1" applyAlignment="1">
      <alignment horizontal="left" vertical="center" wrapText="1"/>
    </xf>
    <xf numFmtId="1" fontId="90" fillId="0" borderId="3" xfId="0" applyNumberFormat="1" applyFont="1" applyBorder="1" applyAlignment="1" applyProtection="1">
      <alignment horizontal="left" vertical="center" wrapText="1"/>
      <protection locked="0"/>
    </xf>
    <xf numFmtId="1" fontId="90" fillId="0" borderId="4" xfId="0" applyNumberFormat="1" applyFont="1" applyBorder="1" applyAlignment="1" applyProtection="1">
      <alignment horizontal="left" vertical="center" wrapText="1"/>
      <protection locked="0"/>
    </xf>
    <xf numFmtId="49" fontId="25" fillId="0" borderId="1" xfId="0" applyNumberFormat="1" applyFont="1" applyBorder="1" applyAlignment="1" applyProtection="1">
      <alignment horizontal="center" wrapText="1"/>
      <protection locked="0"/>
    </xf>
    <xf numFmtId="49" fontId="32" fillId="0" borderId="1" xfId="0" applyNumberFormat="1" applyFont="1" applyBorder="1" applyAlignment="1" applyProtection="1">
      <alignment horizontal="center" wrapText="1"/>
      <protection locked="0"/>
    </xf>
    <xf numFmtId="49" fontId="5" fillId="0" borderId="1" xfId="0" applyNumberFormat="1" applyFont="1" applyBorder="1" applyAlignment="1" applyProtection="1">
      <alignment horizontal="left" wrapText="1"/>
      <protection locked="0"/>
    </xf>
    <xf numFmtId="49" fontId="32" fillId="0" borderId="1" xfId="0" applyNumberFormat="1" applyFont="1" applyBorder="1" applyAlignment="1" applyProtection="1">
      <alignment horizontal="left" wrapText="1"/>
      <protection locked="0"/>
    </xf>
    <xf numFmtId="49" fontId="32" fillId="0" borderId="1" xfId="0" applyNumberFormat="1" applyFont="1" applyBorder="1" applyAlignment="1" applyProtection="1">
      <alignment wrapText="1"/>
      <protection locked="0"/>
    </xf>
    <xf numFmtId="0" fontId="90" fillId="0" borderId="1" xfId="0" applyFont="1" applyBorder="1" applyAlignment="1">
      <alignment horizontal="left" vertical="center" wrapText="1"/>
    </xf>
    <xf numFmtId="0" fontId="90" fillId="0" borderId="1" xfId="0" applyFont="1" applyBorder="1" applyAlignment="1" applyProtection="1">
      <alignment horizontal="left" vertical="center"/>
      <protection locked="0"/>
    </xf>
    <xf numFmtId="14" fontId="25" fillId="0" borderId="0" xfId="0" applyNumberFormat="1" applyFont="1" applyAlignment="1" applyProtection="1">
      <alignment horizontal="center" wrapText="1"/>
      <protection locked="0"/>
    </xf>
    <xf numFmtId="14" fontId="32" fillId="0" borderId="0" xfId="0" applyNumberFormat="1" applyFont="1" applyAlignment="1" applyProtection="1">
      <alignment horizontal="center" wrapText="1"/>
      <protection locked="0"/>
    </xf>
    <xf numFmtId="0" fontId="34" fillId="0" borderId="0" xfId="0" applyFont="1" applyAlignment="1" applyProtection="1">
      <alignment horizontal="left" vertical="center" wrapText="1"/>
      <protection locked="0"/>
    </xf>
    <xf numFmtId="49" fontId="10" fillId="0" borderId="1" xfId="0" applyNumberFormat="1" applyFont="1" applyBorder="1" applyAlignment="1" applyProtection="1">
      <alignment horizontal="left" vertical="center" wrapText="1"/>
      <protection locked="0"/>
    </xf>
    <xf numFmtId="0" fontId="89" fillId="0" borderId="6" xfId="0" applyFont="1" applyBorder="1" applyAlignment="1">
      <alignment horizontal="left" vertical="center" wrapText="1"/>
    </xf>
    <xf numFmtId="0" fontId="89" fillId="0" borderId="3" xfId="0" applyFont="1" applyBorder="1" applyAlignment="1">
      <alignment horizontal="center" vertical="center" wrapText="1"/>
    </xf>
    <xf numFmtId="0" fontId="89" fillId="0" borderId="4" xfId="0" applyFont="1" applyBorder="1" applyAlignment="1">
      <alignment horizontal="center" vertical="center" wrapText="1"/>
    </xf>
    <xf numFmtId="0" fontId="89" fillId="0" borderId="5" xfId="0" applyFont="1" applyBorder="1" applyAlignment="1">
      <alignment horizontal="center" vertical="center" wrapText="1"/>
    </xf>
    <xf numFmtId="0" fontId="90" fillId="0" borderId="3" xfId="0" applyFont="1" applyBorder="1" applyAlignment="1" applyProtection="1">
      <alignment horizontal="center" wrapText="1"/>
      <protection locked="0"/>
    </xf>
    <xf numFmtId="0" fontId="90" fillId="0" borderId="4" xfId="0" applyFont="1" applyBorder="1" applyAlignment="1" applyProtection="1">
      <alignment horizontal="center" wrapText="1"/>
      <protection locked="0"/>
    </xf>
    <xf numFmtId="165" fontId="49" fillId="0" borderId="1" xfId="0" applyNumberFormat="1" applyFont="1" applyBorder="1" applyAlignment="1" applyProtection="1">
      <alignment horizontal="center"/>
      <protection locked="0"/>
    </xf>
    <xf numFmtId="0" fontId="89" fillId="0" borderId="0" xfId="0" applyFont="1" applyAlignment="1">
      <alignment vertical="center" wrapText="1"/>
    </xf>
    <xf numFmtId="0" fontId="90" fillId="0" borderId="3" xfId="0" applyFont="1" applyBorder="1" applyAlignment="1">
      <alignment horizontal="left" vertical="center" wrapText="1"/>
    </xf>
    <xf numFmtId="0" fontId="89" fillId="0" borderId="1" xfId="0" applyFont="1" applyBorder="1" applyAlignment="1">
      <alignment horizontal="left" vertical="center" wrapText="1"/>
    </xf>
    <xf numFmtId="1" fontId="90" fillId="0" borderId="3" xfId="0" applyNumberFormat="1" applyFont="1" applyBorder="1" applyAlignment="1" applyProtection="1">
      <alignment horizontal="center" wrapText="1"/>
      <protection locked="0"/>
    </xf>
    <xf numFmtId="1" fontId="90" fillId="0" borderId="4" xfId="0" applyNumberFormat="1" applyFont="1" applyBorder="1" applyAlignment="1" applyProtection="1">
      <alignment horizontal="center" wrapText="1"/>
      <protection locked="0"/>
    </xf>
    <xf numFmtId="0" fontId="89" fillId="0" borderId="50" xfId="0" applyFont="1" applyBorder="1" applyAlignment="1">
      <alignment horizontal="left" vertical="center" wrapText="1"/>
    </xf>
    <xf numFmtId="1" fontId="54" fillId="0" borderId="3" xfId="0" applyNumberFormat="1" applyFont="1" applyBorder="1" applyAlignment="1" applyProtection="1">
      <alignment horizontal="center"/>
      <protection locked="0"/>
    </xf>
    <xf numFmtId="1" fontId="54" fillId="0" borderId="4" xfId="0" applyNumberFormat="1" applyFont="1" applyBorder="1" applyAlignment="1" applyProtection="1">
      <alignment horizontal="center"/>
      <protection locked="0"/>
    </xf>
    <xf numFmtId="1" fontId="54" fillId="0" borderId="5" xfId="0" applyNumberFormat="1" applyFont="1" applyBorder="1" applyAlignment="1" applyProtection="1">
      <alignment horizontal="center"/>
      <protection locked="0"/>
    </xf>
    <xf numFmtId="49" fontId="54" fillId="0" borderId="1" xfId="0" applyNumberFormat="1" applyFont="1" applyBorder="1" applyAlignment="1" applyProtection="1">
      <alignment horizontal="left" vertical="center" wrapText="1"/>
      <protection locked="0"/>
    </xf>
    <xf numFmtId="49" fontId="32" fillId="0" borderId="0" xfId="0" applyNumberFormat="1" applyFont="1" applyAlignment="1" applyProtection="1">
      <alignment horizontal="center" wrapText="1"/>
      <protection locked="0"/>
    </xf>
    <xf numFmtId="0" fontId="54" fillId="0" borderId="3" xfId="0" applyFont="1" applyBorder="1" applyAlignment="1" applyProtection="1">
      <alignment horizontal="center" vertical="center"/>
      <protection locked="0"/>
    </xf>
    <xf numFmtId="0" fontId="54" fillId="0" borderId="4" xfId="0" applyFont="1" applyBorder="1" applyAlignment="1" applyProtection="1">
      <alignment horizontal="center" vertical="center"/>
      <protection locked="0"/>
    </xf>
    <xf numFmtId="0" fontId="54" fillId="0" borderId="5" xfId="0" applyFont="1" applyBorder="1" applyAlignment="1" applyProtection="1">
      <alignment horizontal="center" vertical="center"/>
      <protection locked="0"/>
    </xf>
    <xf numFmtId="1" fontId="54" fillId="2" borderId="1" xfId="0" applyNumberFormat="1" applyFont="1" applyFill="1" applyBorder="1" applyAlignment="1">
      <alignment horizontal="center"/>
    </xf>
    <xf numFmtId="0" fontId="44" fillId="0" borderId="0" xfId="0" applyFont="1" applyAlignment="1">
      <alignment horizontal="left" vertical="center"/>
    </xf>
    <xf numFmtId="0" fontId="32" fillId="0" borderId="0" xfId="0" applyFont="1" applyAlignment="1">
      <alignment horizontal="left" vertical="center" wrapText="1"/>
    </xf>
    <xf numFmtId="0" fontId="32" fillId="0" borderId="44" xfId="0" applyFont="1" applyBorder="1" applyAlignment="1">
      <alignment horizontal="left" vertical="center" wrapText="1"/>
    </xf>
    <xf numFmtId="165" fontId="49" fillId="2" borderId="1" xfId="0" applyNumberFormat="1" applyFont="1" applyFill="1" applyBorder="1" applyAlignment="1">
      <alignment horizontal="center"/>
    </xf>
    <xf numFmtId="49" fontId="10" fillId="0" borderId="1" xfId="0" applyNumberFormat="1" applyFont="1" applyBorder="1" applyAlignment="1">
      <alignment horizontal="left" vertical="center" wrapText="1"/>
    </xf>
    <xf numFmtId="2" fontId="54" fillId="0" borderId="1" xfId="0" applyNumberFormat="1" applyFont="1" applyBorder="1" applyAlignment="1" applyProtection="1">
      <alignment horizontal="center" vertical="center" wrapText="1"/>
      <protection locked="0"/>
    </xf>
    <xf numFmtId="49" fontId="6" fillId="0" borderId="1" xfId="0" applyNumberFormat="1" applyFont="1" applyBorder="1" applyAlignment="1">
      <alignment horizontal="left" vertical="center" wrapText="1"/>
    </xf>
    <xf numFmtId="0" fontId="32" fillId="0" borderId="1" xfId="0" applyFont="1" applyBorder="1" applyAlignment="1">
      <alignment horizontal="center" vertical="center"/>
    </xf>
    <xf numFmtId="0" fontId="49" fillId="0" borderId="1" xfId="0" applyFont="1" applyBorder="1" applyAlignment="1">
      <alignment horizontal="center" vertical="center"/>
    </xf>
    <xf numFmtId="49" fontId="25" fillId="0" borderId="3" xfId="0" applyNumberFormat="1" applyFont="1" applyBorder="1" applyAlignment="1" applyProtection="1">
      <alignment horizontal="center" wrapText="1"/>
      <protection locked="0"/>
    </xf>
    <xf numFmtId="49" fontId="25" fillId="0" borderId="4" xfId="0" applyNumberFormat="1" applyFont="1" applyBorder="1" applyAlignment="1" applyProtection="1">
      <alignment horizontal="center" wrapText="1"/>
      <protection locked="0"/>
    </xf>
    <xf numFmtId="49" fontId="25" fillId="0" borderId="5" xfId="0" applyNumberFormat="1" applyFont="1" applyBorder="1" applyAlignment="1" applyProtection="1">
      <alignment horizontal="center" wrapText="1"/>
      <protection locked="0"/>
    </xf>
    <xf numFmtId="49" fontId="32" fillId="0" borderId="46" xfId="0" applyNumberFormat="1" applyFont="1" applyBorder="1" applyAlignment="1" applyProtection="1">
      <alignment horizontal="left" wrapText="1"/>
      <protection locked="0"/>
    </xf>
    <xf numFmtId="165" fontId="49" fillId="2" borderId="1" xfId="1" applyNumberFormat="1" applyFont="1" applyFill="1" applyBorder="1" applyAlignment="1" applyProtection="1">
      <alignment horizontal="center"/>
    </xf>
    <xf numFmtId="0" fontId="75" fillId="0" borderId="0" xfId="0" applyFont="1" applyAlignment="1" applyProtection="1">
      <alignment horizontal="left" vertical="center" wrapText="1"/>
      <protection locked="0"/>
    </xf>
    <xf numFmtId="49" fontId="54" fillId="0" borderId="3" xfId="0" applyNumberFormat="1" applyFont="1" applyBorder="1" applyAlignment="1" applyProtection="1">
      <alignment horizontal="center" vertical="center"/>
      <protection locked="0"/>
    </xf>
    <xf numFmtId="49" fontId="54" fillId="0" borderId="4" xfId="0" applyNumberFormat="1" applyFont="1" applyBorder="1" applyAlignment="1" applyProtection="1">
      <alignment horizontal="center" vertical="center"/>
      <protection locked="0"/>
    </xf>
    <xf numFmtId="49" fontId="20" fillId="0" borderId="3" xfId="0" applyNumberFormat="1" applyFont="1" applyBorder="1" applyAlignment="1" applyProtection="1">
      <alignment horizontal="left" vertical="center" wrapText="1"/>
      <protection locked="0"/>
    </xf>
    <xf numFmtId="49" fontId="32" fillId="0" borderId="4" xfId="0" applyNumberFormat="1" applyFont="1" applyBorder="1" applyAlignment="1" applyProtection="1">
      <alignment horizontal="left" vertical="center" wrapText="1"/>
      <protection locked="0"/>
    </xf>
    <xf numFmtId="49" fontId="32" fillId="0" borderId="5" xfId="0" applyNumberFormat="1" applyFont="1" applyBorder="1" applyAlignment="1" applyProtection="1">
      <alignment horizontal="left" vertical="center" wrapText="1"/>
      <protection locked="0"/>
    </xf>
    <xf numFmtId="1" fontId="15" fillId="0" borderId="1" xfId="0" applyNumberFormat="1" applyFont="1" applyBorder="1" applyAlignment="1">
      <alignment horizontal="left" vertical="center" wrapText="1"/>
    </xf>
    <xf numFmtId="0" fontId="15" fillId="0" borderId="3" xfId="0" applyFont="1" applyBorder="1" applyAlignment="1" applyProtection="1">
      <alignment horizontal="left" vertical="center" wrapText="1"/>
      <protection locked="0"/>
    </xf>
    <xf numFmtId="0" fontId="49" fillId="0" borderId="4" xfId="0" applyFont="1" applyBorder="1" applyAlignment="1" applyProtection="1">
      <alignment horizontal="left" vertical="center" wrapText="1"/>
      <protection locked="0"/>
    </xf>
    <xf numFmtId="0" fontId="49" fillId="0" borderId="5" xfId="0" applyFont="1" applyBorder="1" applyAlignment="1" applyProtection="1">
      <alignment horizontal="left" vertical="center" wrapText="1"/>
      <protection locked="0"/>
    </xf>
    <xf numFmtId="0" fontId="54" fillId="0" borderId="1" xfId="0" applyFont="1" applyBorder="1" applyAlignment="1" applyProtection="1">
      <alignment horizontal="center" vertical="center"/>
      <protection locked="0"/>
    </xf>
    <xf numFmtId="0" fontId="20" fillId="0" borderId="0" xfId="0" applyFont="1" applyAlignment="1">
      <alignment horizontal="left" vertical="center"/>
    </xf>
    <xf numFmtId="0" fontId="20" fillId="0" borderId="0" xfId="0" applyFont="1" applyAlignment="1" applyProtection="1">
      <alignment horizontal="left" vertical="center" wrapText="1"/>
      <protection locked="0"/>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06" fillId="0" borderId="2" xfId="0" applyFont="1" applyBorder="1" applyAlignment="1" applyProtection="1">
      <alignment horizontal="left" vertical="center" wrapText="1"/>
      <protection locked="0"/>
    </xf>
    <xf numFmtId="0" fontId="106" fillId="0" borderId="0" xfId="0" applyFont="1" applyAlignment="1" applyProtection="1">
      <alignment horizontal="left" vertical="center" wrapText="1"/>
      <protection locked="0"/>
    </xf>
    <xf numFmtId="0" fontId="91" fillId="0" borderId="3" xfId="0" applyFont="1" applyBorder="1" applyAlignment="1" applyProtection="1">
      <alignment horizontal="center" vertical="center" wrapText="1"/>
      <protection locked="0"/>
    </xf>
    <xf numFmtId="0" fontId="91" fillId="0" borderId="4" xfId="0" applyFont="1" applyBorder="1" applyAlignment="1" applyProtection="1">
      <alignment horizontal="center" vertical="center" wrapText="1"/>
      <protection locked="0"/>
    </xf>
    <xf numFmtId="0" fontId="92" fillId="0" borderId="0" xfId="0" applyFont="1" applyAlignment="1">
      <alignment horizontal="center" vertical="center" wrapText="1"/>
    </xf>
    <xf numFmtId="0" fontId="84" fillId="0" borderId="0" xfId="0" applyFont="1" applyAlignment="1" applyProtection="1">
      <alignment horizontal="left" vertical="center" wrapText="1"/>
      <protection locked="0"/>
    </xf>
    <xf numFmtId="0" fontId="84" fillId="0" borderId="0" xfId="0" applyFont="1" applyAlignment="1" applyProtection="1">
      <alignment horizontal="left" vertical="center"/>
      <protection locked="0"/>
    </xf>
    <xf numFmtId="0" fontId="89" fillId="0" borderId="0" xfId="0" applyFont="1" applyAlignment="1" applyProtection="1">
      <alignment horizontal="center" vertical="center" wrapText="1"/>
      <protection locked="0"/>
    </xf>
    <xf numFmtId="4" fontId="92" fillId="2" borderId="1" xfId="0" applyNumberFormat="1" applyFont="1" applyFill="1" applyBorder="1" applyAlignment="1">
      <alignment horizontal="center" vertical="center"/>
    </xf>
    <xf numFmtId="10" fontId="91" fillId="0" borderId="0" xfId="1" applyNumberFormat="1" applyFont="1" applyFill="1" applyBorder="1" applyAlignment="1" applyProtection="1">
      <alignment horizontal="center" vertical="center"/>
      <protection locked="0"/>
    </xf>
    <xf numFmtId="9" fontId="91" fillId="0" borderId="0" xfId="1" applyFont="1" applyFill="1" applyBorder="1" applyAlignment="1" applyProtection="1">
      <alignment horizontal="center" vertical="center"/>
      <protection locked="0"/>
    </xf>
    <xf numFmtId="0" fontId="90" fillId="0" borderId="1" xfId="0" applyFont="1" applyBorder="1" applyAlignment="1">
      <alignment horizontal="right" wrapText="1"/>
    </xf>
    <xf numFmtId="10" fontId="91" fillId="0" borderId="1" xfId="1" applyNumberFormat="1" applyFont="1" applyBorder="1" applyAlignment="1" applyProtection="1">
      <alignment horizontal="center" vertical="center"/>
      <protection locked="0"/>
    </xf>
    <xf numFmtId="4" fontId="91" fillId="2" borderId="1" xfId="1" applyNumberFormat="1" applyFont="1" applyFill="1" applyBorder="1" applyAlignment="1" applyProtection="1">
      <alignment horizontal="center" vertical="center"/>
    </xf>
    <xf numFmtId="0" fontId="92" fillId="0" borderId="1" xfId="0" applyFont="1" applyBorder="1" applyAlignment="1" applyProtection="1">
      <alignment horizontal="center" vertical="center"/>
      <protection locked="0"/>
    </xf>
    <xf numFmtId="0" fontId="74" fillId="4" borderId="0" xfId="0" applyFont="1" applyFill="1" applyAlignment="1" applyProtection="1">
      <alignment horizontal="left" vertical="center" wrapText="1"/>
      <protection locked="0"/>
    </xf>
    <xf numFmtId="0" fontId="17" fillId="0" borderId="0" xfId="0" applyFont="1" applyAlignment="1">
      <alignment horizontal="left" vertical="center" wrapText="1"/>
    </xf>
    <xf numFmtId="4" fontId="91" fillId="2" borderId="0" xfId="1" applyNumberFormat="1" applyFont="1" applyFill="1" applyBorder="1" applyAlignment="1" applyProtection="1">
      <alignment horizontal="center" vertical="center"/>
    </xf>
    <xf numFmtId="49" fontId="108" fillId="0" borderId="3" xfId="1" applyNumberFormat="1" applyFont="1" applyBorder="1" applyAlignment="1" applyProtection="1">
      <alignment horizontal="left" vertical="center" wrapText="1"/>
      <protection locked="0"/>
    </xf>
    <xf numFmtId="49" fontId="108" fillId="0" borderId="4" xfId="1" applyNumberFormat="1" applyFont="1" applyBorder="1" applyAlignment="1" applyProtection="1">
      <alignment horizontal="left" vertical="center" wrapText="1"/>
      <protection locked="0"/>
    </xf>
    <xf numFmtId="49" fontId="108" fillId="0" borderId="5" xfId="1" applyNumberFormat="1" applyFont="1" applyBorder="1" applyAlignment="1" applyProtection="1">
      <alignment horizontal="left" vertical="center" wrapText="1"/>
      <protection locked="0"/>
    </xf>
    <xf numFmtId="49" fontId="91" fillId="0" borderId="3" xfId="0" applyNumberFormat="1" applyFont="1" applyBorder="1" applyAlignment="1" applyProtection="1">
      <alignment horizontal="center" vertical="center" wrapText="1"/>
      <protection locked="0"/>
    </xf>
    <xf numFmtId="49" fontId="91" fillId="0" borderId="4" xfId="0" applyNumberFormat="1" applyFont="1" applyBorder="1" applyAlignment="1" applyProtection="1">
      <alignment horizontal="center" vertical="center" wrapText="1"/>
      <protection locked="0"/>
    </xf>
    <xf numFmtId="4" fontId="91" fillId="0" borderId="3" xfId="0" applyNumberFormat="1" applyFont="1" applyBorder="1" applyAlignment="1" applyProtection="1">
      <alignment horizontal="center" vertical="center" wrapText="1"/>
      <protection locked="0"/>
    </xf>
    <xf numFmtId="4" fontId="91" fillId="0" borderId="4" xfId="0" applyNumberFormat="1" applyFont="1" applyBorder="1" applyAlignment="1" applyProtection="1">
      <alignment horizontal="center" vertical="center" wrapText="1"/>
      <protection locked="0"/>
    </xf>
    <xf numFmtId="4" fontId="91" fillId="0" borderId="5" xfId="0" applyNumberFormat="1" applyFont="1" applyBorder="1" applyAlignment="1" applyProtection="1">
      <alignment horizontal="center" vertical="center" wrapText="1"/>
      <protection locked="0"/>
    </xf>
    <xf numFmtId="9" fontId="91" fillId="0" borderId="3" xfId="1" applyFont="1" applyBorder="1" applyAlignment="1" applyProtection="1">
      <alignment horizontal="center" vertical="center"/>
      <protection locked="0"/>
    </xf>
    <xf numFmtId="9" fontId="91" fillId="0" borderId="4" xfId="1" applyFont="1" applyBorder="1" applyAlignment="1" applyProtection="1">
      <alignment horizontal="center" vertical="center"/>
      <protection locked="0"/>
    </xf>
    <xf numFmtId="49" fontId="105" fillId="0" borderId="3" xfId="0" applyNumberFormat="1" applyFont="1" applyBorder="1" applyAlignment="1" applyProtection="1">
      <alignment horizontal="center" vertical="center" wrapText="1"/>
      <protection locked="0"/>
    </xf>
    <xf numFmtId="49" fontId="105" fillId="0" borderId="4" xfId="0" applyNumberFormat="1" applyFont="1" applyBorder="1" applyAlignment="1" applyProtection="1">
      <alignment horizontal="center" vertical="center" wrapText="1"/>
      <protection locked="0"/>
    </xf>
    <xf numFmtId="49" fontId="105" fillId="0" borderId="5" xfId="0" applyNumberFormat="1" applyFont="1" applyBorder="1" applyAlignment="1" applyProtection="1">
      <alignment horizontal="center" vertical="center" wrapText="1"/>
      <protection locked="0"/>
    </xf>
    <xf numFmtId="14" fontId="105" fillId="0" borderId="3" xfId="0" applyNumberFormat="1" applyFont="1" applyBorder="1" applyAlignment="1" applyProtection="1">
      <alignment horizontal="center" vertical="center" wrapText="1"/>
      <protection locked="0"/>
    </xf>
    <xf numFmtId="14" fontId="105" fillId="0" borderId="4" xfId="0" applyNumberFormat="1" applyFont="1" applyBorder="1" applyAlignment="1" applyProtection="1">
      <alignment horizontal="center" vertical="center" wrapText="1"/>
      <protection locked="0"/>
    </xf>
    <xf numFmtId="14" fontId="105" fillId="0" borderId="5" xfId="0" applyNumberFormat="1" applyFont="1" applyBorder="1" applyAlignment="1" applyProtection="1">
      <alignment horizontal="center" vertical="center" wrapText="1"/>
      <protection locked="0"/>
    </xf>
    <xf numFmtId="2" fontId="105" fillId="0" borderId="3" xfId="0" applyNumberFormat="1" applyFont="1" applyBorder="1" applyAlignment="1" applyProtection="1">
      <alignment horizontal="left" vertical="center" wrapText="1"/>
      <protection locked="0"/>
    </xf>
    <xf numFmtId="2" fontId="105" fillId="0" borderId="4" xfId="0" applyNumberFormat="1" applyFont="1" applyBorder="1" applyAlignment="1" applyProtection="1">
      <alignment horizontal="left" vertical="center" wrapText="1"/>
      <protection locked="0"/>
    </xf>
    <xf numFmtId="2" fontId="105" fillId="0" borderId="5" xfId="0" applyNumberFormat="1" applyFont="1" applyBorder="1" applyAlignment="1" applyProtection="1">
      <alignment horizontal="left" vertical="center" wrapText="1"/>
      <protection locked="0"/>
    </xf>
    <xf numFmtId="0" fontId="90" fillId="0" borderId="0" xfId="0" quotePrefix="1" applyFont="1" applyAlignment="1" applyProtection="1">
      <alignment horizontal="center" vertical="center" wrapText="1"/>
      <protection locked="0"/>
    </xf>
    <xf numFmtId="0" fontId="90" fillId="0" borderId="0" xfId="0" applyFont="1" applyAlignment="1" applyProtection="1">
      <alignment horizontal="center" vertical="center" wrapText="1"/>
      <protection locked="0"/>
    </xf>
    <xf numFmtId="1" fontId="105" fillId="0" borderId="3" xfId="0" applyNumberFormat="1" applyFont="1" applyBorder="1" applyAlignment="1">
      <alignment horizontal="center" vertical="center" wrapText="1"/>
    </xf>
    <xf numFmtId="1" fontId="105" fillId="0" borderId="4" xfId="0" applyNumberFormat="1" applyFont="1" applyBorder="1" applyAlignment="1">
      <alignment horizontal="center" vertical="center" wrapText="1"/>
    </xf>
    <xf numFmtId="1" fontId="105" fillId="0" borderId="5" xfId="0" applyNumberFormat="1" applyFont="1" applyBorder="1" applyAlignment="1">
      <alignment horizontal="center" vertical="center" wrapText="1"/>
    </xf>
    <xf numFmtId="14" fontId="105" fillId="2" borderId="3" xfId="0" applyNumberFormat="1" applyFont="1" applyFill="1" applyBorder="1" applyAlignment="1">
      <alignment horizontal="center" vertical="center" wrapText="1"/>
    </xf>
    <xf numFmtId="14" fontId="105" fillId="2" borderId="4" xfId="0" applyNumberFormat="1" applyFont="1" applyFill="1" applyBorder="1" applyAlignment="1">
      <alignment horizontal="center" vertical="center" wrapText="1"/>
    </xf>
    <xf numFmtId="14" fontId="105" fillId="2" borderId="5" xfId="0" applyNumberFormat="1" applyFont="1" applyFill="1" applyBorder="1" applyAlignment="1">
      <alignment horizontal="center" vertical="center" wrapText="1"/>
    </xf>
    <xf numFmtId="2" fontId="105" fillId="0" borderId="3" xfId="0" applyNumberFormat="1" applyFont="1" applyBorder="1" applyAlignment="1">
      <alignment horizontal="center" vertical="center" wrapText="1"/>
    </xf>
    <xf numFmtId="2" fontId="105" fillId="0" borderId="4" xfId="0" applyNumberFormat="1" applyFont="1" applyBorder="1" applyAlignment="1">
      <alignment horizontal="center" vertical="center" wrapText="1"/>
    </xf>
    <xf numFmtId="2" fontId="105" fillId="0" borderId="5" xfId="0" applyNumberFormat="1" applyFont="1" applyBorder="1" applyAlignment="1">
      <alignment horizontal="center" vertical="center" wrapText="1"/>
    </xf>
    <xf numFmtId="2" fontId="105" fillId="0" borderId="3" xfId="0" applyNumberFormat="1" applyFont="1" applyBorder="1" applyAlignment="1">
      <alignment horizontal="left" vertical="center" wrapText="1"/>
    </xf>
    <xf numFmtId="2" fontId="105" fillId="0" borderId="5" xfId="0" applyNumberFormat="1" applyFont="1" applyBorder="1" applyAlignment="1">
      <alignment horizontal="left" vertical="center" wrapText="1"/>
    </xf>
    <xf numFmtId="2" fontId="105" fillId="0" borderId="4" xfId="0" applyNumberFormat="1" applyFont="1" applyBorder="1" applyAlignment="1">
      <alignment horizontal="left" vertical="center" wrapText="1"/>
    </xf>
    <xf numFmtId="0" fontId="92" fillId="0" borderId="4" xfId="0" applyFont="1" applyBorder="1" applyAlignment="1" applyProtection="1">
      <alignment horizontal="center" vertical="center"/>
      <protection locked="0"/>
    </xf>
    <xf numFmtId="0" fontId="92" fillId="0" borderId="5" xfId="0" applyFont="1" applyBorder="1" applyAlignment="1" applyProtection="1">
      <alignment horizontal="center" vertical="center"/>
      <protection locked="0"/>
    </xf>
    <xf numFmtId="4" fontId="92" fillId="2" borderId="3" xfId="0" applyNumberFormat="1" applyFont="1" applyFill="1" applyBorder="1" applyAlignment="1">
      <alignment horizontal="center" vertical="center"/>
    </xf>
    <xf numFmtId="0" fontId="92" fillId="2" borderId="4" xfId="0" applyFont="1" applyFill="1" applyBorder="1" applyAlignment="1">
      <alignment horizontal="center" vertical="center"/>
    </xf>
    <xf numFmtId="0" fontId="91" fillId="0" borderId="5" xfId="0" applyFont="1" applyBorder="1" applyAlignment="1" applyProtection="1">
      <alignment horizontal="center" vertical="center" wrapText="1"/>
      <protection locked="0"/>
    </xf>
    <xf numFmtId="0" fontId="49" fillId="0" borderId="1" xfId="0" applyFont="1" applyBorder="1" applyAlignment="1">
      <alignment horizontal="left" vertical="center" wrapText="1"/>
    </xf>
    <xf numFmtId="0" fontId="35" fillId="0" borderId="0" xfId="0" applyFont="1" applyAlignment="1">
      <alignment horizontal="left" vertical="center" wrapText="1"/>
    </xf>
    <xf numFmtId="0" fontId="36" fillId="0" borderId="0" xfId="0" applyFont="1" applyAlignment="1">
      <alignment horizontal="left" vertical="center" wrapText="1"/>
    </xf>
    <xf numFmtId="0" fontId="49" fillId="0" borderId="1" xfId="0" applyFont="1" applyBorder="1" applyAlignment="1" applyProtection="1">
      <alignment horizontal="left" vertical="center" wrapText="1"/>
      <protection locked="0"/>
    </xf>
    <xf numFmtId="0" fontId="49" fillId="2" borderId="3" xfId="0" applyFont="1" applyFill="1" applyBorder="1" applyAlignment="1">
      <alignment horizontal="center" vertical="center" wrapText="1"/>
    </xf>
    <xf numFmtId="0" fontId="49" fillId="2" borderId="4" xfId="0" applyFont="1" applyFill="1" applyBorder="1" applyAlignment="1">
      <alignment horizontal="center" vertical="center" wrapText="1"/>
    </xf>
    <xf numFmtId="0" fontId="49" fillId="2" borderId="5" xfId="0" applyFont="1" applyFill="1" applyBorder="1" applyAlignment="1">
      <alignment horizontal="center" vertical="center" wrapText="1"/>
    </xf>
    <xf numFmtId="0" fontId="45" fillId="0" borderId="6" xfId="0" applyFont="1" applyBorder="1" applyAlignment="1" applyProtection="1">
      <alignment horizontal="center"/>
      <protection locked="0"/>
    </xf>
    <xf numFmtId="0" fontId="49" fillId="0" borderId="6" xfId="0" applyFont="1" applyBorder="1" applyAlignment="1" applyProtection="1">
      <alignment horizontal="center"/>
      <protection locked="0"/>
    </xf>
    <xf numFmtId="14" fontId="49" fillId="0" borderId="6" xfId="0" applyNumberFormat="1" applyFont="1" applyBorder="1" applyAlignment="1" applyProtection="1">
      <alignment horizontal="center"/>
      <protection locked="0"/>
    </xf>
    <xf numFmtId="0" fontId="87" fillId="5" borderId="2" xfId="0" applyFont="1" applyFill="1" applyBorder="1" applyAlignment="1">
      <alignment horizontal="center" vertical="top" wrapText="1"/>
    </xf>
    <xf numFmtId="0" fontId="54" fillId="0" borderId="0" xfId="0" applyFont="1" applyAlignment="1">
      <alignment horizontal="center" vertical="center" wrapText="1"/>
    </xf>
    <xf numFmtId="0" fontId="90" fillId="0" borderId="6" xfId="0" applyFont="1" applyBorder="1" applyAlignment="1">
      <alignment horizontal="left" vertical="center"/>
    </xf>
    <xf numFmtId="0" fontId="90" fillId="0" borderId="45" xfId="0" applyFont="1" applyBorder="1" applyAlignment="1">
      <alignment horizontal="left" vertical="center"/>
    </xf>
    <xf numFmtId="0" fontId="47" fillId="0" borderId="0" xfId="0" applyFont="1" applyAlignment="1">
      <alignment horizontal="left" vertical="center"/>
    </xf>
    <xf numFmtId="0" fontId="14" fillId="0" borderId="0" xfId="0" applyFont="1" applyAlignment="1" applyProtection="1">
      <alignment horizontal="left" vertical="center" wrapText="1"/>
      <protection locked="0"/>
    </xf>
    <xf numFmtId="0" fontId="31" fillId="0" borderId="0" xfId="0" applyFont="1" applyAlignment="1">
      <alignment horizontal="center" vertical="center"/>
    </xf>
    <xf numFmtId="0" fontId="20" fillId="0" borderId="0" xfId="0" applyFont="1" applyAlignment="1">
      <alignment horizontal="left" vertical="center" wrapText="1"/>
    </xf>
    <xf numFmtId="0" fontId="31" fillId="0" borderId="0" xfId="0" applyFont="1" applyAlignment="1">
      <alignment horizontal="left" vertical="center" wrapText="1"/>
    </xf>
    <xf numFmtId="0" fontId="31" fillId="0" borderId="10" xfId="0" applyFont="1" applyBorder="1" applyAlignment="1">
      <alignment horizontal="left" vertical="center" wrapText="1"/>
    </xf>
    <xf numFmtId="0" fontId="49" fillId="0" borderId="3" xfId="0" applyFont="1" applyBorder="1" applyAlignment="1" applyProtection="1">
      <alignment horizontal="left" vertical="center" wrapText="1"/>
      <protection locked="0"/>
    </xf>
    <xf numFmtId="4" fontId="91" fillId="2" borderId="3" xfId="1" applyNumberFormat="1" applyFont="1" applyFill="1" applyBorder="1" applyAlignment="1" applyProtection="1">
      <alignment horizontal="center" vertical="center" wrapText="1"/>
    </xf>
    <xf numFmtId="4" fontId="91" fillId="2" borderId="5" xfId="1" applyNumberFormat="1" applyFont="1" applyFill="1" applyBorder="1" applyAlignment="1" applyProtection="1">
      <alignment horizontal="center" vertical="center" wrapText="1"/>
    </xf>
    <xf numFmtId="10" fontId="102" fillId="0" borderId="4" xfId="1" applyNumberFormat="1" applyFont="1" applyFill="1" applyBorder="1" applyAlignment="1" applyProtection="1">
      <alignment horizontal="center" vertical="center" wrapText="1"/>
      <protection locked="0"/>
    </xf>
    <xf numFmtId="10" fontId="102" fillId="0" borderId="5" xfId="1" applyNumberFormat="1" applyFont="1" applyFill="1" applyBorder="1" applyAlignment="1" applyProtection="1">
      <alignment horizontal="center" vertical="center" wrapText="1"/>
      <protection locked="0"/>
    </xf>
    <xf numFmtId="4" fontId="91" fillId="2" borderId="4" xfId="1" applyNumberFormat="1" applyFont="1" applyFill="1" applyBorder="1" applyAlignment="1" applyProtection="1">
      <alignment horizontal="center" vertical="center" wrapText="1"/>
    </xf>
    <xf numFmtId="10" fontId="91" fillId="0" borderId="3" xfId="1" applyNumberFormat="1" applyFont="1" applyBorder="1" applyAlignment="1" applyProtection="1">
      <alignment horizontal="center" vertical="center" wrapText="1"/>
      <protection locked="0"/>
    </xf>
    <xf numFmtId="10" fontId="91" fillId="0" borderId="4" xfId="1" applyNumberFormat="1" applyFont="1" applyBorder="1" applyAlignment="1" applyProtection="1">
      <alignment horizontal="center" vertical="center" wrapText="1"/>
      <protection locked="0"/>
    </xf>
    <xf numFmtId="10" fontId="91" fillId="0" borderId="5" xfId="1" applyNumberFormat="1" applyFont="1" applyBorder="1" applyAlignment="1" applyProtection="1">
      <alignment horizontal="center" vertical="center" wrapText="1"/>
      <protection locked="0"/>
    </xf>
    <xf numFmtId="4" fontId="92" fillId="2" borderId="1" xfId="0" applyNumberFormat="1" applyFont="1" applyFill="1" applyBorder="1" applyAlignment="1">
      <alignment horizontal="center" vertical="center" wrapText="1"/>
    </xf>
    <xf numFmtId="0" fontId="27" fillId="0" borderId="0" xfId="0" applyFont="1" applyAlignment="1">
      <alignment horizontal="center" vertical="center"/>
    </xf>
    <xf numFmtId="49" fontId="26" fillId="0" borderId="1" xfId="0" applyNumberFormat="1" applyFont="1" applyBorder="1" applyAlignment="1" applyProtection="1">
      <alignment wrapText="1"/>
      <protection locked="0"/>
    </xf>
    <xf numFmtId="0" fontId="92" fillId="0" borderId="1" xfId="0" applyFont="1" applyBorder="1" applyAlignment="1" applyProtection="1">
      <alignment horizontal="center" vertical="center" wrapText="1"/>
      <protection locked="0"/>
    </xf>
    <xf numFmtId="4" fontId="91" fillId="2" borderId="1" xfId="1" applyNumberFormat="1" applyFont="1" applyFill="1" applyBorder="1" applyAlignment="1" applyProtection="1">
      <alignment horizontal="center" vertical="center" wrapText="1"/>
    </xf>
    <xf numFmtId="10" fontId="91" fillId="0" borderId="1" xfId="1" applyNumberFormat="1" applyFont="1" applyBorder="1" applyAlignment="1" applyProtection="1">
      <alignment horizontal="center" vertical="center" wrapText="1"/>
      <protection locked="0"/>
    </xf>
    <xf numFmtId="4" fontId="92" fillId="2" borderId="4" xfId="0" applyNumberFormat="1" applyFont="1" applyFill="1" applyBorder="1" applyAlignment="1">
      <alignment horizontal="center" vertical="center" wrapText="1"/>
    </xf>
    <xf numFmtId="4" fontId="92" fillId="2" borderId="5" xfId="0" applyNumberFormat="1" applyFont="1" applyFill="1" applyBorder="1" applyAlignment="1">
      <alignment horizontal="center" vertical="center" wrapText="1"/>
    </xf>
    <xf numFmtId="0" fontId="23" fillId="0" borderId="0" xfId="0" applyFont="1" applyAlignment="1">
      <alignment horizontal="center" vertical="center"/>
    </xf>
    <xf numFmtId="49" fontId="26" fillId="0" borderId="1" xfId="0" applyNumberFormat="1" applyFont="1" applyBorder="1" applyAlignment="1" applyProtection="1">
      <alignment horizontal="left" wrapText="1"/>
      <protection locked="0"/>
    </xf>
    <xf numFmtId="49" fontId="32" fillId="0" borderId="1" xfId="0" applyNumberFormat="1" applyFont="1" applyBorder="1" applyAlignment="1" applyProtection="1">
      <alignment horizontal="center" vertical="center" wrapText="1"/>
      <protection locked="0"/>
    </xf>
    <xf numFmtId="0" fontId="49" fillId="0" borderId="2" xfId="0" applyFont="1" applyBorder="1" applyAlignment="1" applyProtection="1">
      <alignment horizontal="left" vertical="center" wrapText="1"/>
      <protection locked="0"/>
    </xf>
    <xf numFmtId="0" fontId="90" fillId="0" borderId="3" xfId="0" applyFont="1" applyBorder="1" applyAlignment="1">
      <alignment horizontal="right" wrapText="1"/>
    </xf>
    <xf numFmtId="0" fontId="90" fillId="0" borderId="4" xfId="0" applyFont="1" applyBorder="1" applyAlignment="1">
      <alignment horizontal="right" wrapText="1"/>
    </xf>
    <xf numFmtId="0" fontId="90" fillId="0" borderId="5" xfId="0" applyFont="1" applyBorder="1" applyAlignment="1">
      <alignment horizontal="right" wrapText="1"/>
    </xf>
    <xf numFmtId="0" fontId="49" fillId="0" borderId="3" xfId="0" applyFont="1" applyBorder="1" applyAlignment="1">
      <alignment horizontal="left" vertical="center" wrapText="1"/>
    </xf>
    <xf numFmtId="0" fontId="49" fillId="0" borderId="4" xfId="0" applyFont="1" applyBorder="1" applyAlignment="1">
      <alignment horizontal="left" vertical="center" wrapText="1"/>
    </xf>
    <xf numFmtId="0" fontId="49" fillId="0" borderId="5" xfId="0" applyFont="1" applyBorder="1" applyAlignment="1">
      <alignment horizontal="left" vertical="center" wrapText="1"/>
    </xf>
    <xf numFmtId="49" fontId="30" fillId="0" borderId="1" xfId="0" applyNumberFormat="1" applyFont="1" applyBorder="1" applyAlignment="1" applyProtection="1">
      <alignment wrapText="1"/>
      <protection locked="0"/>
    </xf>
    <xf numFmtId="44" fontId="32" fillId="0" borderId="1" xfId="0" applyNumberFormat="1" applyFont="1" applyBorder="1" applyAlignment="1" applyProtection="1">
      <alignment horizontal="center" wrapText="1"/>
      <protection locked="0"/>
    </xf>
    <xf numFmtId="0" fontId="30" fillId="0" borderId="0" xfId="0" applyFont="1" applyAlignment="1">
      <alignment horizontal="center" vertical="center"/>
    </xf>
    <xf numFmtId="49" fontId="5" fillId="0" borderId="1" xfId="0" applyNumberFormat="1" applyFont="1" applyBorder="1" applyAlignment="1" applyProtection="1">
      <alignment horizontal="left" vertical="center" wrapText="1"/>
      <protection locked="0"/>
    </xf>
    <xf numFmtId="49" fontId="30" fillId="0" borderId="1" xfId="0" applyNumberFormat="1" applyFont="1" applyBorder="1" applyAlignment="1" applyProtection="1">
      <alignment horizontal="left" vertical="center" wrapText="1"/>
      <protection locked="0"/>
    </xf>
    <xf numFmtId="49" fontId="32" fillId="0" borderId="1" xfId="0" applyNumberFormat="1" applyFont="1" applyBorder="1" applyAlignment="1" applyProtection="1">
      <alignment horizontal="left" vertical="center" wrapText="1"/>
      <protection locked="0"/>
    </xf>
    <xf numFmtId="44" fontId="32" fillId="0" borderId="1" xfId="3" applyFont="1" applyBorder="1" applyAlignment="1" applyProtection="1">
      <alignment horizontal="center" vertical="center" wrapText="1"/>
      <protection locked="0"/>
    </xf>
    <xf numFmtId="0" fontId="42" fillId="0" borderId="0" xfId="0" applyFont="1" applyAlignment="1" applyProtection="1">
      <alignment horizontal="left" vertical="center" wrapText="1"/>
      <protection locked="0"/>
    </xf>
    <xf numFmtId="10" fontId="49" fillId="2" borderId="46" xfId="1" applyNumberFormat="1" applyFont="1" applyFill="1" applyBorder="1" applyAlignment="1" applyProtection="1">
      <alignment horizontal="center"/>
    </xf>
    <xf numFmtId="2" fontId="105" fillId="2" borderId="3" xfId="0" applyNumberFormat="1" applyFont="1" applyFill="1" applyBorder="1" applyAlignment="1">
      <alignment horizontal="center" vertical="center" wrapText="1"/>
    </xf>
    <xf numFmtId="2" fontId="105" fillId="2" borderId="4" xfId="0" applyNumberFormat="1" applyFont="1" applyFill="1" applyBorder="1" applyAlignment="1">
      <alignment horizontal="center" vertical="center" wrapText="1"/>
    </xf>
    <xf numFmtId="2" fontId="105" fillId="2" borderId="5" xfId="0" applyNumberFormat="1" applyFont="1" applyFill="1" applyBorder="1" applyAlignment="1">
      <alignment horizontal="center" vertical="center" wrapText="1"/>
    </xf>
    <xf numFmtId="1" fontId="105" fillId="0" borderId="3" xfId="0" applyNumberFormat="1" applyFont="1" applyBorder="1" applyAlignment="1">
      <alignment horizontal="left" vertical="center" wrapText="1"/>
    </xf>
    <xf numFmtId="1" fontId="105" fillId="0" borderId="4" xfId="0" applyNumberFormat="1" applyFont="1" applyBorder="1" applyAlignment="1">
      <alignment horizontal="left" vertical="center" wrapText="1"/>
    </xf>
    <xf numFmtId="1" fontId="105" fillId="0" borderId="5" xfId="0" applyNumberFormat="1" applyFont="1" applyBorder="1" applyAlignment="1">
      <alignment horizontal="left" vertical="center" wrapText="1"/>
    </xf>
    <xf numFmtId="0" fontId="49" fillId="0" borderId="1" xfId="0" applyFont="1" applyBorder="1" applyAlignment="1" applyProtection="1">
      <alignment horizontal="center"/>
      <protection locked="0"/>
    </xf>
    <xf numFmtId="14" fontId="49" fillId="0" borderId="1" xfId="0" applyNumberFormat="1" applyFont="1" applyBorder="1" applyAlignment="1" applyProtection="1">
      <alignment horizontal="center"/>
      <protection locked="0"/>
    </xf>
    <xf numFmtId="0" fontId="5" fillId="0" borderId="1" xfId="0" applyFont="1" applyBorder="1" applyAlignment="1">
      <alignment horizontal="left" vertical="center" wrapText="1"/>
    </xf>
    <xf numFmtId="0" fontId="32" fillId="0" borderId="1" xfId="0" applyFont="1" applyBorder="1" applyAlignment="1">
      <alignment horizontal="left" vertical="center" wrapText="1"/>
    </xf>
    <xf numFmtId="165" fontId="49" fillId="2" borderId="46" xfId="0" applyNumberFormat="1" applyFont="1" applyFill="1" applyBorder="1" applyAlignment="1">
      <alignment horizontal="center"/>
    </xf>
    <xf numFmtId="0" fontId="42" fillId="2" borderId="1" xfId="0" applyFont="1" applyFill="1" applyBorder="1" applyAlignment="1">
      <alignment horizontal="center"/>
    </xf>
    <xf numFmtId="0" fontId="49" fillId="2" borderId="1" xfId="0" applyFont="1" applyFill="1" applyBorder="1" applyAlignment="1">
      <alignment horizontal="center"/>
    </xf>
    <xf numFmtId="0" fontId="89" fillId="0" borderId="10" xfId="0" applyFont="1" applyBorder="1" applyAlignment="1">
      <alignment horizontal="left" vertical="center" wrapText="1"/>
    </xf>
    <xf numFmtId="2" fontId="90" fillId="0" borderId="3" xfId="0" applyNumberFormat="1" applyFont="1" applyBorder="1" applyAlignment="1" applyProtection="1">
      <alignment horizontal="center" wrapText="1"/>
      <protection locked="0"/>
    </xf>
    <xf numFmtId="2" fontId="90" fillId="0" borderId="4" xfId="0" applyNumberFormat="1" applyFont="1" applyBorder="1" applyAlignment="1" applyProtection="1">
      <alignment horizontal="center" wrapText="1"/>
      <protection locked="0"/>
    </xf>
    <xf numFmtId="0" fontId="32" fillId="0" borderId="6" xfId="0" applyFont="1" applyBorder="1" applyAlignment="1">
      <alignment horizontal="left" vertical="center" wrapText="1"/>
    </xf>
    <xf numFmtId="0" fontId="32" fillId="0" borderId="47" xfId="0" applyFont="1" applyBorder="1" applyAlignment="1">
      <alignment horizontal="left" vertical="center" wrapText="1"/>
    </xf>
    <xf numFmtId="0" fontId="90" fillId="0" borderId="6" xfId="0" applyFont="1" applyBorder="1" applyAlignment="1" applyProtection="1">
      <alignment horizontal="left" vertical="center" wrapText="1"/>
      <protection locked="0"/>
    </xf>
    <xf numFmtId="0" fontId="39" fillId="0" borderId="1" xfId="0" applyFont="1" applyBorder="1" applyAlignment="1">
      <alignment horizontal="left" vertical="center" wrapText="1"/>
    </xf>
    <xf numFmtId="0" fontId="35" fillId="0" borderId="1" xfId="0" applyFont="1" applyBorder="1" applyAlignment="1">
      <alignment horizontal="left" vertical="center" wrapText="1"/>
    </xf>
    <xf numFmtId="10" fontId="32" fillId="2" borderId="3" xfId="1" applyNumberFormat="1" applyFont="1" applyFill="1" applyBorder="1" applyAlignment="1" applyProtection="1">
      <alignment horizontal="center" vertical="center"/>
    </xf>
    <xf numFmtId="10" fontId="32" fillId="2" borderId="5" xfId="1" applyNumberFormat="1" applyFont="1" applyFill="1" applyBorder="1" applyAlignment="1" applyProtection="1">
      <alignment horizontal="center" vertical="center"/>
    </xf>
    <xf numFmtId="0" fontId="54" fillId="0" borderId="0" xfId="0" applyFont="1" applyAlignment="1" applyProtection="1">
      <alignment horizontal="left" vertical="center" wrapText="1"/>
      <protection locked="0"/>
    </xf>
    <xf numFmtId="0" fontId="32" fillId="0" borderId="6" xfId="0" applyFont="1" applyBorder="1" applyAlignment="1">
      <alignment horizontal="center" vertical="center" wrapText="1"/>
    </xf>
    <xf numFmtId="0" fontId="32" fillId="0" borderId="47" xfId="0" applyFont="1" applyBorder="1" applyAlignment="1">
      <alignment horizontal="center" vertical="center" wrapText="1"/>
    </xf>
    <xf numFmtId="0" fontId="46" fillId="0" borderId="4" xfId="0" applyFont="1" applyBorder="1" applyAlignment="1">
      <alignment horizontal="left" vertical="center"/>
    </xf>
    <xf numFmtId="0" fontId="49" fillId="0" borderId="4" xfId="0" applyFont="1" applyBorder="1" applyAlignment="1">
      <alignment horizontal="left" vertical="center"/>
    </xf>
    <xf numFmtId="0" fontId="49" fillId="0" borderId="5" xfId="0" applyFont="1" applyBorder="1" applyAlignment="1">
      <alignment horizontal="left" vertical="center"/>
    </xf>
    <xf numFmtId="0" fontId="61" fillId="0" borderId="0" xfId="0" applyFont="1" applyAlignment="1" applyProtection="1">
      <alignment horizontal="center"/>
      <protection locked="0"/>
    </xf>
    <xf numFmtId="0" fontId="39" fillId="0" borderId="1" xfId="0" applyFont="1" applyBorder="1" applyAlignment="1" applyProtection="1">
      <alignment horizontal="center" vertical="center"/>
      <protection locked="0"/>
    </xf>
    <xf numFmtId="0" fontId="49" fillId="0" borderId="1" xfId="0" applyFont="1" applyBorder="1" applyAlignment="1" applyProtection="1">
      <alignment horizontal="center" vertical="center"/>
      <protection locked="0"/>
    </xf>
    <xf numFmtId="0" fontId="42" fillId="0" borderId="3" xfId="0" applyFont="1" applyBorder="1" applyAlignment="1" applyProtection="1">
      <alignment horizontal="left" vertical="center"/>
      <protection locked="0"/>
    </xf>
    <xf numFmtId="0" fontId="49" fillId="0" borderId="4" xfId="0" applyFont="1" applyBorder="1" applyAlignment="1" applyProtection="1">
      <alignment horizontal="left" vertical="center"/>
      <protection locked="0"/>
    </xf>
    <xf numFmtId="0" fontId="49" fillId="0" borderId="5" xfId="0" applyFont="1" applyBorder="1" applyAlignment="1" applyProtection="1">
      <alignment horizontal="left" vertical="center"/>
      <protection locked="0"/>
    </xf>
    <xf numFmtId="0" fontId="24" fillId="0" borderId="1" xfId="0" applyFont="1" applyBorder="1" applyAlignment="1">
      <alignment horizontal="center" vertical="center"/>
    </xf>
    <xf numFmtId="0" fontId="42" fillId="0" borderId="6" xfId="0" applyFont="1" applyBorder="1" applyAlignment="1" applyProtection="1">
      <alignment horizontal="center"/>
      <protection locked="0"/>
    </xf>
    <xf numFmtId="0" fontId="38" fillId="0" borderId="0" xfId="0" applyFont="1" applyAlignment="1" applyProtection="1">
      <alignment horizontal="center" vertical="center"/>
      <protection locked="0"/>
    </xf>
    <xf numFmtId="0" fontId="34" fillId="0" borderId="0" xfId="0" applyFont="1" applyAlignment="1">
      <alignment horizontal="left" vertical="center"/>
    </xf>
    <xf numFmtId="164" fontId="54" fillId="0" borderId="1" xfId="0" applyNumberFormat="1" applyFont="1" applyBorder="1" applyAlignment="1" applyProtection="1">
      <alignment horizontal="center"/>
      <protection locked="0"/>
    </xf>
    <xf numFmtId="0" fontId="41" fillId="0" borderId="0" xfId="0" applyFont="1" applyAlignment="1">
      <alignment horizontal="left" vertical="center"/>
    </xf>
    <xf numFmtId="0" fontId="5" fillId="0" borderId="0" xfId="0" applyFont="1" applyAlignment="1">
      <alignment horizontal="left" vertical="center" wrapText="1"/>
    </xf>
    <xf numFmtId="0" fontId="41" fillId="0" borderId="0" xfId="0" applyFont="1" applyAlignment="1">
      <alignment horizontal="left" vertical="center" wrapText="1"/>
    </xf>
    <xf numFmtId="0" fontId="34" fillId="0" borderId="0" xfId="0" applyFont="1" applyAlignment="1" applyProtection="1">
      <alignment horizontal="center" vertical="center"/>
      <protection locked="0"/>
    </xf>
    <xf numFmtId="0" fontId="42" fillId="0" borderId="0" xfId="0" applyFont="1" applyAlignment="1" applyProtection="1">
      <alignment horizontal="center" vertical="center"/>
      <protection locked="0"/>
    </xf>
    <xf numFmtId="0" fontId="49" fillId="0" borderId="44" xfId="0" applyFont="1" applyBorder="1" applyAlignment="1">
      <alignment horizontal="left" vertical="center"/>
    </xf>
    <xf numFmtId="0" fontId="2"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85" fillId="0" borderId="3" xfId="0" applyFont="1" applyBorder="1" applyAlignment="1">
      <alignment horizontal="center" vertical="center" wrapText="1"/>
    </xf>
    <xf numFmtId="0" fontId="85" fillId="0" borderId="4" xfId="0" applyFont="1" applyBorder="1" applyAlignment="1">
      <alignment horizontal="center" vertical="center" wrapText="1"/>
    </xf>
    <xf numFmtId="0" fontId="85" fillId="0" borderId="5" xfId="0" applyFont="1" applyBorder="1" applyAlignment="1">
      <alignment horizontal="center" vertical="center" wrapText="1"/>
    </xf>
    <xf numFmtId="4" fontId="56" fillId="2" borderId="6" xfId="2" applyNumberFormat="1" applyFill="1" applyBorder="1" applyAlignment="1">
      <alignment horizontal="center"/>
    </xf>
    <xf numFmtId="0" fontId="56" fillId="2" borderId="6" xfId="2" applyFill="1" applyBorder="1" applyAlignment="1">
      <alignment horizontal="center"/>
    </xf>
    <xf numFmtId="0" fontId="34" fillId="0" borderId="0" xfId="0" applyFont="1" applyAlignment="1">
      <alignment horizontal="left" vertical="center" wrapText="1"/>
    </xf>
    <xf numFmtId="0" fontId="42" fillId="0" borderId="1" xfId="0" applyFont="1" applyBorder="1" applyAlignment="1" applyProtection="1">
      <alignment horizontal="left" vertical="center"/>
      <protection locked="0"/>
    </xf>
    <xf numFmtId="0" fontId="49" fillId="0" borderId="1" xfId="0" applyFont="1" applyBorder="1" applyAlignment="1" applyProtection="1">
      <alignment horizontal="left" vertical="center"/>
      <protection locked="0"/>
    </xf>
    <xf numFmtId="167" fontId="91" fillId="2" borderId="0" xfId="1" applyNumberFormat="1" applyFont="1" applyFill="1" applyBorder="1" applyAlignment="1" applyProtection="1">
      <alignment horizontal="center" vertical="center"/>
    </xf>
    <xf numFmtId="0" fontId="90" fillId="0" borderId="3" xfId="0" applyFont="1" applyBorder="1" applyAlignment="1" applyProtection="1">
      <alignment horizontal="left" vertical="center" wrapText="1"/>
      <protection locked="0"/>
    </xf>
    <xf numFmtId="0" fontId="90" fillId="0" borderId="4" xfId="0" applyFont="1" applyBorder="1" applyAlignment="1" applyProtection="1">
      <alignment horizontal="left" vertical="center" wrapText="1"/>
      <protection locked="0"/>
    </xf>
    <xf numFmtId="0" fontId="90" fillId="0" borderId="5" xfId="0" applyFont="1" applyBorder="1" applyAlignment="1" applyProtection="1">
      <alignment horizontal="left" vertical="center" wrapText="1"/>
      <protection locked="0"/>
    </xf>
    <xf numFmtId="1" fontId="54" fillId="2" borderId="3" xfId="0" applyNumberFormat="1" applyFont="1" applyFill="1" applyBorder="1" applyAlignment="1">
      <alignment horizontal="center" vertical="center"/>
    </xf>
    <xf numFmtId="1" fontId="54" fillId="2" borderId="4" xfId="0" applyNumberFormat="1" applyFont="1" applyFill="1" applyBorder="1" applyAlignment="1">
      <alignment horizontal="center" vertical="center"/>
    </xf>
    <xf numFmtId="1" fontId="54" fillId="2" borderId="5" xfId="0" applyNumberFormat="1" applyFont="1" applyFill="1" applyBorder="1" applyAlignment="1">
      <alignment horizontal="center" vertical="center"/>
    </xf>
    <xf numFmtId="0" fontId="30" fillId="0" borderId="1" xfId="0" applyFont="1" applyBorder="1" applyAlignment="1">
      <alignment horizontal="left" vertical="center" wrapText="1"/>
    </xf>
    <xf numFmtId="0" fontId="89" fillId="0" borderId="0" xfId="0" applyFont="1" applyAlignment="1" applyProtection="1">
      <alignment horizontal="left" vertical="center" wrapText="1"/>
      <protection locked="0"/>
    </xf>
    <xf numFmtId="0" fontId="90" fillId="0" borderId="1" xfId="0" applyFont="1" applyBorder="1" applyAlignment="1" applyProtection="1">
      <alignment horizontal="left" vertical="center" wrapText="1"/>
      <protection locked="0"/>
    </xf>
    <xf numFmtId="1" fontId="90" fillId="0" borderId="1" xfId="0" applyNumberFormat="1" applyFont="1" applyBorder="1" applyAlignment="1" applyProtection="1">
      <alignment horizontal="left" vertical="center" wrapText="1"/>
      <protection locked="0"/>
    </xf>
    <xf numFmtId="0" fontId="92" fillId="0" borderId="0" xfId="0" applyFont="1" applyAlignment="1">
      <alignment horizontal="left" vertical="center" wrapText="1"/>
    </xf>
    <xf numFmtId="168" fontId="90" fillId="0" borderId="1" xfId="0" applyNumberFormat="1" applyFont="1" applyBorder="1" applyAlignment="1" applyProtection="1">
      <alignment horizontal="center" vertical="center" wrapText="1"/>
      <protection locked="0"/>
    </xf>
    <xf numFmtId="0" fontId="89" fillId="0" borderId="1" xfId="0" applyFont="1" applyBorder="1" applyAlignment="1" applyProtection="1">
      <alignment horizontal="left" vertical="center" wrapText="1"/>
      <protection locked="0"/>
    </xf>
    <xf numFmtId="0" fontId="56" fillId="0" borderId="48" xfId="2" applyFill="1" applyBorder="1" applyAlignment="1" applyProtection="1">
      <alignment horizontal="center" vertical="center" wrapText="1"/>
      <protection locked="0"/>
    </xf>
    <xf numFmtId="1" fontId="54" fillId="0" borderId="3" xfId="0" applyNumberFormat="1" applyFont="1" applyBorder="1" applyAlignment="1" applyProtection="1">
      <alignment horizontal="center" vertical="center"/>
      <protection locked="0"/>
    </xf>
    <xf numFmtId="1" fontId="54" fillId="0" borderId="4" xfId="0" applyNumberFormat="1" applyFont="1" applyBorder="1" applyAlignment="1" applyProtection="1">
      <alignment horizontal="center" vertical="center"/>
      <protection locked="0"/>
    </xf>
    <xf numFmtId="1" fontId="54" fillId="0" borderId="5" xfId="0" applyNumberFormat="1" applyFont="1" applyBorder="1" applyAlignment="1" applyProtection="1">
      <alignment horizontal="center" vertical="center"/>
      <protection locked="0"/>
    </xf>
    <xf numFmtId="2" fontId="54" fillId="0" borderId="3" xfId="0" applyNumberFormat="1" applyFont="1" applyBorder="1" applyAlignment="1" applyProtection="1">
      <alignment horizontal="center" vertical="center"/>
      <protection locked="0"/>
    </xf>
    <xf numFmtId="2" fontId="54" fillId="0" borderId="4" xfId="0" applyNumberFormat="1" applyFont="1" applyBorder="1" applyAlignment="1" applyProtection="1">
      <alignment horizontal="center" vertical="center"/>
      <protection locked="0"/>
    </xf>
    <xf numFmtId="2" fontId="54" fillId="0" borderId="5" xfId="0" applyNumberFormat="1" applyFont="1" applyBorder="1" applyAlignment="1" applyProtection="1">
      <alignment horizontal="center" vertical="center"/>
      <protection locked="0"/>
    </xf>
    <xf numFmtId="49" fontId="9" fillId="0" borderId="1" xfId="0" applyNumberFormat="1" applyFont="1" applyBorder="1" applyAlignment="1">
      <alignment horizontal="left" vertical="center" wrapText="1"/>
    </xf>
    <xf numFmtId="49" fontId="32" fillId="0" borderId="1" xfId="0" applyNumberFormat="1" applyFont="1" applyBorder="1" applyAlignment="1">
      <alignment horizontal="left" vertical="center" wrapText="1"/>
    </xf>
    <xf numFmtId="4" fontId="54" fillId="0" borderId="1" xfId="0" applyNumberFormat="1" applyFont="1" applyBorder="1" applyAlignment="1" applyProtection="1">
      <alignment horizontal="center" vertical="center" wrapText="1"/>
      <protection locked="0"/>
    </xf>
    <xf numFmtId="44" fontId="91" fillId="0" borderId="0" xfId="3" applyFont="1" applyFill="1" applyBorder="1" applyAlignment="1" applyProtection="1">
      <alignment horizontal="center" vertical="center"/>
      <protection locked="0"/>
    </xf>
    <xf numFmtId="49" fontId="8" fillId="0" borderId="3" xfId="0" applyNumberFormat="1" applyFont="1" applyBorder="1" applyAlignment="1">
      <alignment horizontal="left" vertical="center" wrapText="1"/>
    </xf>
    <xf numFmtId="49" fontId="8" fillId="0" borderId="4" xfId="0" applyNumberFormat="1" applyFont="1" applyBorder="1" applyAlignment="1">
      <alignment horizontal="left" vertical="center" wrapText="1"/>
    </xf>
    <xf numFmtId="49" fontId="8" fillId="0" borderId="5" xfId="0" applyNumberFormat="1" applyFont="1" applyBorder="1" applyAlignment="1">
      <alignment horizontal="left" vertical="center" wrapText="1"/>
    </xf>
    <xf numFmtId="0" fontId="114" fillId="0" borderId="1" xfId="0" applyFont="1" applyBorder="1" applyAlignment="1">
      <alignment horizontal="left" vertical="center" wrapText="1"/>
    </xf>
    <xf numFmtId="4" fontId="115" fillId="2" borderId="1" xfId="1" applyNumberFormat="1" applyFont="1" applyFill="1" applyBorder="1" applyAlignment="1" applyProtection="1">
      <alignment horizontal="center" vertical="center"/>
    </xf>
    <xf numFmtId="10" fontId="116" fillId="2" borderId="1" xfId="1" applyNumberFormat="1" applyFont="1" applyFill="1" applyBorder="1" applyAlignment="1" applyProtection="1">
      <alignment horizontal="center" vertical="center"/>
    </xf>
    <xf numFmtId="0" fontId="114" fillId="5" borderId="1" xfId="0" applyFont="1" applyFill="1" applyBorder="1" applyAlignment="1">
      <alignment horizontal="left" vertical="center" wrapText="1"/>
    </xf>
    <xf numFmtId="0" fontId="90" fillId="0" borderId="2" xfId="0" applyFont="1" applyBorder="1" applyAlignment="1">
      <alignment horizontal="left" vertical="center" wrapText="1"/>
    </xf>
    <xf numFmtId="0" fontId="89" fillId="0" borderId="10" xfId="0" applyFont="1" applyBorder="1" applyAlignment="1" applyProtection="1">
      <alignment horizontal="center" vertical="center" wrapText="1"/>
      <protection locked="0"/>
    </xf>
    <xf numFmtId="0" fontId="90" fillId="0" borderId="6" xfId="0" applyFont="1" applyBorder="1" applyAlignment="1">
      <alignment horizontal="left" vertical="center" wrapText="1"/>
    </xf>
    <xf numFmtId="10" fontId="91" fillId="0" borderId="2" xfId="1" applyNumberFormat="1" applyFont="1" applyFill="1" applyBorder="1" applyAlignment="1" applyProtection="1">
      <alignment horizontal="center" vertical="center"/>
      <protection locked="0"/>
    </xf>
    <xf numFmtId="0" fontId="39" fillId="0" borderId="1" xfId="0" applyFont="1" applyBorder="1" applyAlignment="1" applyProtection="1">
      <alignment horizontal="left" vertical="center" wrapText="1"/>
      <protection locked="0"/>
    </xf>
    <xf numFmtId="0" fontId="40" fillId="0" borderId="1" xfId="0" applyFont="1" applyBorder="1" applyAlignment="1" applyProtection="1">
      <alignment horizontal="left" vertical="center" wrapText="1"/>
      <protection locked="0"/>
    </xf>
    <xf numFmtId="165" fontId="56" fillId="2" borderId="1" xfId="2" applyNumberFormat="1" applyFill="1" applyBorder="1" applyAlignment="1" applyProtection="1">
      <alignment horizontal="center"/>
    </xf>
    <xf numFmtId="0" fontId="85" fillId="0" borderId="3" xfId="0" applyFont="1" applyBorder="1" applyAlignment="1">
      <alignment horizontal="left" vertical="center" wrapText="1"/>
    </xf>
    <xf numFmtId="0" fontId="85" fillId="0" borderId="4" xfId="0" applyFont="1" applyBorder="1" applyAlignment="1">
      <alignment horizontal="left" vertical="center" wrapText="1"/>
    </xf>
    <xf numFmtId="0" fontId="85" fillId="0" borderId="5" xfId="0" applyFont="1" applyBorder="1" applyAlignment="1">
      <alignment horizontal="left" vertical="center" wrapText="1"/>
    </xf>
    <xf numFmtId="0" fontId="87" fillId="0" borderId="2" xfId="0" applyFont="1" applyBorder="1" applyAlignment="1">
      <alignment horizontal="center" vertical="top" wrapText="1"/>
    </xf>
    <xf numFmtId="0" fontId="87" fillId="0" borderId="0" xfId="0" applyFont="1" applyAlignment="1">
      <alignment wrapText="1"/>
    </xf>
    <xf numFmtId="0" fontId="20" fillId="0" borderId="3" xfId="0" applyFont="1" applyBorder="1" applyAlignment="1" applyProtection="1">
      <alignment horizontal="left" vertical="center" wrapText="1"/>
      <protection locked="0"/>
    </xf>
    <xf numFmtId="0" fontId="16" fillId="0" borderId="1" xfId="0" applyFont="1" applyBorder="1" applyAlignment="1">
      <alignment horizontal="left" vertical="center" wrapText="1"/>
    </xf>
    <xf numFmtId="1" fontId="0" fillId="2" borderId="2" xfId="0" applyNumberFormat="1" applyFill="1" applyBorder="1" applyAlignment="1">
      <alignment horizontal="center"/>
    </xf>
    <xf numFmtId="0" fontId="0" fillId="2" borderId="2" xfId="0" applyFill="1" applyBorder="1" applyAlignment="1">
      <alignment horizontal="center"/>
    </xf>
    <xf numFmtId="0" fontId="28" fillId="0" borderId="1" xfId="0" applyFont="1" applyBorder="1" applyAlignment="1">
      <alignment horizontal="left" vertical="center" wrapText="1"/>
    </xf>
    <xf numFmtId="0" fontId="20" fillId="0" borderId="3" xfId="0" applyFont="1" applyBorder="1" applyAlignment="1" applyProtection="1">
      <alignment horizontal="center" vertical="center" wrapText="1"/>
      <protection locked="0"/>
    </xf>
    <xf numFmtId="0" fontId="90" fillId="0" borderId="45" xfId="0" applyFont="1" applyBorder="1" applyAlignment="1" applyProtection="1">
      <alignment horizontal="left" vertical="center" wrapText="1"/>
      <protection locked="0"/>
    </xf>
    <xf numFmtId="0" fontId="90" fillId="0" borderId="4" xfId="0" applyFont="1" applyBorder="1" applyAlignment="1">
      <alignment horizontal="left" vertical="center" wrapText="1"/>
    </xf>
    <xf numFmtId="0" fontId="90" fillId="0" borderId="5" xfId="0" applyFont="1" applyBorder="1" applyAlignment="1">
      <alignment horizontal="left" vertical="center" wrapText="1"/>
    </xf>
    <xf numFmtId="0" fontId="90" fillId="0" borderId="3" xfId="0" applyFont="1" applyBorder="1" applyAlignment="1" applyProtection="1">
      <alignment horizontal="left" vertical="center"/>
      <protection locked="0"/>
    </xf>
    <xf numFmtId="0" fontId="90" fillId="0" borderId="4" xfId="0" applyFont="1" applyBorder="1" applyAlignment="1" applyProtection="1">
      <alignment horizontal="left" vertical="center"/>
      <protection locked="0"/>
    </xf>
    <xf numFmtId="0" fontId="90" fillId="0" borderId="5" xfId="0" applyFont="1" applyBorder="1" applyAlignment="1" applyProtection="1">
      <alignment horizontal="left" vertical="center"/>
      <protection locked="0"/>
    </xf>
    <xf numFmtId="0" fontId="91" fillId="0" borderId="3" xfId="0" applyFont="1" applyBorder="1" applyAlignment="1" applyProtection="1">
      <alignment horizontal="center" vertical="center"/>
      <protection locked="0"/>
    </xf>
    <xf numFmtId="0" fontId="91" fillId="0" borderId="4" xfId="0" applyFont="1" applyBorder="1" applyAlignment="1" applyProtection="1">
      <alignment horizontal="center" vertical="center"/>
      <protection locked="0"/>
    </xf>
    <xf numFmtId="0" fontId="90" fillId="0" borderId="10" xfId="0" applyFont="1" applyBorder="1" applyAlignment="1" applyProtection="1">
      <alignment horizontal="left" vertical="center" wrapText="1"/>
      <protection locked="0"/>
    </xf>
    <xf numFmtId="0" fontId="92" fillId="0" borderId="2" xfId="0" applyFont="1" applyBorder="1" applyAlignment="1">
      <alignment horizontal="center" vertical="center" wrapText="1"/>
    </xf>
    <xf numFmtId="4" fontId="91" fillId="0" borderId="3" xfId="0" applyNumberFormat="1" applyFont="1" applyBorder="1" applyAlignment="1" applyProtection="1">
      <alignment horizontal="center" vertical="center"/>
      <protection locked="0"/>
    </xf>
    <xf numFmtId="4" fontId="91" fillId="0" borderId="4" xfId="0" applyNumberFormat="1" applyFont="1" applyBorder="1" applyAlignment="1" applyProtection="1">
      <alignment horizontal="center" vertical="center"/>
      <protection locked="0"/>
    </xf>
    <xf numFmtId="4" fontId="91" fillId="0" borderId="5" xfId="0" applyNumberFormat="1" applyFont="1" applyBorder="1" applyAlignment="1" applyProtection="1">
      <alignment horizontal="center" vertical="center"/>
      <protection locked="0"/>
    </xf>
    <xf numFmtId="2" fontId="105" fillId="0" borderId="3" xfId="0" applyNumberFormat="1" applyFont="1" applyBorder="1" applyAlignment="1" applyProtection="1">
      <alignment horizontal="center" vertical="center" wrapText="1"/>
      <protection locked="0"/>
    </xf>
    <xf numFmtId="2" fontId="105" fillId="0" borderId="4" xfId="0" applyNumberFormat="1" applyFont="1" applyBorder="1" applyAlignment="1" applyProtection="1">
      <alignment horizontal="center" vertical="center" wrapText="1"/>
      <protection locked="0"/>
    </xf>
    <xf numFmtId="44" fontId="105" fillId="2" borderId="3" xfId="3" applyFont="1" applyFill="1" applyBorder="1" applyAlignment="1" applyProtection="1">
      <alignment horizontal="center" vertical="center" wrapText="1"/>
    </xf>
    <xf numFmtId="44" fontId="105" fillId="2" borderId="4" xfId="3" applyFont="1" applyFill="1" applyBorder="1" applyAlignment="1" applyProtection="1">
      <alignment horizontal="center" vertical="center" wrapText="1"/>
    </xf>
    <xf numFmtId="44" fontId="105" fillId="2" borderId="5" xfId="3" applyFont="1" applyFill="1" applyBorder="1" applyAlignment="1" applyProtection="1">
      <alignment horizontal="center" vertical="center" wrapText="1"/>
    </xf>
    <xf numFmtId="44" fontId="105" fillId="0" borderId="3" xfId="3" applyFont="1" applyBorder="1" applyAlignment="1" applyProtection="1">
      <alignment horizontal="center" vertical="center" wrapText="1"/>
      <protection locked="0"/>
    </xf>
    <xf numFmtId="44" fontId="105" fillId="0" borderId="4" xfId="3" applyFont="1" applyBorder="1" applyAlignment="1" applyProtection="1">
      <alignment horizontal="center" vertical="center" wrapText="1"/>
      <protection locked="0"/>
    </xf>
    <xf numFmtId="44" fontId="105" fillId="0" borderId="5" xfId="3" applyFont="1" applyBorder="1" applyAlignment="1" applyProtection="1">
      <alignment horizontal="center" vertical="center" wrapText="1"/>
      <protection locked="0"/>
    </xf>
    <xf numFmtId="2" fontId="105" fillId="0" borderId="5" xfId="0" applyNumberFormat="1" applyFont="1" applyBorder="1" applyAlignment="1" applyProtection="1">
      <alignment horizontal="center" vertical="center" wrapText="1"/>
      <protection locked="0"/>
    </xf>
    <xf numFmtId="2" fontId="105" fillId="0" borderId="1" xfId="0" applyNumberFormat="1" applyFont="1" applyBorder="1" applyAlignment="1">
      <alignment horizontal="center" vertical="center" wrapText="1"/>
    </xf>
    <xf numFmtId="49" fontId="85" fillId="0" borderId="3" xfId="0" applyNumberFormat="1" applyFont="1" applyBorder="1" applyAlignment="1">
      <alignment horizontal="left" vertical="center" wrapText="1"/>
    </xf>
    <xf numFmtId="49" fontId="85" fillId="0" borderId="4" xfId="0" applyNumberFormat="1" applyFont="1" applyBorder="1" applyAlignment="1">
      <alignment horizontal="left" vertical="center" wrapText="1"/>
    </xf>
    <xf numFmtId="49" fontId="85" fillId="0" borderId="5" xfId="0" applyNumberFormat="1" applyFont="1" applyBorder="1" applyAlignment="1">
      <alignment horizontal="left" vertical="center" wrapText="1"/>
    </xf>
    <xf numFmtId="49" fontId="24" fillId="0" borderId="1" xfId="0" applyNumberFormat="1" applyFont="1" applyBorder="1" applyAlignment="1">
      <alignment horizontal="left" vertical="center" wrapText="1"/>
    </xf>
    <xf numFmtId="2" fontId="54" fillId="2" borderId="3" xfId="0" applyNumberFormat="1" applyFont="1" applyFill="1" applyBorder="1" applyAlignment="1">
      <alignment horizontal="center" vertical="center"/>
    </xf>
    <xf numFmtId="2" fontId="54" fillId="2" borderId="4" xfId="0" applyNumberFormat="1" applyFont="1" applyFill="1" applyBorder="1" applyAlignment="1">
      <alignment horizontal="center" vertical="center"/>
    </xf>
    <xf numFmtId="2" fontId="54" fillId="2" borderId="5" xfId="0" applyNumberFormat="1" applyFont="1" applyFill="1" applyBorder="1" applyAlignment="1">
      <alignment horizontal="center" vertical="center"/>
    </xf>
    <xf numFmtId="2" fontId="105" fillId="0" borderId="1" xfId="0" applyNumberFormat="1" applyFont="1" applyBorder="1" applyAlignment="1">
      <alignment horizontal="left" vertical="center" wrapText="1"/>
    </xf>
    <xf numFmtId="9" fontId="91" fillId="2" borderId="0" xfId="1" applyFont="1" applyFill="1" applyBorder="1" applyAlignment="1" applyProtection="1">
      <alignment horizontal="center" vertical="center"/>
    </xf>
    <xf numFmtId="0" fontId="78" fillId="0" borderId="48" xfId="0" applyFont="1" applyBorder="1" applyAlignment="1" applyProtection="1">
      <alignment horizontal="left" vertical="center" wrapText="1"/>
      <protection locked="0"/>
    </xf>
    <xf numFmtId="0" fontId="42" fillId="0" borderId="1" xfId="0" applyFont="1" applyBorder="1" applyAlignment="1" applyProtection="1">
      <alignment horizontal="left" vertical="center" wrapText="1"/>
      <protection locked="0"/>
    </xf>
    <xf numFmtId="4" fontId="92" fillId="2" borderId="3" xfId="0" applyNumberFormat="1" applyFont="1" applyFill="1" applyBorder="1" applyAlignment="1">
      <alignment horizontal="center" vertical="center" wrapText="1"/>
    </xf>
    <xf numFmtId="0" fontId="92" fillId="2" borderId="4" xfId="0" applyFont="1" applyFill="1" applyBorder="1" applyAlignment="1">
      <alignment horizontal="center" vertical="center" wrapText="1"/>
    </xf>
    <xf numFmtId="0" fontId="92" fillId="0" borderId="4" xfId="0" applyFont="1" applyBorder="1" applyAlignment="1" applyProtection="1">
      <alignment horizontal="center" vertical="center" wrapText="1"/>
      <protection locked="0"/>
    </xf>
    <xf numFmtId="0" fontId="92" fillId="0" borderId="5" xfId="0" applyFont="1" applyBorder="1" applyAlignment="1" applyProtection="1">
      <alignment horizontal="center" vertical="center" wrapText="1"/>
      <protection locked="0"/>
    </xf>
    <xf numFmtId="1" fontId="90" fillId="0" borderId="1" xfId="0" applyNumberFormat="1" applyFont="1" applyBorder="1" applyAlignment="1" applyProtection="1">
      <alignment horizontal="center" vertical="center" wrapText="1"/>
      <protection locked="0"/>
    </xf>
    <xf numFmtId="0" fontId="29" fillId="0" borderId="0" xfId="0" applyFont="1" applyAlignment="1">
      <alignment horizontal="center" vertical="center"/>
    </xf>
    <xf numFmtId="49" fontId="3" fillId="0" borderId="1" xfId="0" applyNumberFormat="1" applyFont="1" applyBorder="1" applyAlignment="1" applyProtection="1">
      <alignment horizontal="left" wrapText="1"/>
      <protection locked="0"/>
    </xf>
    <xf numFmtId="1" fontId="54" fillId="0" borderId="1" xfId="0" applyNumberFormat="1" applyFont="1" applyBorder="1" applyAlignment="1" applyProtection="1">
      <alignment horizontal="center" vertical="center"/>
      <protection locked="0"/>
    </xf>
    <xf numFmtId="1" fontId="54" fillId="2" borderId="1" xfId="0" applyNumberFormat="1" applyFont="1" applyFill="1" applyBorder="1" applyAlignment="1" applyProtection="1">
      <alignment horizontal="center" vertical="center"/>
      <protection locked="0"/>
    </xf>
    <xf numFmtId="2" fontId="54" fillId="0" borderId="1" xfId="0" applyNumberFormat="1" applyFont="1" applyBorder="1" applyAlignment="1" applyProtection="1">
      <alignment horizontal="center" vertical="center"/>
      <protection locked="0"/>
    </xf>
    <xf numFmtId="0" fontId="90" fillId="0" borderId="22" xfId="0" applyFont="1" applyBorder="1" applyAlignment="1">
      <alignment horizontal="left" vertical="center" wrapText="1"/>
    </xf>
    <xf numFmtId="0" fontId="90" fillId="0" borderId="2" xfId="0" applyFont="1" applyBorder="1" applyAlignment="1">
      <alignment horizontal="left" vertical="center"/>
    </xf>
    <xf numFmtId="0" fontId="90" fillId="0" borderId="24" xfId="0" applyFont="1" applyBorder="1" applyAlignment="1">
      <alignment horizontal="left" vertical="center"/>
    </xf>
    <xf numFmtId="0" fontId="34" fillId="0" borderId="6" xfId="0" applyFont="1" applyBorder="1" applyAlignment="1">
      <alignment horizontal="left" vertical="center" wrapText="1"/>
    </xf>
    <xf numFmtId="0" fontId="44" fillId="0" borderId="6" xfId="0" applyFont="1" applyBorder="1" applyAlignment="1">
      <alignment horizontal="left" vertical="center" wrapText="1"/>
    </xf>
    <xf numFmtId="0" fontId="44" fillId="0" borderId="45" xfId="0" applyFont="1" applyBorder="1" applyAlignment="1">
      <alignment horizontal="left" vertical="center" wrapText="1"/>
    </xf>
    <xf numFmtId="0" fontId="44" fillId="0" borderId="3" xfId="0" applyFont="1" applyBorder="1" applyAlignment="1" applyProtection="1">
      <alignment horizontal="left" vertical="center" wrapText="1"/>
      <protection locked="0"/>
    </xf>
    <xf numFmtId="0" fontId="44" fillId="0" borderId="4" xfId="0" applyFont="1" applyBorder="1" applyAlignment="1" applyProtection="1">
      <alignment horizontal="left" vertical="center" wrapText="1"/>
      <protection locked="0"/>
    </xf>
    <xf numFmtId="0" fontId="44" fillId="0" borderId="5" xfId="0" applyFont="1" applyBorder="1" applyAlignment="1" applyProtection="1">
      <alignment horizontal="left" vertical="center" wrapText="1"/>
      <protection locked="0"/>
    </xf>
    <xf numFmtId="0" fontId="44" fillId="0" borderId="6" xfId="0" applyFont="1" applyBorder="1" applyAlignment="1" applyProtection="1">
      <alignment horizontal="center"/>
      <protection locked="0"/>
    </xf>
    <xf numFmtId="14" fontId="44" fillId="0" borderId="6" xfId="0" applyNumberFormat="1" applyFont="1" applyBorder="1" applyAlignment="1" applyProtection="1">
      <alignment horizontal="center"/>
      <protection locked="0"/>
    </xf>
    <xf numFmtId="0" fontId="97" fillId="0" borderId="0" xfId="0" applyFont="1" applyAlignment="1" applyProtection="1">
      <alignment horizontal="left" vertical="center" wrapText="1"/>
      <protection locked="0"/>
    </xf>
    <xf numFmtId="0" fontId="54" fillId="0" borderId="4" xfId="0" applyFont="1" applyBorder="1" applyAlignment="1">
      <alignment horizontal="left" vertical="center"/>
    </xf>
    <xf numFmtId="0" fontId="98" fillId="0" borderId="0" xfId="0" applyFont="1" applyAlignment="1" applyProtection="1">
      <alignment horizontal="left" vertical="center" wrapText="1"/>
      <protection locked="0"/>
    </xf>
    <xf numFmtId="1" fontId="54" fillId="2" borderId="3" xfId="0" applyNumberFormat="1" applyFont="1" applyFill="1" applyBorder="1" applyAlignment="1" applyProtection="1">
      <alignment horizontal="center" vertical="center"/>
      <protection locked="0"/>
    </xf>
    <xf numFmtId="1" fontId="54" fillId="2" borderId="4" xfId="0" applyNumberFormat="1" applyFont="1" applyFill="1" applyBorder="1" applyAlignment="1" applyProtection="1">
      <alignment horizontal="center" vertical="center"/>
      <protection locked="0"/>
    </xf>
    <xf numFmtId="1" fontId="54" fillId="2" borderId="5" xfId="0" applyNumberFormat="1" applyFont="1" applyFill="1" applyBorder="1" applyAlignment="1" applyProtection="1">
      <alignment horizontal="center" vertical="center"/>
      <protection locked="0"/>
    </xf>
    <xf numFmtId="0" fontId="89" fillId="0" borderId="3" xfId="0" applyFont="1" applyBorder="1" applyAlignment="1" applyProtection="1">
      <alignment horizontal="center" vertical="center" wrapText="1"/>
      <protection locked="0"/>
    </xf>
    <xf numFmtId="0" fontId="89" fillId="0" borderId="4" xfId="0" applyFont="1" applyBorder="1" applyAlignment="1" applyProtection="1">
      <alignment horizontal="center" vertical="center" wrapText="1"/>
      <protection locked="0"/>
    </xf>
    <xf numFmtId="0" fontId="89" fillId="0" borderId="5" xfId="0" applyFont="1" applyBorder="1" applyAlignment="1" applyProtection="1">
      <alignment horizontal="center" vertical="center" wrapText="1"/>
      <protection locked="0"/>
    </xf>
    <xf numFmtId="0" fontId="44" fillId="0" borderId="0" xfId="0" applyFont="1" applyAlignment="1">
      <alignment horizontal="center" vertical="center"/>
    </xf>
    <xf numFmtId="0" fontId="44" fillId="0" borderId="6" xfId="0" applyFont="1" applyBorder="1" applyAlignment="1">
      <alignment horizontal="left" vertical="center"/>
    </xf>
    <xf numFmtId="0" fontId="44" fillId="0" borderId="45" xfId="0" applyFont="1" applyBorder="1" applyAlignment="1">
      <alignment horizontal="left" vertical="center"/>
    </xf>
    <xf numFmtId="165" fontId="56" fillId="2" borderId="3" xfId="2" applyNumberFormat="1" applyFill="1" applyBorder="1" applyAlignment="1" applyProtection="1">
      <alignment horizontal="center"/>
    </xf>
    <xf numFmtId="165" fontId="56" fillId="2" borderId="4" xfId="2" applyNumberFormat="1" applyFill="1" applyBorder="1" applyAlignment="1" applyProtection="1">
      <alignment horizontal="center"/>
    </xf>
    <xf numFmtId="165" fontId="56" fillId="2" borderId="5" xfId="2" applyNumberFormat="1" applyFill="1" applyBorder="1" applyAlignment="1" applyProtection="1">
      <alignment horizontal="center"/>
    </xf>
    <xf numFmtId="0" fontId="54" fillId="0" borderId="10" xfId="0" applyFont="1" applyBorder="1" applyAlignment="1">
      <alignment horizontal="left" vertical="center"/>
    </xf>
    <xf numFmtId="0" fontId="57" fillId="0" borderId="0" xfId="0" applyFont="1" applyAlignment="1" applyProtection="1">
      <alignment horizontal="left" wrapText="1"/>
      <protection locked="0"/>
    </xf>
    <xf numFmtId="1" fontId="54" fillId="0" borderId="1" xfId="0" applyNumberFormat="1" applyFont="1" applyBorder="1" applyAlignment="1" applyProtection="1">
      <alignment horizontal="center"/>
      <protection locked="0"/>
    </xf>
    <xf numFmtId="0" fontId="39" fillId="0" borderId="0" xfId="0" applyFont="1" applyAlignment="1">
      <alignment horizontal="left" vertical="center" wrapText="1"/>
    </xf>
    <xf numFmtId="44" fontId="56" fillId="2" borderId="3" xfId="3" applyFont="1" applyFill="1" applyBorder="1" applyAlignment="1" applyProtection="1">
      <alignment horizontal="center"/>
      <protection locked="0"/>
    </xf>
    <xf numFmtId="44" fontId="56" fillId="2" borderId="4" xfId="3" applyFont="1" applyFill="1" applyBorder="1" applyAlignment="1" applyProtection="1">
      <alignment horizontal="center"/>
      <protection locked="0"/>
    </xf>
    <xf numFmtId="0" fontId="35" fillId="0" borderId="0" xfId="0" applyFont="1" applyAlignment="1">
      <alignment horizontal="left" vertical="center"/>
    </xf>
    <xf numFmtId="0" fontId="26" fillId="0" borderId="0" xfId="0" applyFont="1" applyAlignment="1">
      <alignment horizontal="center" vertical="center"/>
    </xf>
    <xf numFmtId="165" fontId="49" fillId="0" borderId="3" xfId="0" applyNumberFormat="1" applyFont="1" applyBorder="1" applyAlignment="1" applyProtection="1">
      <alignment horizontal="center"/>
      <protection locked="0"/>
    </xf>
    <xf numFmtId="165" fontId="49" fillId="0" borderId="4" xfId="0" applyNumberFormat="1" applyFont="1" applyBorder="1" applyAlignment="1" applyProtection="1">
      <alignment horizontal="center"/>
      <protection locked="0"/>
    </xf>
    <xf numFmtId="165" fontId="49" fillId="0" borderId="5" xfId="0" applyNumberFormat="1" applyFont="1" applyBorder="1" applyAlignment="1" applyProtection="1">
      <alignment horizontal="center"/>
      <protection locked="0"/>
    </xf>
    <xf numFmtId="14" fontId="49" fillId="0" borderId="3" xfId="0" applyNumberFormat="1" applyFont="1" applyBorder="1" applyAlignment="1" applyProtection="1">
      <alignment horizontal="center"/>
      <protection locked="0"/>
    </xf>
    <xf numFmtId="14" fontId="49" fillId="0" borderId="4" xfId="0" applyNumberFormat="1" applyFont="1" applyBorder="1" applyAlignment="1" applyProtection="1">
      <alignment horizontal="center"/>
      <protection locked="0"/>
    </xf>
    <xf numFmtId="14" fontId="49" fillId="0" borderId="5" xfId="0" applyNumberFormat="1" applyFont="1" applyBorder="1" applyAlignment="1" applyProtection="1">
      <alignment horizontal="center"/>
      <protection locked="0"/>
    </xf>
    <xf numFmtId="0" fontId="5" fillId="0" borderId="1" xfId="0" applyFont="1" applyBorder="1" applyAlignment="1" applyProtection="1">
      <alignment horizontal="left" vertical="center" wrapText="1"/>
      <protection locked="0"/>
    </xf>
    <xf numFmtId="0" fontId="33" fillId="0" borderId="0" xfId="0" applyFont="1" applyAlignment="1">
      <alignment horizontal="center" vertical="center"/>
    </xf>
    <xf numFmtId="0" fontId="39" fillId="0" borderId="3" xfId="0" applyFont="1" applyBorder="1" applyAlignment="1" applyProtection="1">
      <alignment horizontal="left" vertical="center" wrapText="1"/>
      <protection locked="0"/>
    </xf>
    <xf numFmtId="0" fontId="39" fillId="0" borderId="4" xfId="0" applyFont="1" applyBorder="1" applyAlignment="1" applyProtection="1">
      <alignment horizontal="left" vertical="center" wrapText="1"/>
      <protection locked="0"/>
    </xf>
    <xf numFmtId="0" fontId="39" fillId="0" borderId="5" xfId="0" applyFont="1" applyBorder="1" applyAlignment="1" applyProtection="1">
      <alignment horizontal="left" vertical="center" wrapText="1"/>
      <protection locked="0"/>
    </xf>
    <xf numFmtId="0" fontId="54" fillId="0" borderId="1" xfId="0" applyFont="1" applyBorder="1" applyAlignment="1" applyProtection="1">
      <alignment horizontal="left" vertical="center"/>
      <protection locked="0"/>
    </xf>
    <xf numFmtId="165" fontId="54" fillId="2" borderId="1" xfId="0" applyNumberFormat="1" applyFont="1" applyFill="1" applyBorder="1" applyAlignment="1">
      <alignment horizontal="left" vertical="center"/>
    </xf>
    <xf numFmtId="0" fontId="26" fillId="0" borderId="1" xfId="0" applyFont="1" applyBorder="1" applyAlignment="1">
      <alignment horizontal="left" vertical="center" wrapText="1"/>
    </xf>
    <xf numFmtId="0" fontId="19" fillId="0" borderId="2" xfId="0" applyFont="1" applyBorder="1" applyAlignment="1" applyProtection="1">
      <alignment horizontal="left" vertical="center" wrapText="1"/>
      <protection locked="0"/>
    </xf>
    <xf numFmtId="0" fontId="39" fillId="0" borderId="2" xfId="0" applyFont="1" applyBorder="1" applyAlignment="1" applyProtection="1">
      <alignment horizontal="left" vertical="center" wrapText="1"/>
      <protection locked="0"/>
    </xf>
    <xf numFmtId="0" fontId="19" fillId="0" borderId="4" xfId="0" applyFont="1" applyBorder="1" applyAlignment="1" applyProtection="1">
      <alignment horizontal="left" vertical="center" wrapText="1"/>
      <protection locked="0"/>
    </xf>
    <xf numFmtId="1" fontId="91" fillId="0" borderId="0" xfId="1" applyNumberFormat="1" applyFont="1" applyFill="1" applyBorder="1" applyAlignment="1" applyProtection="1">
      <alignment horizontal="center" vertical="center"/>
      <protection locked="0"/>
    </xf>
    <xf numFmtId="0" fontId="85" fillId="0" borderId="0" xfId="0" applyFont="1" applyAlignment="1">
      <alignment horizontal="left" vertical="center" wrapText="1"/>
    </xf>
    <xf numFmtId="0" fontId="85" fillId="0" borderId="44" xfId="0" applyFont="1" applyBorder="1" applyAlignment="1">
      <alignment horizontal="left" vertical="center" wrapText="1"/>
    </xf>
    <xf numFmtId="0" fontId="90" fillId="0" borderId="0" xfId="0" applyFont="1" applyAlignment="1" applyProtection="1">
      <alignment horizontal="right" wrapText="1"/>
      <protection locked="0"/>
    </xf>
    <xf numFmtId="0" fontId="90" fillId="0" borderId="10" xfId="0" applyFont="1" applyBorder="1" applyAlignment="1" applyProtection="1">
      <alignment horizontal="right" wrapText="1"/>
      <protection locked="0"/>
    </xf>
    <xf numFmtId="0" fontId="39" fillId="0" borderId="2" xfId="0" applyFont="1" applyBorder="1" applyAlignment="1" applyProtection="1">
      <alignment horizontal="center" vertical="center" wrapText="1"/>
      <protection locked="0"/>
    </xf>
    <xf numFmtId="0" fontId="26" fillId="0" borderId="3" xfId="0" applyFont="1" applyBorder="1" applyAlignment="1">
      <alignment horizontal="left" vertical="center" wrapText="1"/>
    </xf>
    <xf numFmtId="0" fontId="26" fillId="0" borderId="4" xfId="0" applyFont="1" applyBorder="1" applyAlignment="1">
      <alignment horizontal="left" vertical="center" wrapText="1"/>
    </xf>
    <xf numFmtId="0" fontId="26" fillId="0" borderId="5" xfId="0" applyFont="1" applyBorder="1" applyAlignment="1">
      <alignment horizontal="left" vertical="center" wrapText="1"/>
    </xf>
    <xf numFmtId="0" fontId="90" fillId="0" borderId="4" xfId="0" applyFont="1" applyBorder="1" applyAlignment="1">
      <alignment horizontal="left" vertical="center"/>
    </xf>
    <xf numFmtId="0" fontId="5" fillId="0" borderId="3" xfId="0" applyFont="1" applyBorder="1" applyAlignment="1" applyProtection="1">
      <alignment horizontal="left" vertical="center" wrapText="1"/>
      <protection locked="0"/>
    </xf>
    <xf numFmtId="0" fontId="22" fillId="0" borderId="4" xfId="0" applyFont="1" applyBorder="1" applyAlignment="1" applyProtection="1">
      <alignment horizontal="left" vertical="center" wrapText="1"/>
      <protection locked="0"/>
    </xf>
    <xf numFmtId="0" fontId="22" fillId="0" borderId="5" xfId="0" applyFont="1" applyBorder="1" applyAlignment="1" applyProtection="1">
      <alignment horizontal="left" vertical="center" wrapText="1"/>
      <protection locked="0"/>
    </xf>
    <xf numFmtId="0" fontId="22" fillId="0" borderId="1" xfId="0" applyFont="1" applyBorder="1" applyAlignment="1" applyProtection="1">
      <alignment horizontal="left" vertical="center" wrapText="1"/>
      <protection locked="0"/>
    </xf>
    <xf numFmtId="0" fontId="90" fillId="0" borderId="1" xfId="0" applyFont="1" applyBorder="1" applyAlignment="1" applyProtection="1">
      <alignment horizontal="right" wrapText="1"/>
      <protection locked="0"/>
    </xf>
    <xf numFmtId="165" fontId="54" fillId="2" borderId="3" xfId="0" applyNumberFormat="1" applyFont="1" applyFill="1" applyBorder="1" applyAlignment="1">
      <alignment horizontal="left" vertical="center"/>
    </xf>
    <xf numFmtId="165" fontId="54" fillId="2" borderId="4" xfId="0" applyNumberFormat="1" applyFont="1" applyFill="1" applyBorder="1" applyAlignment="1">
      <alignment horizontal="left" vertical="center"/>
    </xf>
    <xf numFmtId="165" fontId="54" fillId="2" borderId="5" xfId="0" applyNumberFormat="1" applyFont="1" applyFill="1" applyBorder="1" applyAlignment="1">
      <alignment horizontal="left" vertical="center"/>
    </xf>
    <xf numFmtId="0" fontId="90" fillId="2" borderId="0" xfId="0" applyFont="1" applyFill="1" applyAlignment="1">
      <alignment horizontal="left" vertical="center" wrapText="1"/>
    </xf>
    <xf numFmtId="0" fontId="89" fillId="2" borderId="0" xfId="0" applyFont="1" applyFill="1" applyAlignment="1">
      <alignment horizontal="left" vertical="center" wrapText="1"/>
    </xf>
  </cellXfs>
  <cellStyles count="6">
    <cellStyle name="Hiperłącze" xfId="2" builtinId="8"/>
    <cellStyle name="Normalny" xfId="0" builtinId="0"/>
    <cellStyle name="Normalny 2" xfId="4" xr:uid="{00000000-0005-0000-0000-000002000000}"/>
    <cellStyle name="Procentowy" xfId="1" builtinId="5"/>
    <cellStyle name="Walutowy" xfId="3" builtinId="4"/>
    <cellStyle name="Walutowy 2" xfId="5" xr:uid="{00000000-0005-0000-0000-000005000000}"/>
  </cellStyles>
  <dxfs count="834">
    <dxf>
      <font>
        <strike/>
      </font>
    </dxf>
    <dxf>
      <font>
        <strike/>
      </font>
    </dxf>
    <dxf>
      <font>
        <strike/>
      </font>
    </dxf>
    <dxf>
      <fill>
        <patternFill>
          <bgColor theme="4" tint="-0.24994659260841701"/>
        </patternFill>
      </fill>
    </dxf>
    <dxf>
      <font>
        <strike/>
      </font>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bgColor theme="4" tint="-0.24994659260841701"/>
        </patternFill>
      </fill>
    </dxf>
    <dxf>
      <fill>
        <patternFill patternType="darkGray">
          <bgColor theme="0" tint="-0.499984740745262"/>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b/>
        <i val="0"/>
        <strike/>
        <color theme="1"/>
      </font>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rgb="FF0070C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b/>
        <i val="0"/>
        <strike/>
        <color theme="1"/>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b/>
        <i val="0"/>
        <strike/>
        <color theme="1"/>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patternType="none">
          <bgColor auto="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b/>
        <i val="0"/>
        <strike/>
        <color theme="1"/>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patternType="none">
          <bgColor auto="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b/>
        <i val="0"/>
        <strike/>
        <color theme="1"/>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strike/>
      </font>
    </dxf>
    <dxf>
      <font>
        <b/>
        <i val="0"/>
        <strike/>
        <color theme="1"/>
      </font>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rgb="FF0070C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patternType="none">
          <bgColor auto="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strike/>
      </font>
    </dxf>
    <dxf>
      <font>
        <strike/>
      </font>
    </dxf>
    <dxf>
      <font>
        <strike/>
      </font>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35</xdr:col>
      <xdr:colOff>101600</xdr:colOff>
      <xdr:row>2</xdr:row>
      <xdr:rowOff>20638</xdr:rowOff>
    </xdr:from>
    <xdr:to>
      <xdr:col>37</xdr:col>
      <xdr:colOff>363004</xdr:colOff>
      <xdr:row>6</xdr:row>
      <xdr:rowOff>172072</xdr:rowOff>
    </xdr:to>
    <xdr:pic>
      <xdr:nvPicPr>
        <xdr:cNvPr id="2" name="Obraz 1" descr="http://intranet/dokumenty/Documents/BGK_Logo_RGB-BMP.bmp">
          <a:extLst>
            <a:ext uri="{FF2B5EF4-FFF2-40B4-BE49-F238E27FC236}">
              <a16:creationId xmlns:a16="http://schemas.microsoft.com/office/drawing/2014/main" id="{1C959767-F9FE-43B2-9CAF-AC68F396A8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54038"/>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36</xdr:col>
      <xdr:colOff>63500</xdr:colOff>
      <xdr:row>2</xdr:row>
      <xdr:rowOff>0</xdr:rowOff>
    </xdr:from>
    <xdr:to>
      <xdr:col>37</xdr:col>
      <xdr:colOff>594144</xdr:colOff>
      <xdr:row>6</xdr:row>
      <xdr:rowOff>151434</xdr:rowOff>
    </xdr:to>
    <xdr:pic>
      <xdr:nvPicPr>
        <xdr:cNvPr id="4" name="Obraz 3" descr="http://intranet/dokumenty/Documents/BGK_Logo_RGB-BMP.bmp">
          <a:extLst>
            <a:ext uri="{FF2B5EF4-FFF2-40B4-BE49-F238E27FC236}">
              <a16:creationId xmlns:a16="http://schemas.microsoft.com/office/drawing/2014/main" id="{D2C536F7-9AE0-48B3-AC49-C2368F148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70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101600</xdr:colOff>
      <xdr:row>2</xdr:row>
      <xdr:rowOff>44450</xdr:rowOff>
    </xdr:from>
    <xdr:to>
      <xdr:col>37</xdr:col>
      <xdr:colOff>359194</xdr:colOff>
      <xdr:row>6</xdr:row>
      <xdr:rowOff>200964</xdr:rowOff>
    </xdr:to>
    <xdr:pic>
      <xdr:nvPicPr>
        <xdr:cNvPr id="4" name="Obraz 3" descr="http://intranet/dokumenty/Documents/BGK_Logo_RGB-BMP.bmp">
          <a:extLst>
            <a:ext uri="{FF2B5EF4-FFF2-40B4-BE49-F238E27FC236}">
              <a16:creationId xmlns:a16="http://schemas.microsoft.com/office/drawing/2014/main" id="{E2EF4DE7-12EC-4218-95A1-4ECC4FB525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778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127001</xdr:colOff>
      <xdr:row>1</xdr:row>
      <xdr:rowOff>15874</xdr:rowOff>
    </xdr:from>
    <xdr:to>
      <xdr:col>37</xdr:col>
      <xdr:colOff>378880</xdr:colOff>
      <xdr:row>5</xdr:row>
      <xdr:rowOff>162863</xdr:rowOff>
    </xdr:to>
    <xdr:pic>
      <xdr:nvPicPr>
        <xdr:cNvPr id="2" name="Obraz 1" descr="http://intranet/dokumenty/Documents/BGK_Logo_RGB-BMP.bmp">
          <a:extLst>
            <a:ext uri="{FF2B5EF4-FFF2-40B4-BE49-F238E27FC236}">
              <a16:creationId xmlns:a16="http://schemas.microsoft.com/office/drawing/2014/main" id="{760EEC10-126B-4582-80DB-D5D879BAA5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1" y="539749"/>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116632</xdr:colOff>
      <xdr:row>2</xdr:row>
      <xdr:rowOff>12959</xdr:rowOff>
    </xdr:from>
    <xdr:to>
      <xdr:col>37</xdr:col>
      <xdr:colOff>378684</xdr:colOff>
      <xdr:row>6</xdr:row>
      <xdr:rowOff>168035</xdr:rowOff>
    </xdr:to>
    <xdr:pic>
      <xdr:nvPicPr>
        <xdr:cNvPr id="2" name="Obraz 1" descr="http://intranet/dokumenty/Documents/BGK_Logo_RGB-BMP.bmp">
          <a:extLst>
            <a:ext uri="{FF2B5EF4-FFF2-40B4-BE49-F238E27FC236}">
              <a16:creationId xmlns:a16="http://schemas.microsoft.com/office/drawing/2014/main" id="{175A1ED0-4139-4D31-A6F5-431C5335A9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7448" y="557245"/>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35</xdr:col>
      <xdr:colOff>101600</xdr:colOff>
      <xdr:row>2</xdr:row>
      <xdr:rowOff>0</xdr:rowOff>
    </xdr:from>
    <xdr:to>
      <xdr:col>37</xdr:col>
      <xdr:colOff>359194</xdr:colOff>
      <xdr:row>6</xdr:row>
      <xdr:rowOff>140004</xdr:rowOff>
    </xdr:to>
    <xdr:pic>
      <xdr:nvPicPr>
        <xdr:cNvPr id="2" name="Obraz 1" descr="http://intranet/dokumenty/Documents/BGK_Logo_RGB-BMP.bmp">
          <a:extLst>
            <a:ext uri="{FF2B5EF4-FFF2-40B4-BE49-F238E27FC236}">
              <a16:creationId xmlns:a16="http://schemas.microsoft.com/office/drawing/2014/main" id="{DD3F2CA8-F8FB-44B4-9051-A0499D0E4C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127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35</xdr:col>
      <xdr:colOff>171450</xdr:colOff>
      <xdr:row>2</xdr:row>
      <xdr:rowOff>19050</xdr:rowOff>
    </xdr:from>
    <xdr:to>
      <xdr:col>38</xdr:col>
      <xdr:colOff>29629</xdr:colOff>
      <xdr:row>6</xdr:row>
      <xdr:rowOff>160959</xdr:rowOff>
    </xdr:to>
    <xdr:pic>
      <xdr:nvPicPr>
        <xdr:cNvPr id="2" name="Obraz 1" descr="http://intranet/dokumenty/Documents/BGK_Logo_RGB-BMP.bmp">
          <a:extLst>
            <a:ext uri="{FF2B5EF4-FFF2-40B4-BE49-F238E27FC236}">
              <a16:creationId xmlns:a16="http://schemas.microsoft.com/office/drawing/2014/main" id="{0F14E12D-FF4D-43A1-8D55-0E65A5527B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6650" y="57150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35</xdr:col>
      <xdr:colOff>119941</xdr:colOff>
      <xdr:row>2</xdr:row>
      <xdr:rowOff>0</xdr:rowOff>
    </xdr:from>
    <xdr:to>
      <xdr:col>37</xdr:col>
      <xdr:colOff>374643</xdr:colOff>
      <xdr:row>6</xdr:row>
      <xdr:rowOff>144026</xdr:rowOff>
    </xdr:to>
    <xdr:pic>
      <xdr:nvPicPr>
        <xdr:cNvPr id="2" name="Obraz 1" descr="http://intranet/dokumenty/Documents/BGK_Logo_RGB-BMP.bmp">
          <a:extLst>
            <a:ext uri="{FF2B5EF4-FFF2-40B4-BE49-F238E27FC236}">
              <a16:creationId xmlns:a16="http://schemas.microsoft.com/office/drawing/2014/main" id="{550867E2-8CE7-4487-B758-0452B4A512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3608" y="536222"/>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35</xdr:col>
      <xdr:colOff>134938</xdr:colOff>
      <xdr:row>2</xdr:row>
      <xdr:rowOff>0</xdr:rowOff>
    </xdr:from>
    <xdr:to>
      <xdr:col>37</xdr:col>
      <xdr:colOff>380467</xdr:colOff>
      <xdr:row>6</xdr:row>
      <xdr:rowOff>143497</xdr:rowOff>
    </xdr:to>
    <xdr:pic>
      <xdr:nvPicPr>
        <xdr:cNvPr id="2" name="Obraz 1" descr="http://intranet/dokumenty/Documents/BGK_Logo_RGB-BMP.bmp">
          <a:extLst>
            <a:ext uri="{FF2B5EF4-FFF2-40B4-BE49-F238E27FC236}">
              <a16:creationId xmlns:a16="http://schemas.microsoft.com/office/drawing/2014/main" id="{F961DDFC-C51C-4A46-B8CE-A28527FDB5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7438" y="500063"/>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35</xdr:col>
      <xdr:colOff>111125</xdr:colOff>
      <xdr:row>2</xdr:row>
      <xdr:rowOff>15875</xdr:rowOff>
    </xdr:from>
    <xdr:to>
      <xdr:col>37</xdr:col>
      <xdr:colOff>372529</xdr:colOff>
      <xdr:row>6</xdr:row>
      <xdr:rowOff>160959</xdr:rowOff>
    </xdr:to>
    <xdr:pic>
      <xdr:nvPicPr>
        <xdr:cNvPr id="2" name="Obraz 1" descr="http://intranet/dokumenty/Documents/BGK_Logo_RGB-BMP.bmp">
          <a:extLst>
            <a:ext uri="{FF2B5EF4-FFF2-40B4-BE49-F238E27FC236}">
              <a16:creationId xmlns:a16="http://schemas.microsoft.com/office/drawing/2014/main" id="{A078CFA7-B61E-4BC9-911E-2326B05C0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3625" y="5397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35</xdr:col>
      <xdr:colOff>120650</xdr:colOff>
      <xdr:row>2</xdr:row>
      <xdr:rowOff>25400</xdr:rowOff>
    </xdr:from>
    <xdr:to>
      <xdr:col>38</xdr:col>
      <xdr:colOff>1054</xdr:colOff>
      <xdr:row>6</xdr:row>
      <xdr:rowOff>164134</xdr:rowOff>
    </xdr:to>
    <xdr:pic>
      <xdr:nvPicPr>
        <xdr:cNvPr id="2" name="Obraz 1" descr="http://intranet/dokumenty/Documents/BGK_Logo_RGB-BMP.bmp">
          <a:extLst>
            <a:ext uri="{FF2B5EF4-FFF2-40B4-BE49-F238E27FC236}">
              <a16:creationId xmlns:a16="http://schemas.microsoft.com/office/drawing/2014/main" id="{7E4F4E4D-D533-4E37-9A3C-2CBA4CFA6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778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35</xdr:col>
      <xdr:colOff>101600</xdr:colOff>
      <xdr:row>2</xdr:row>
      <xdr:rowOff>6350</xdr:rowOff>
    </xdr:from>
    <xdr:to>
      <xdr:col>37</xdr:col>
      <xdr:colOff>363004</xdr:colOff>
      <xdr:row>6</xdr:row>
      <xdr:rowOff>151434</xdr:rowOff>
    </xdr:to>
    <xdr:pic>
      <xdr:nvPicPr>
        <xdr:cNvPr id="2" name="Obraz 1" descr="http://intranet/dokumenty/Documents/BGK_Logo_RGB-BMP.bmp">
          <a:extLst>
            <a:ext uri="{FF2B5EF4-FFF2-40B4-BE49-F238E27FC236}">
              <a16:creationId xmlns:a16="http://schemas.microsoft.com/office/drawing/2014/main" id="{9EF7DBFB-289D-4DEF-AA23-425DDAC81A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397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35</xdr:col>
      <xdr:colOff>114300</xdr:colOff>
      <xdr:row>2</xdr:row>
      <xdr:rowOff>12700</xdr:rowOff>
    </xdr:from>
    <xdr:to>
      <xdr:col>37</xdr:col>
      <xdr:colOff>372529</xdr:colOff>
      <xdr:row>6</xdr:row>
      <xdr:rowOff>160959</xdr:rowOff>
    </xdr:to>
    <xdr:pic>
      <xdr:nvPicPr>
        <xdr:cNvPr id="2" name="Obraz 1" descr="http://intranet/dokumenty/Documents/BGK_Logo_RGB-BMP.bmp">
          <a:extLst>
            <a:ext uri="{FF2B5EF4-FFF2-40B4-BE49-F238E27FC236}">
              <a16:creationId xmlns:a16="http://schemas.microsoft.com/office/drawing/2014/main" id="{4CC77ED1-05A4-41EE-80F6-0F46C9B6CE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0" y="54610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35</xdr:col>
      <xdr:colOff>134055</xdr:colOff>
      <xdr:row>2</xdr:row>
      <xdr:rowOff>7056</xdr:rowOff>
    </xdr:from>
    <xdr:to>
      <xdr:col>37</xdr:col>
      <xdr:colOff>379232</xdr:colOff>
      <xdr:row>6</xdr:row>
      <xdr:rowOff>144732</xdr:rowOff>
    </xdr:to>
    <xdr:pic>
      <xdr:nvPicPr>
        <xdr:cNvPr id="2" name="Obraz 1" descr="http://intranet/dokumenty/Documents/BGK_Logo_RGB-BMP.bmp">
          <a:extLst>
            <a:ext uri="{FF2B5EF4-FFF2-40B4-BE49-F238E27FC236}">
              <a16:creationId xmlns:a16="http://schemas.microsoft.com/office/drawing/2014/main" id="{09C85865-C744-4517-A0A8-253FE3A5F3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7722" y="557389"/>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35</xdr:col>
      <xdr:colOff>127000</xdr:colOff>
      <xdr:row>2</xdr:row>
      <xdr:rowOff>14112</xdr:rowOff>
    </xdr:from>
    <xdr:to>
      <xdr:col>37</xdr:col>
      <xdr:colOff>378527</xdr:colOff>
      <xdr:row>6</xdr:row>
      <xdr:rowOff>154962</xdr:rowOff>
    </xdr:to>
    <xdr:pic>
      <xdr:nvPicPr>
        <xdr:cNvPr id="2" name="Obraz 1" descr="http://intranet/dokumenty/Documents/BGK_Logo_RGB-BMP.bmp">
          <a:extLst>
            <a:ext uri="{FF2B5EF4-FFF2-40B4-BE49-F238E27FC236}">
              <a16:creationId xmlns:a16="http://schemas.microsoft.com/office/drawing/2014/main" id="{C56E883C-068A-460A-B6E1-2293CCCC69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0667" y="564445"/>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17" totalsRowShown="0">
  <autoFilter ref="A1:A17" xr:uid="{00000000-0009-0000-0100-000001000000}"/>
  <tableColumns count="1">
    <tableColumn id="1" xr3:uid="{00000000-0010-0000-0000-000001000000}" name="Kategoria"/>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3" displayName="Tabela3" ref="E1:F381" totalsRowShown="0">
  <autoFilter ref="E1:F381" xr:uid="{00000000-0009-0000-0100-000003000000}"/>
  <tableColumns count="2">
    <tableColumn id="1" xr3:uid="{00000000-0010-0000-0100-000001000000}" name="Kategoria"/>
    <tableColumn id="2" xr3:uid="{00000000-0010-0000-0100-000002000000}" name="Podkategoria"/>
  </tableColumns>
  <tableStyleInfo name="TableStyleLight1"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2.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3.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4.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5.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www.gov.pl/web/e-doreczenia/pytania-i-odpowiedzi" TargetMode="External"/><Relationship Id="rId7" Type="http://schemas.openxmlformats.org/officeDocument/2006/relationships/hyperlink" Target="https://www.bgk.pl/files/public/Pliki/Fundusze_i_programy/Programy/Bezzwrotne_wsparcie_budownictwa/WZ%C3%93R_PE%C5%81NOMOCNICTWA.docx" TargetMode="External"/><Relationship Id="rId2" Type="http://schemas.openxmlformats.org/officeDocument/2006/relationships/hyperlink" Target="https://eteryt.stat.gov.pl/eTeryt/rejestr_teryt/udostepnianie_danych/baza_teryt/uzytkownicy_indywidualni/wyszukiwanie/wyszukiwanie.aspx?contrast=default" TargetMode="External"/><Relationship Id="rId1" Type="http://schemas.openxmlformats.org/officeDocument/2006/relationships/hyperlink" Target="https://www.bgk.pl/programy-i-fundusze/programy/bezzwrotne-wsparcie-budownictwa-z-funduszu-doplat/" TargetMode="External"/><Relationship Id="rId6" Type="http://schemas.openxmlformats.org/officeDocument/2006/relationships/hyperlink" Target="https://wyszukiwarka-krs.ms.gov.pl/" TargetMode="External"/><Relationship Id="rId5" Type="http://schemas.openxmlformats.org/officeDocument/2006/relationships/hyperlink" Target="https://wyszukiwarkaregon.stat.gov.pl/appBIR/index.aspx" TargetMode="External"/><Relationship Id="rId4" Type="http://schemas.openxmlformats.org/officeDocument/2006/relationships/hyperlink" Target="https://wyszukiwarkaregon.stat.gov.pl/appBIR/index.aspx" TargetMode="External"/><Relationship Id="rId9"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7.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www.gov.pl/web/e-doreczenia/pytania-i-odpowiedzi" TargetMode="External"/><Relationship Id="rId7" Type="http://schemas.openxmlformats.org/officeDocument/2006/relationships/hyperlink" Target="https://www.bgk.pl/files/public/Pliki/Fundusze_i_programy/Programy/Bezzwrotne_wsparcie_budownictwa/WZ%C3%93R_PE%C5%81NOMOCNICTWA.docx" TargetMode="External"/><Relationship Id="rId2" Type="http://schemas.openxmlformats.org/officeDocument/2006/relationships/hyperlink" Target="https://eteryt.stat.gov.pl/eTeryt/rejestr_teryt/udostepnianie_danych/baza_teryt/uzytkownicy_indywidualni/wyszukiwanie/wyszukiwanie.aspx?contrast=default" TargetMode="External"/><Relationship Id="rId1" Type="http://schemas.openxmlformats.org/officeDocument/2006/relationships/hyperlink" Target="https://www.bgk.pl/programy-i-fundusze/programy/bezzwrotne-wsparcie-budownictwa-z-funduszu-doplat/" TargetMode="External"/><Relationship Id="rId6" Type="http://schemas.openxmlformats.org/officeDocument/2006/relationships/hyperlink" Target="https://wyszukiwarka-krs.ms.gov.pl/" TargetMode="External"/><Relationship Id="rId5" Type="http://schemas.openxmlformats.org/officeDocument/2006/relationships/hyperlink" Target="https://wyszukiwarkaregon.stat.gov.pl/appBIR/index.aspx" TargetMode="External"/><Relationship Id="rId4" Type="http://schemas.openxmlformats.org/officeDocument/2006/relationships/hyperlink" Target="https://wyszukiwarkaregon.stat.gov.pl/appBIR/index.aspx" TargetMode="External"/><Relationship Id="rId9"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9.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0.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10.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1.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2.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12.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3.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3.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4.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5.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hyperlink" Target="https://wyszukiwarkaregon.stat.gov.pl/appBIR/index.aspx" TargetMode="External"/><Relationship Id="rId7" Type="http://schemas.openxmlformats.org/officeDocument/2006/relationships/printerSettings" Target="../printerSettings/printerSettings16.bin"/><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hyperlink" Target="https://www.bgk.pl/files/public/Pliki/Fundusze_i_programy/Programy/Bezzwrotne_wsparcie_budownictwa/WZ%C3%93R_PE%C5%81NOMOCNICTWA.docx" TargetMode="External"/><Relationship Id="rId5" Type="http://schemas.openxmlformats.org/officeDocument/2006/relationships/hyperlink" Target="https://wyszukiwarka-krs.ms.gov.pl/" TargetMode="External"/><Relationship Id="rId4" Type="http://schemas.openxmlformats.org/officeDocument/2006/relationships/hyperlink" Target="https://wyszukiwarkaregon.stat.gov.pl/appBIR/index.aspx"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3"/>
  <dimension ref="A1:CE347"/>
  <sheetViews>
    <sheetView topLeftCell="A2" zoomScaleNormal="100" workbookViewId="0">
      <selection activeCell="B12" sqref="B12"/>
    </sheetView>
  </sheetViews>
  <sheetFormatPr defaultColWidth="9.33203125" defaultRowHeight="14.4" x14ac:dyDescent="0.3"/>
  <cols>
    <col min="1" max="1" width="68.5546875" style="11" customWidth="1"/>
    <col min="2" max="2" width="76.6640625" style="11" customWidth="1"/>
    <col min="3" max="3" width="10.33203125" style="11" customWidth="1"/>
    <col min="4" max="4" width="27.6640625" style="11" customWidth="1"/>
    <col min="5" max="5" width="21.6640625" style="11" bestFit="1" customWidth="1"/>
    <col min="6" max="6" width="7" style="11" customWidth="1"/>
    <col min="7" max="7" width="30.44140625" style="11" bestFit="1" customWidth="1"/>
    <col min="8" max="42" width="9.33203125" style="13"/>
    <col min="43" max="16384" width="9.33203125" style="11"/>
  </cols>
  <sheetData>
    <row r="1" spans="1:7" s="13" customFormat="1" ht="24" thickBot="1" x14ac:dyDescent="0.35">
      <c r="A1" s="20" t="s">
        <v>126</v>
      </c>
      <c r="B1" s="24"/>
      <c r="C1" s="54"/>
      <c r="D1" s="54"/>
      <c r="E1" s="54"/>
      <c r="F1" s="54"/>
      <c r="G1" s="54"/>
    </row>
    <row r="2" spans="1:7" s="13" customFormat="1" ht="24" thickBot="1" x14ac:dyDescent="0.35">
      <c r="A2" s="25" t="s">
        <v>146</v>
      </c>
      <c r="B2" s="24"/>
      <c r="C2" s="54"/>
      <c r="D2" s="54"/>
      <c r="E2" s="54"/>
      <c r="F2" s="54"/>
      <c r="G2" s="54"/>
    </row>
    <row r="3" spans="1:7" s="13" customFormat="1" ht="24" thickBot="1" x14ac:dyDescent="0.35">
      <c r="A3" s="25" t="s">
        <v>216</v>
      </c>
      <c r="B3" s="84"/>
      <c r="C3" s="54"/>
      <c r="D3" s="54"/>
      <c r="E3" s="54"/>
      <c r="F3" s="54"/>
      <c r="G3" s="54"/>
    </row>
    <row r="4" spans="1:7" ht="15" thickBot="1" x14ac:dyDescent="0.35">
      <c r="A4" s="280" t="s">
        <v>108</v>
      </c>
      <c r="B4" s="283" t="s">
        <v>217</v>
      </c>
      <c r="C4" s="277" t="s">
        <v>63</v>
      </c>
      <c r="D4" s="278"/>
      <c r="E4" s="278"/>
      <c r="F4" s="278"/>
      <c r="G4" s="279"/>
    </row>
    <row r="5" spans="1:7" ht="72.599999999999994" thickBot="1" x14ac:dyDescent="0.35">
      <c r="A5" s="281"/>
      <c r="B5" s="284"/>
      <c r="C5" s="59" t="s">
        <v>72</v>
      </c>
      <c r="D5" s="59" t="s">
        <v>109</v>
      </c>
      <c r="E5" s="59" t="s">
        <v>110</v>
      </c>
      <c r="F5" s="59" t="s">
        <v>75</v>
      </c>
      <c r="G5" s="180" t="s">
        <v>654</v>
      </c>
    </row>
    <row r="6" spans="1:7" ht="15" thickBot="1" x14ac:dyDescent="0.35">
      <c r="A6" s="282"/>
      <c r="B6" s="285"/>
      <c r="C6" s="286" t="s">
        <v>220</v>
      </c>
      <c r="D6" s="287"/>
      <c r="E6" s="287"/>
      <c r="F6" s="287"/>
      <c r="G6" s="288"/>
    </row>
    <row r="7" spans="1:7" x14ac:dyDescent="0.3">
      <c r="A7" s="274" t="s">
        <v>147</v>
      </c>
      <c r="B7" s="45" t="s">
        <v>141</v>
      </c>
      <c r="C7" s="55" t="s">
        <v>1054</v>
      </c>
      <c r="D7" s="56"/>
      <c r="E7" s="55" t="s">
        <v>1054</v>
      </c>
      <c r="F7" s="57"/>
      <c r="G7" s="58"/>
    </row>
    <row r="8" spans="1:7" x14ac:dyDescent="0.3">
      <c r="A8" s="275"/>
      <c r="B8" s="45" t="s">
        <v>881</v>
      </c>
      <c r="C8" s="32" t="s">
        <v>1054</v>
      </c>
      <c r="D8" s="21"/>
      <c r="E8" s="55" t="s">
        <v>1054</v>
      </c>
      <c r="F8" s="22"/>
      <c r="G8" s="39"/>
    </row>
    <row r="9" spans="1:7" ht="15" thickBot="1" x14ac:dyDescent="0.35">
      <c r="A9" s="276"/>
      <c r="B9" s="45" t="s">
        <v>934</v>
      </c>
      <c r="C9" s="55" t="s">
        <v>936</v>
      </c>
      <c r="D9" s="235"/>
      <c r="E9" s="55" t="s">
        <v>936</v>
      </c>
      <c r="F9" s="57"/>
      <c r="G9" s="58"/>
    </row>
    <row r="10" spans="1:7" ht="15" customHeight="1" x14ac:dyDescent="0.3">
      <c r="A10" s="270" t="s">
        <v>985</v>
      </c>
      <c r="B10" s="45" t="s">
        <v>141</v>
      </c>
      <c r="C10" s="31">
        <v>0.8</v>
      </c>
      <c r="D10" s="31">
        <v>0.8</v>
      </c>
      <c r="E10" s="28"/>
      <c r="F10" s="28"/>
      <c r="G10" s="38"/>
    </row>
    <row r="11" spans="1:7" ht="26.4" customHeight="1" x14ac:dyDescent="0.3">
      <c r="A11" s="271"/>
      <c r="B11" s="46" t="s">
        <v>143</v>
      </c>
      <c r="C11" s="32">
        <v>0.5</v>
      </c>
      <c r="D11" s="32">
        <v>0.5</v>
      </c>
      <c r="E11" s="22"/>
      <c r="F11" s="22"/>
      <c r="G11" s="39"/>
    </row>
    <row r="12" spans="1:7" ht="39.6" customHeight="1" x14ac:dyDescent="0.3">
      <c r="A12" s="271"/>
      <c r="B12" s="46" t="s">
        <v>1161</v>
      </c>
      <c r="C12" s="32">
        <v>0.8</v>
      </c>
      <c r="D12" s="32">
        <v>0.8</v>
      </c>
      <c r="E12" s="22"/>
      <c r="F12" s="22"/>
      <c r="G12" s="39"/>
    </row>
    <row r="13" spans="1:7" ht="26.4" customHeight="1" x14ac:dyDescent="0.3">
      <c r="A13" s="271"/>
      <c r="B13" s="230" t="s">
        <v>145</v>
      </c>
      <c r="C13" s="32">
        <v>0.8</v>
      </c>
      <c r="D13" s="32">
        <v>0.8</v>
      </c>
      <c r="E13" s="22"/>
      <c r="F13" s="22"/>
      <c r="G13" s="39"/>
    </row>
    <row r="14" spans="1:7" ht="19.2" customHeight="1" thickBot="1" x14ac:dyDescent="0.35">
      <c r="A14" s="271"/>
      <c r="B14" s="45" t="s">
        <v>144</v>
      </c>
      <c r="C14" s="33">
        <v>0.8</v>
      </c>
      <c r="D14" s="33">
        <v>0.8</v>
      </c>
      <c r="E14" s="30"/>
      <c r="F14" s="30"/>
      <c r="G14" s="40"/>
    </row>
    <row r="15" spans="1:7" ht="16.5" customHeight="1" thickBot="1" x14ac:dyDescent="0.35">
      <c r="A15" s="252" t="s">
        <v>1060</v>
      </c>
      <c r="B15" s="45" t="s">
        <v>845</v>
      </c>
      <c r="C15" s="174">
        <v>0.5</v>
      </c>
      <c r="D15" s="178">
        <v>0.5</v>
      </c>
      <c r="E15" s="179"/>
      <c r="F15" s="175"/>
      <c r="G15" s="176"/>
    </row>
    <row r="16" spans="1:7" ht="15" customHeight="1" thickBot="1" x14ac:dyDescent="0.35">
      <c r="A16" s="264" t="s">
        <v>135</v>
      </c>
      <c r="B16" s="45" t="s">
        <v>141</v>
      </c>
      <c r="C16" s="31">
        <v>0.8</v>
      </c>
      <c r="D16" s="28"/>
      <c r="E16" s="31">
        <v>0.8</v>
      </c>
      <c r="F16" s="41"/>
      <c r="G16" s="42"/>
    </row>
    <row r="17" spans="1:83" ht="15" customHeight="1" thickBot="1" x14ac:dyDescent="0.35">
      <c r="A17" s="265"/>
      <c r="B17" s="45" t="s">
        <v>881</v>
      </c>
      <c r="C17" s="31">
        <v>0.8</v>
      </c>
      <c r="D17" s="28"/>
      <c r="E17" s="31">
        <v>0.8</v>
      </c>
      <c r="F17" s="41"/>
      <c r="G17" s="42"/>
    </row>
    <row r="18" spans="1:83" x14ac:dyDescent="0.3">
      <c r="A18" s="272" t="s">
        <v>981</v>
      </c>
      <c r="B18" s="45" t="s">
        <v>141</v>
      </c>
      <c r="C18" s="31">
        <v>0.8</v>
      </c>
      <c r="D18" s="31">
        <v>0.8</v>
      </c>
      <c r="E18" s="28"/>
      <c r="F18" s="31">
        <v>0.8</v>
      </c>
      <c r="G18" s="31">
        <v>0.8</v>
      </c>
    </row>
    <row r="19" spans="1:83" x14ac:dyDescent="0.3">
      <c r="A19" s="273"/>
      <c r="B19" s="46" t="s">
        <v>143</v>
      </c>
      <c r="C19" s="32">
        <v>0.5</v>
      </c>
      <c r="D19" s="32">
        <v>0.5</v>
      </c>
      <c r="E19" s="22"/>
      <c r="F19" s="32">
        <v>0.5</v>
      </c>
      <c r="G19" s="32">
        <v>0.5</v>
      </c>
    </row>
    <row r="20" spans="1:83" x14ac:dyDescent="0.3">
      <c r="A20" s="273"/>
      <c r="B20" s="46" t="s">
        <v>837</v>
      </c>
      <c r="C20" s="32">
        <v>0.8</v>
      </c>
      <c r="D20" s="32">
        <v>0.8</v>
      </c>
      <c r="E20" s="22"/>
      <c r="F20" s="32">
        <v>0.8</v>
      </c>
      <c r="G20" s="32">
        <v>0.8</v>
      </c>
    </row>
    <row r="21" spans="1:83" x14ac:dyDescent="0.3">
      <c r="A21" s="273"/>
      <c r="B21" s="46" t="s">
        <v>145</v>
      </c>
      <c r="C21" s="32">
        <v>0.8</v>
      </c>
      <c r="D21" s="32">
        <v>0.8</v>
      </c>
      <c r="E21" s="22"/>
      <c r="F21" s="32">
        <v>0.8</v>
      </c>
      <c r="G21" s="32">
        <v>0.8</v>
      </c>
    </row>
    <row r="22" spans="1:83" ht="15" thickBot="1" x14ac:dyDescent="0.35">
      <c r="A22" s="273"/>
      <c r="B22" s="45" t="s">
        <v>144</v>
      </c>
      <c r="C22" s="33">
        <v>0.8</v>
      </c>
      <c r="D22" s="33">
        <v>0.8</v>
      </c>
      <c r="E22" s="30"/>
      <c r="F22" s="33">
        <v>0.8</v>
      </c>
      <c r="G22" s="33">
        <v>0.8</v>
      </c>
    </row>
    <row r="23" spans="1:83" ht="15" thickBot="1" x14ac:dyDescent="0.35">
      <c r="A23" s="253" t="s">
        <v>1061</v>
      </c>
      <c r="B23" s="45" t="s">
        <v>845</v>
      </c>
      <c r="C23" s="174">
        <v>0.5</v>
      </c>
      <c r="D23" s="178">
        <v>0.5</v>
      </c>
      <c r="E23" s="179"/>
      <c r="F23" s="179"/>
      <c r="G23" s="179"/>
    </row>
    <row r="24" spans="1:83" ht="15" customHeight="1" x14ac:dyDescent="0.3">
      <c r="A24" s="263" t="s">
        <v>982</v>
      </c>
      <c r="B24" s="45" t="s">
        <v>141</v>
      </c>
      <c r="C24" s="31">
        <v>0.8</v>
      </c>
      <c r="D24" s="28"/>
      <c r="E24" s="31">
        <v>0.8</v>
      </c>
      <c r="F24" s="31">
        <v>0.8</v>
      </c>
      <c r="G24" s="38"/>
    </row>
    <row r="25" spans="1:83" ht="15" thickBot="1" x14ac:dyDescent="0.35">
      <c r="A25" s="261"/>
      <c r="B25" s="45" t="s">
        <v>231</v>
      </c>
      <c r="C25" s="32">
        <v>0.8</v>
      </c>
      <c r="D25" s="22"/>
      <c r="E25" s="32">
        <v>0.8</v>
      </c>
      <c r="F25" s="32">
        <v>0.8</v>
      </c>
      <c r="G25" s="39"/>
    </row>
    <row r="26" spans="1:83" hidden="1" x14ac:dyDescent="0.3">
      <c r="A26" s="267" t="s">
        <v>111</v>
      </c>
      <c r="B26" s="45" t="s">
        <v>141</v>
      </c>
      <c r="C26" s="31">
        <v>0.9</v>
      </c>
      <c r="D26" s="31">
        <v>0.9</v>
      </c>
      <c r="E26" s="28"/>
      <c r="F26" s="28"/>
      <c r="G26" s="38"/>
    </row>
    <row r="27" spans="1:83" hidden="1" x14ac:dyDescent="0.3">
      <c r="A27" s="268"/>
      <c r="B27" s="46" t="s">
        <v>143</v>
      </c>
      <c r="C27" s="32">
        <v>0.6</v>
      </c>
      <c r="D27" s="32">
        <v>0.6</v>
      </c>
      <c r="E27" s="22"/>
      <c r="F27" s="22"/>
      <c r="G27" s="39"/>
    </row>
    <row r="28" spans="1:83" hidden="1" x14ac:dyDescent="0.3">
      <c r="A28" s="268"/>
      <c r="B28" s="46" t="s">
        <v>231</v>
      </c>
      <c r="C28" s="32">
        <v>0.9</v>
      </c>
      <c r="D28" s="32">
        <v>0.9</v>
      </c>
      <c r="E28" s="22"/>
      <c r="F28" s="22"/>
      <c r="G28" s="39"/>
    </row>
    <row r="29" spans="1:83" ht="15" hidden="1" thickBot="1" x14ac:dyDescent="0.35">
      <c r="A29" s="268"/>
      <c r="B29" s="45" t="s">
        <v>144</v>
      </c>
      <c r="C29" s="33">
        <v>0.9</v>
      </c>
      <c r="D29" s="33">
        <v>0.9</v>
      </c>
      <c r="E29" s="30"/>
      <c r="F29" s="30"/>
      <c r="G29" s="40"/>
    </row>
    <row r="30" spans="1:83" ht="15" hidden="1" thickBot="1" x14ac:dyDescent="0.35">
      <c r="A30" s="269"/>
      <c r="B30" s="45" t="s">
        <v>824</v>
      </c>
      <c r="C30" s="174">
        <v>0.6</v>
      </c>
      <c r="D30" s="174">
        <v>0.6</v>
      </c>
      <c r="E30" s="179"/>
      <c r="F30" s="175"/>
      <c r="G30" s="177"/>
    </row>
    <row r="31" spans="1:83" s="23" customFormat="1" x14ac:dyDescent="0.3">
      <c r="A31" s="260" t="s">
        <v>148</v>
      </c>
      <c r="B31" s="44" t="s">
        <v>231</v>
      </c>
      <c r="C31" s="31">
        <v>0.8</v>
      </c>
      <c r="D31" s="31">
        <v>0.8</v>
      </c>
      <c r="E31" s="31">
        <v>0.8</v>
      </c>
      <c r="F31" s="28"/>
      <c r="G31" s="31">
        <v>0.8</v>
      </c>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row>
    <row r="32" spans="1:83" s="23" customFormat="1" x14ac:dyDescent="0.3">
      <c r="A32" s="261"/>
      <c r="B32" s="46" t="s">
        <v>144</v>
      </c>
      <c r="C32" s="32">
        <v>0.8</v>
      </c>
      <c r="D32" s="32">
        <v>0.8</v>
      </c>
      <c r="E32" s="32">
        <v>0.8</v>
      </c>
      <c r="F32" s="22"/>
      <c r="G32" s="32">
        <v>0.8</v>
      </c>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row>
    <row r="33" spans="1:83" s="23" customFormat="1" ht="15" thickBot="1" x14ac:dyDescent="0.35">
      <c r="A33" s="262"/>
      <c r="B33" s="47" t="s">
        <v>142</v>
      </c>
      <c r="C33" s="33">
        <v>0.8</v>
      </c>
      <c r="D33" s="33">
        <v>0.8</v>
      </c>
      <c r="E33" s="33">
        <v>0.8</v>
      </c>
      <c r="F33" s="30"/>
      <c r="G33" s="33">
        <v>0.8</v>
      </c>
      <c r="H33" s="48"/>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row>
    <row r="34" spans="1:83" ht="15" thickBot="1" x14ac:dyDescent="0.35">
      <c r="A34" s="43" t="s">
        <v>153</v>
      </c>
      <c r="B34" s="49" t="s">
        <v>144</v>
      </c>
      <c r="C34" s="34">
        <v>0.8</v>
      </c>
      <c r="D34" s="35">
        <v>0.8</v>
      </c>
      <c r="E34" s="36"/>
      <c r="F34" s="36"/>
      <c r="G34" s="37"/>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row>
    <row r="35" spans="1:83" ht="15" thickBot="1" x14ac:dyDescent="0.35">
      <c r="A35" s="244" t="s">
        <v>984</v>
      </c>
      <c r="B35" s="49" t="s">
        <v>143</v>
      </c>
      <c r="C35" s="34">
        <v>0.95</v>
      </c>
      <c r="D35" s="35">
        <v>0.95</v>
      </c>
      <c r="E35" s="36"/>
      <c r="F35" s="36"/>
      <c r="G35" s="37"/>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row>
    <row r="36" spans="1:83" s="23" customFormat="1" ht="15" thickBot="1" x14ac:dyDescent="0.35">
      <c r="A36" s="96" t="s">
        <v>149</v>
      </c>
      <c r="B36" s="49" t="s">
        <v>157</v>
      </c>
      <c r="C36" s="34">
        <v>0.8</v>
      </c>
      <c r="D36" s="34">
        <v>0.8</v>
      </c>
      <c r="E36" s="34">
        <v>0.8</v>
      </c>
      <c r="F36" s="36"/>
      <c r="G36" s="34">
        <v>0.8</v>
      </c>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row>
    <row r="37" spans="1:83" s="23" customFormat="1" ht="15" thickBot="1" x14ac:dyDescent="0.35">
      <c r="A37" s="243" t="s">
        <v>980</v>
      </c>
      <c r="B37" s="49" t="s">
        <v>158</v>
      </c>
      <c r="C37" s="34">
        <v>0.8</v>
      </c>
      <c r="D37" s="34">
        <v>0.8</v>
      </c>
      <c r="E37" s="34">
        <v>0.8</v>
      </c>
      <c r="F37" s="36"/>
      <c r="G37" s="34">
        <v>0.8</v>
      </c>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row>
    <row r="38" spans="1:83" s="23" customFormat="1" ht="15" thickBot="1" x14ac:dyDescent="0.35">
      <c r="A38" s="96" t="s">
        <v>150</v>
      </c>
      <c r="B38" s="49" t="s">
        <v>159</v>
      </c>
      <c r="C38" s="34">
        <v>0.8</v>
      </c>
      <c r="D38" s="34">
        <v>0.8</v>
      </c>
      <c r="E38" s="34">
        <v>0.8</v>
      </c>
      <c r="F38" s="36"/>
      <c r="G38" s="34">
        <v>0.8</v>
      </c>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row>
    <row r="39" spans="1:83" s="23" customFormat="1" ht="15" thickBot="1" x14ac:dyDescent="0.35">
      <c r="A39" s="260" t="s">
        <v>151</v>
      </c>
      <c r="B39" s="44" t="s">
        <v>141</v>
      </c>
      <c r="C39" s="34">
        <v>0.8</v>
      </c>
      <c r="D39" s="34">
        <v>0.8</v>
      </c>
      <c r="E39" s="34">
        <v>0.8</v>
      </c>
      <c r="F39" s="28"/>
      <c r="G39" s="34">
        <v>0.8</v>
      </c>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row>
    <row r="40" spans="1:83" s="23" customFormat="1" ht="15" thickBot="1" x14ac:dyDescent="0.35">
      <c r="A40" s="261"/>
      <c r="B40" s="46" t="s">
        <v>231</v>
      </c>
      <c r="C40" s="34">
        <v>0.8</v>
      </c>
      <c r="D40" s="34">
        <v>0.8</v>
      </c>
      <c r="E40" s="34">
        <v>0.8</v>
      </c>
      <c r="F40" s="22"/>
      <c r="G40" s="34">
        <v>0.8</v>
      </c>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row>
    <row r="41" spans="1:83" s="23" customFormat="1" ht="15" thickBot="1" x14ac:dyDescent="0.35">
      <c r="A41" s="262"/>
      <c r="B41" s="50" t="s">
        <v>144</v>
      </c>
      <c r="C41" s="34">
        <v>0.8</v>
      </c>
      <c r="D41" s="34">
        <v>0.8</v>
      </c>
      <c r="E41" s="34">
        <v>0.8</v>
      </c>
      <c r="F41" s="30"/>
      <c r="G41" s="34">
        <v>0.8</v>
      </c>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row>
    <row r="42" spans="1:83" s="23" customFormat="1" ht="15" thickBot="1" x14ac:dyDescent="0.35">
      <c r="A42" s="263" t="s">
        <v>983</v>
      </c>
      <c r="B42" s="51" t="s">
        <v>141</v>
      </c>
      <c r="C42" s="34">
        <v>0.8</v>
      </c>
      <c r="D42" s="34">
        <v>0.8</v>
      </c>
      <c r="E42" s="34">
        <v>0.8</v>
      </c>
      <c r="F42" s="28"/>
      <c r="G42" s="34">
        <v>0.8</v>
      </c>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row>
    <row r="43" spans="1:83" s="23" customFormat="1" ht="15" thickBot="1" x14ac:dyDescent="0.35">
      <c r="A43" s="261"/>
      <c r="B43" s="52" t="s">
        <v>231</v>
      </c>
      <c r="C43" s="34">
        <v>0.8</v>
      </c>
      <c r="D43" s="34">
        <v>0.8</v>
      </c>
      <c r="E43" s="34">
        <v>0.8</v>
      </c>
      <c r="F43" s="22"/>
      <c r="G43" s="34">
        <v>0.8</v>
      </c>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row>
    <row r="44" spans="1:83" s="23" customFormat="1" ht="15" thickBot="1" x14ac:dyDescent="0.35">
      <c r="A44" s="262"/>
      <c r="B44" s="53" t="s">
        <v>144</v>
      </c>
      <c r="C44" s="34">
        <v>0.8</v>
      </c>
      <c r="D44" s="34">
        <v>0.8</v>
      </c>
      <c r="E44" s="34">
        <v>0.8</v>
      </c>
      <c r="F44" s="30"/>
      <c r="G44" s="34">
        <v>0.8</v>
      </c>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row>
    <row r="45" spans="1:83" s="23" customFormat="1" ht="15" thickBot="1" x14ac:dyDescent="0.35">
      <c r="A45" s="190" t="s">
        <v>655</v>
      </c>
      <c r="B45" s="193" t="s">
        <v>656</v>
      </c>
      <c r="C45" s="188">
        <v>0.1</v>
      </c>
      <c r="D45" s="191"/>
      <c r="E45" s="192">
        <v>0.1</v>
      </c>
      <c r="F45" s="191"/>
      <c r="G45" s="189"/>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row>
    <row r="46" spans="1:83" s="23" customFormat="1" ht="15" thickBot="1" x14ac:dyDescent="0.35">
      <c r="A46" s="190" t="s">
        <v>655</v>
      </c>
      <c r="B46" s="193" t="s">
        <v>656</v>
      </c>
      <c r="C46" s="191"/>
      <c r="D46" s="191"/>
      <c r="E46" s="191"/>
      <c r="F46" s="188">
        <v>0.1</v>
      </c>
      <c r="G46" s="189"/>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row>
    <row r="47" spans="1:83" x14ac:dyDescent="0.3">
      <c r="A47" s="14"/>
      <c r="B47" s="15"/>
      <c r="C47" s="16"/>
      <c r="D47" s="16"/>
      <c r="E47" s="16"/>
      <c r="F47" s="16"/>
      <c r="G47" s="16"/>
    </row>
    <row r="48" spans="1:83" x14ac:dyDescent="0.3">
      <c r="A48" s="17" t="s">
        <v>112</v>
      </c>
      <c r="B48" s="12"/>
      <c r="C48" s="12"/>
      <c r="D48" s="12"/>
      <c r="E48" s="12"/>
      <c r="F48" s="12"/>
      <c r="G48" s="12"/>
      <c r="H48" s="18"/>
      <c r="I48" s="18"/>
      <c r="J48" s="18"/>
      <c r="K48" s="18"/>
      <c r="L48" s="18"/>
      <c r="M48" s="18"/>
      <c r="N48" s="18"/>
      <c r="O48" s="18"/>
      <c r="P48" s="18"/>
    </row>
    <row r="49" spans="1:16" ht="34.5" customHeight="1" x14ac:dyDescent="0.3">
      <c r="A49" s="266" t="s">
        <v>120</v>
      </c>
      <c r="B49" s="266"/>
      <c r="C49" s="266"/>
      <c r="D49" s="266"/>
      <c r="E49" s="266"/>
      <c r="F49" s="266"/>
      <c r="G49" s="266"/>
      <c r="H49" s="19"/>
      <c r="I49" s="19"/>
      <c r="J49" s="19"/>
      <c r="K49" s="19"/>
      <c r="L49" s="19"/>
      <c r="M49" s="19"/>
      <c r="N49" s="19"/>
      <c r="O49" s="19"/>
      <c r="P49" s="19"/>
    </row>
    <row r="50" spans="1:16" x14ac:dyDescent="0.3">
      <c r="A50" s="259" t="s">
        <v>121</v>
      </c>
      <c r="B50" s="259"/>
      <c r="C50" s="259"/>
      <c r="D50" s="259"/>
      <c r="E50" s="259"/>
      <c r="F50" s="259"/>
      <c r="G50" s="259"/>
      <c r="H50" s="18"/>
      <c r="I50" s="18"/>
      <c r="J50" s="18"/>
      <c r="K50" s="18"/>
      <c r="L50" s="18"/>
      <c r="M50" s="18"/>
      <c r="N50" s="18"/>
      <c r="O50" s="18"/>
      <c r="P50" s="18"/>
    </row>
    <row r="51" spans="1:16" x14ac:dyDescent="0.3">
      <c r="A51" s="134" t="s">
        <v>218</v>
      </c>
      <c r="B51" s="134"/>
      <c r="C51" s="134"/>
      <c r="D51" s="134"/>
      <c r="E51" s="134"/>
      <c r="F51" s="134"/>
      <c r="G51" s="134"/>
      <c r="H51" s="18"/>
      <c r="I51" s="18"/>
      <c r="J51" s="18"/>
      <c r="K51" s="18"/>
      <c r="L51" s="18"/>
      <c r="M51" s="18"/>
      <c r="N51" s="18"/>
      <c r="O51" s="18"/>
      <c r="P51" s="18"/>
    </row>
    <row r="52" spans="1:16" x14ac:dyDescent="0.3">
      <c r="A52" s="134" t="s">
        <v>214</v>
      </c>
      <c r="B52" s="134"/>
      <c r="C52" s="134"/>
      <c r="D52" s="134"/>
      <c r="E52" s="134"/>
      <c r="F52" s="134"/>
      <c r="G52" s="134"/>
      <c r="H52" s="18"/>
      <c r="I52" s="18"/>
      <c r="J52" s="18"/>
      <c r="K52" s="18"/>
      <c r="L52" s="18"/>
      <c r="M52" s="18"/>
      <c r="N52" s="18"/>
      <c r="O52" s="18"/>
      <c r="P52" s="18"/>
    </row>
    <row r="53" spans="1:16" x14ac:dyDescent="0.3">
      <c r="A53" s="134" t="s">
        <v>1062</v>
      </c>
      <c r="B53" s="134"/>
      <c r="C53" s="134"/>
      <c r="D53" s="134"/>
      <c r="E53" s="134"/>
      <c r="F53" s="134"/>
      <c r="G53" s="134"/>
      <c r="H53" s="18"/>
      <c r="I53" s="18"/>
      <c r="J53" s="18"/>
      <c r="K53" s="18"/>
      <c r="L53" s="18"/>
      <c r="M53" s="18"/>
      <c r="N53" s="18"/>
      <c r="O53" s="18"/>
      <c r="P53" s="18"/>
    </row>
    <row r="54" spans="1:16" s="13" customFormat="1" x14ac:dyDescent="0.3"/>
    <row r="55" spans="1:16" s="13" customFormat="1" x14ac:dyDescent="0.3"/>
    <row r="56" spans="1:16" s="13" customFormat="1" x14ac:dyDescent="0.3"/>
    <row r="57" spans="1:16" s="13" customFormat="1" x14ac:dyDescent="0.3"/>
    <row r="58" spans="1:16" s="13" customFormat="1" x14ac:dyDescent="0.3"/>
    <row r="59" spans="1:16" s="13" customFormat="1" x14ac:dyDescent="0.3"/>
    <row r="60" spans="1:16" s="13" customFormat="1" x14ac:dyDescent="0.3"/>
    <row r="61" spans="1:16" s="13" customFormat="1" x14ac:dyDescent="0.3"/>
    <row r="62" spans="1:16" s="13" customFormat="1" x14ac:dyDescent="0.3"/>
    <row r="63" spans="1:16" s="13" customFormat="1" x14ac:dyDescent="0.3"/>
    <row r="64" spans="1:16" s="13" customFormat="1" x14ac:dyDescent="0.3"/>
    <row r="65" s="13" customFormat="1" x14ac:dyDescent="0.3"/>
    <row r="66" s="13" customFormat="1" x14ac:dyDescent="0.3"/>
    <row r="67" s="13" customFormat="1" x14ac:dyDescent="0.3"/>
    <row r="68" s="13" customFormat="1" x14ac:dyDescent="0.3"/>
    <row r="69" s="13" customFormat="1" x14ac:dyDescent="0.3"/>
    <row r="70" s="13" customFormat="1" x14ac:dyDescent="0.3"/>
    <row r="71" s="13" customFormat="1" x14ac:dyDescent="0.3"/>
    <row r="72" s="13" customFormat="1" x14ac:dyDescent="0.3"/>
    <row r="73" s="13" customFormat="1" x14ac:dyDescent="0.3"/>
    <row r="74" s="13" customFormat="1" x14ac:dyDescent="0.3"/>
    <row r="75" s="13" customFormat="1" x14ac:dyDescent="0.3"/>
    <row r="76" s="13" customFormat="1" x14ac:dyDescent="0.3"/>
    <row r="77" s="13" customFormat="1" x14ac:dyDescent="0.3"/>
    <row r="78" s="13" customFormat="1" x14ac:dyDescent="0.3"/>
    <row r="79" s="13" customFormat="1" x14ac:dyDescent="0.3"/>
    <row r="80" s="13" customFormat="1" x14ac:dyDescent="0.3"/>
    <row r="81" s="13" customFormat="1" x14ac:dyDescent="0.3"/>
    <row r="82" s="13" customFormat="1" x14ac:dyDescent="0.3"/>
    <row r="83" s="13" customFormat="1" x14ac:dyDescent="0.3"/>
    <row r="84" s="13" customFormat="1" x14ac:dyDescent="0.3"/>
    <row r="85" s="13" customFormat="1" x14ac:dyDescent="0.3"/>
    <row r="86" s="13" customFormat="1" x14ac:dyDescent="0.3"/>
    <row r="87" s="13" customFormat="1" x14ac:dyDescent="0.3"/>
    <row r="88" s="13" customFormat="1" x14ac:dyDescent="0.3"/>
    <row r="89" s="13" customFormat="1" x14ac:dyDescent="0.3"/>
    <row r="90" s="13" customFormat="1" x14ac:dyDescent="0.3"/>
    <row r="91" s="13" customFormat="1" x14ac:dyDescent="0.3"/>
    <row r="92" s="13" customFormat="1" x14ac:dyDescent="0.3"/>
    <row r="93" s="13" customFormat="1" x14ac:dyDescent="0.3"/>
    <row r="94" s="13" customFormat="1" x14ac:dyDescent="0.3"/>
    <row r="95" s="13" customFormat="1" x14ac:dyDescent="0.3"/>
    <row r="96" s="13" customFormat="1" x14ac:dyDescent="0.3"/>
    <row r="97" s="13" customFormat="1" x14ac:dyDescent="0.3"/>
    <row r="98" s="13" customFormat="1" x14ac:dyDescent="0.3"/>
    <row r="99" s="13" customFormat="1" x14ac:dyDescent="0.3"/>
    <row r="100" s="13" customFormat="1" x14ac:dyDescent="0.3"/>
    <row r="101" s="13" customFormat="1" x14ac:dyDescent="0.3"/>
    <row r="102" s="13" customFormat="1" x14ac:dyDescent="0.3"/>
    <row r="103" s="13" customFormat="1" x14ac:dyDescent="0.3"/>
    <row r="104" s="13" customFormat="1" x14ac:dyDescent="0.3"/>
    <row r="105" s="13" customFormat="1" x14ac:dyDescent="0.3"/>
    <row r="106" s="13" customFormat="1" x14ac:dyDescent="0.3"/>
    <row r="107" s="13" customFormat="1" x14ac:dyDescent="0.3"/>
    <row r="108" s="13" customFormat="1" x14ac:dyDescent="0.3"/>
    <row r="109" s="13" customFormat="1" x14ac:dyDescent="0.3"/>
    <row r="110" s="13" customFormat="1" x14ac:dyDescent="0.3"/>
    <row r="111" s="13" customFormat="1" x14ac:dyDescent="0.3"/>
    <row r="112" s="13" customFormat="1" x14ac:dyDescent="0.3"/>
    <row r="113" s="13" customFormat="1" x14ac:dyDescent="0.3"/>
    <row r="114" s="13" customFormat="1" x14ac:dyDescent="0.3"/>
    <row r="115" s="13" customFormat="1" x14ac:dyDescent="0.3"/>
    <row r="116" s="13" customFormat="1" x14ac:dyDescent="0.3"/>
    <row r="117" s="13" customFormat="1" x14ac:dyDescent="0.3"/>
    <row r="118" s="13" customFormat="1" x14ac:dyDescent="0.3"/>
    <row r="119" s="13" customFormat="1" x14ac:dyDescent="0.3"/>
    <row r="120" s="13" customFormat="1" x14ac:dyDescent="0.3"/>
    <row r="121" s="13" customFormat="1" x14ac:dyDescent="0.3"/>
    <row r="122" s="13" customFormat="1" x14ac:dyDescent="0.3"/>
    <row r="123" s="13" customFormat="1" x14ac:dyDescent="0.3"/>
    <row r="124" s="13" customFormat="1" x14ac:dyDescent="0.3"/>
    <row r="125" s="13" customFormat="1" x14ac:dyDescent="0.3"/>
    <row r="126" s="13" customFormat="1" x14ac:dyDescent="0.3"/>
    <row r="127" s="13" customFormat="1" x14ac:dyDescent="0.3"/>
    <row r="128" s="13" customFormat="1" x14ac:dyDescent="0.3"/>
    <row r="129" s="13" customFormat="1" x14ac:dyDescent="0.3"/>
    <row r="130" s="13" customFormat="1" x14ac:dyDescent="0.3"/>
    <row r="131" s="13" customFormat="1" x14ac:dyDescent="0.3"/>
    <row r="132" s="13" customFormat="1" x14ac:dyDescent="0.3"/>
    <row r="133" s="13" customFormat="1" x14ac:dyDescent="0.3"/>
    <row r="134" s="13" customFormat="1" x14ac:dyDescent="0.3"/>
    <row r="135" s="13" customFormat="1" x14ac:dyDescent="0.3"/>
    <row r="136" s="13" customFormat="1" x14ac:dyDescent="0.3"/>
    <row r="137" s="13" customFormat="1" x14ac:dyDescent="0.3"/>
    <row r="138" s="13" customFormat="1" x14ac:dyDescent="0.3"/>
    <row r="139" s="13" customFormat="1" x14ac:dyDescent="0.3"/>
    <row r="140" s="13" customFormat="1" x14ac:dyDescent="0.3"/>
    <row r="141" s="13" customFormat="1" x14ac:dyDescent="0.3"/>
    <row r="142" s="13" customFormat="1" x14ac:dyDescent="0.3"/>
    <row r="143" s="13" customFormat="1" x14ac:dyDescent="0.3"/>
    <row r="144" s="13" customFormat="1" x14ac:dyDescent="0.3"/>
    <row r="145" s="13" customFormat="1" x14ac:dyDescent="0.3"/>
    <row r="146" s="13" customFormat="1" x14ac:dyDescent="0.3"/>
    <row r="147" s="13" customFormat="1" x14ac:dyDescent="0.3"/>
    <row r="148" s="13" customFormat="1" x14ac:dyDescent="0.3"/>
    <row r="149" s="13" customFormat="1" x14ac:dyDescent="0.3"/>
    <row r="150" s="13" customFormat="1" x14ac:dyDescent="0.3"/>
    <row r="151" s="13" customFormat="1" x14ac:dyDescent="0.3"/>
    <row r="152" s="13" customFormat="1" x14ac:dyDescent="0.3"/>
    <row r="153" s="13" customFormat="1" x14ac:dyDescent="0.3"/>
    <row r="154" s="13" customFormat="1" x14ac:dyDescent="0.3"/>
    <row r="155" s="13" customFormat="1" x14ac:dyDescent="0.3"/>
    <row r="156" s="13" customFormat="1" x14ac:dyDescent="0.3"/>
    <row r="157" s="13" customFormat="1" x14ac:dyDescent="0.3"/>
    <row r="158" s="13" customFormat="1" x14ac:dyDescent="0.3"/>
    <row r="159" s="13" customFormat="1" x14ac:dyDescent="0.3"/>
    <row r="160" s="13" customFormat="1" x14ac:dyDescent="0.3"/>
    <row r="161" s="13" customFormat="1" x14ac:dyDescent="0.3"/>
    <row r="162" s="13" customFormat="1" x14ac:dyDescent="0.3"/>
    <row r="163" s="13" customFormat="1" x14ac:dyDescent="0.3"/>
    <row r="164" s="13" customFormat="1" x14ac:dyDescent="0.3"/>
    <row r="165" s="13" customFormat="1" x14ac:dyDescent="0.3"/>
    <row r="166" s="13" customFormat="1" x14ac:dyDescent="0.3"/>
    <row r="167" s="13" customFormat="1" x14ac:dyDescent="0.3"/>
    <row r="168" s="13" customFormat="1" x14ac:dyDescent="0.3"/>
    <row r="169" s="13" customFormat="1" x14ac:dyDescent="0.3"/>
    <row r="170" s="13" customFormat="1" x14ac:dyDescent="0.3"/>
    <row r="171" s="13" customFormat="1" x14ac:dyDescent="0.3"/>
    <row r="172" s="13" customFormat="1" x14ac:dyDescent="0.3"/>
    <row r="173" s="13" customFormat="1" x14ac:dyDescent="0.3"/>
    <row r="174" s="13" customFormat="1" x14ac:dyDescent="0.3"/>
    <row r="175" s="13" customFormat="1" x14ac:dyDescent="0.3"/>
    <row r="176" s="13" customFormat="1" x14ac:dyDescent="0.3"/>
    <row r="177" s="13" customFormat="1" x14ac:dyDescent="0.3"/>
    <row r="178" s="13" customFormat="1" x14ac:dyDescent="0.3"/>
    <row r="179" s="13" customFormat="1" x14ac:dyDescent="0.3"/>
    <row r="180" s="13" customFormat="1" x14ac:dyDescent="0.3"/>
    <row r="181" s="13" customFormat="1" x14ac:dyDescent="0.3"/>
    <row r="182" s="13" customFormat="1" x14ac:dyDescent="0.3"/>
    <row r="183" s="13" customFormat="1" x14ac:dyDescent="0.3"/>
    <row r="184" s="13" customFormat="1" x14ac:dyDescent="0.3"/>
    <row r="185" s="13" customFormat="1" x14ac:dyDescent="0.3"/>
    <row r="186" s="13" customFormat="1" x14ac:dyDescent="0.3"/>
    <row r="187" s="13" customFormat="1" x14ac:dyDescent="0.3"/>
    <row r="188" s="13" customFormat="1" x14ac:dyDescent="0.3"/>
    <row r="189" s="13" customFormat="1" x14ac:dyDescent="0.3"/>
    <row r="190" s="13" customFormat="1" x14ac:dyDescent="0.3"/>
    <row r="191" s="13" customFormat="1" x14ac:dyDescent="0.3"/>
    <row r="192" s="13" customFormat="1" x14ac:dyDescent="0.3"/>
    <row r="193" s="13" customFormat="1" x14ac:dyDescent="0.3"/>
    <row r="194" s="13" customFormat="1" x14ac:dyDescent="0.3"/>
    <row r="195" s="13" customFormat="1" x14ac:dyDescent="0.3"/>
    <row r="196" s="13" customFormat="1" x14ac:dyDescent="0.3"/>
    <row r="197" s="13" customFormat="1" x14ac:dyDescent="0.3"/>
    <row r="198" s="13" customFormat="1" x14ac:dyDescent="0.3"/>
    <row r="199" s="13" customFormat="1" x14ac:dyDescent="0.3"/>
    <row r="200" s="13" customFormat="1" x14ac:dyDescent="0.3"/>
    <row r="201" s="13" customFormat="1" x14ac:dyDescent="0.3"/>
    <row r="202" s="13" customFormat="1" x14ac:dyDescent="0.3"/>
    <row r="203" s="13" customFormat="1" x14ac:dyDescent="0.3"/>
    <row r="204" s="13" customFormat="1" x14ac:dyDescent="0.3"/>
    <row r="205" s="13" customFormat="1" x14ac:dyDescent="0.3"/>
    <row r="206" s="13" customFormat="1" x14ac:dyDescent="0.3"/>
    <row r="207" s="13" customFormat="1" x14ac:dyDescent="0.3"/>
    <row r="208" s="13" customFormat="1" x14ac:dyDescent="0.3"/>
    <row r="209" s="13" customFormat="1" x14ac:dyDescent="0.3"/>
    <row r="210" s="13" customFormat="1" x14ac:dyDescent="0.3"/>
    <row r="211" s="13" customFormat="1" x14ac:dyDescent="0.3"/>
    <row r="212" s="13" customFormat="1" x14ac:dyDescent="0.3"/>
    <row r="213" s="13" customFormat="1" x14ac:dyDescent="0.3"/>
    <row r="214" s="13" customFormat="1" x14ac:dyDescent="0.3"/>
    <row r="215" s="13" customFormat="1" x14ac:dyDescent="0.3"/>
    <row r="216" s="13" customFormat="1" x14ac:dyDescent="0.3"/>
    <row r="217" s="13" customFormat="1" x14ac:dyDescent="0.3"/>
    <row r="218" s="13" customFormat="1" x14ac:dyDescent="0.3"/>
    <row r="219" s="13" customFormat="1" x14ac:dyDescent="0.3"/>
    <row r="220" s="13" customFormat="1" x14ac:dyDescent="0.3"/>
    <row r="221" s="13" customFormat="1" x14ac:dyDescent="0.3"/>
    <row r="222" s="13" customFormat="1" x14ac:dyDescent="0.3"/>
    <row r="223" s="13" customFormat="1" x14ac:dyDescent="0.3"/>
    <row r="224" s="13" customFormat="1" x14ac:dyDescent="0.3"/>
    <row r="225" s="13" customFormat="1" x14ac:dyDescent="0.3"/>
    <row r="226" s="13" customFormat="1" x14ac:dyDescent="0.3"/>
    <row r="227" s="13" customFormat="1" x14ac:dyDescent="0.3"/>
    <row r="228" s="13" customFormat="1" x14ac:dyDescent="0.3"/>
    <row r="229" s="13" customFormat="1" x14ac:dyDescent="0.3"/>
    <row r="230" s="13" customFormat="1" x14ac:dyDescent="0.3"/>
    <row r="231" s="13" customFormat="1" x14ac:dyDescent="0.3"/>
    <row r="232" s="13" customFormat="1" x14ac:dyDescent="0.3"/>
    <row r="233" s="13" customFormat="1" x14ac:dyDescent="0.3"/>
    <row r="234" s="13" customFormat="1" x14ac:dyDescent="0.3"/>
    <row r="235" s="13" customFormat="1" x14ac:dyDescent="0.3"/>
    <row r="236" s="13" customFormat="1" x14ac:dyDescent="0.3"/>
    <row r="237" s="13" customFormat="1" x14ac:dyDescent="0.3"/>
    <row r="238" s="13" customFormat="1" x14ac:dyDescent="0.3"/>
    <row r="239" s="13" customFormat="1" x14ac:dyDescent="0.3"/>
    <row r="240" s="13" customFormat="1" x14ac:dyDescent="0.3"/>
    <row r="241" s="13" customFormat="1" x14ac:dyDescent="0.3"/>
    <row r="242" s="13" customFormat="1" x14ac:dyDescent="0.3"/>
    <row r="243" s="13" customFormat="1" x14ac:dyDescent="0.3"/>
    <row r="244" s="13" customFormat="1" x14ac:dyDescent="0.3"/>
    <row r="245" s="13" customFormat="1" x14ac:dyDescent="0.3"/>
    <row r="246" s="13" customFormat="1" x14ac:dyDescent="0.3"/>
    <row r="247" s="13" customFormat="1" x14ac:dyDescent="0.3"/>
    <row r="248" s="13" customFormat="1" x14ac:dyDescent="0.3"/>
    <row r="249" s="13" customFormat="1" x14ac:dyDescent="0.3"/>
    <row r="250" s="13" customFormat="1" x14ac:dyDescent="0.3"/>
    <row r="251" s="13" customFormat="1" x14ac:dyDescent="0.3"/>
    <row r="252" s="13" customFormat="1" x14ac:dyDescent="0.3"/>
    <row r="253" s="13" customFormat="1" x14ac:dyDescent="0.3"/>
    <row r="254" s="13" customFormat="1" x14ac:dyDescent="0.3"/>
    <row r="255" s="13" customFormat="1" x14ac:dyDescent="0.3"/>
    <row r="256" s="13" customFormat="1" x14ac:dyDescent="0.3"/>
    <row r="257" s="13" customFormat="1" x14ac:dyDescent="0.3"/>
    <row r="258" s="13" customFormat="1" x14ac:dyDescent="0.3"/>
    <row r="259" s="13" customFormat="1" x14ac:dyDescent="0.3"/>
    <row r="260" s="13" customFormat="1" x14ac:dyDescent="0.3"/>
    <row r="261" s="13" customFormat="1" x14ac:dyDescent="0.3"/>
    <row r="262" s="13" customFormat="1" x14ac:dyDescent="0.3"/>
    <row r="263" s="13" customFormat="1" x14ac:dyDescent="0.3"/>
    <row r="264" s="13" customFormat="1" x14ac:dyDescent="0.3"/>
    <row r="265" s="13" customFormat="1" x14ac:dyDescent="0.3"/>
    <row r="266" s="13" customFormat="1" x14ac:dyDescent="0.3"/>
    <row r="267" s="13" customFormat="1" x14ac:dyDescent="0.3"/>
    <row r="268" s="13" customFormat="1" x14ac:dyDescent="0.3"/>
    <row r="269" s="13" customFormat="1" x14ac:dyDescent="0.3"/>
    <row r="270" s="13" customFormat="1" x14ac:dyDescent="0.3"/>
    <row r="271" s="13" customFormat="1" x14ac:dyDescent="0.3"/>
    <row r="272" s="13" customFormat="1" x14ac:dyDescent="0.3"/>
    <row r="273" s="13" customFormat="1" x14ac:dyDescent="0.3"/>
    <row r="274" s="13" customFormat="1" x14ac:dyDescent="0.3"/>
    <row r="275" s="13" customFormat="1" x14ac:dyDescent="0.3"/>
    <row r="276" s="13" customFormat="1" x14ac:dyDescent="0.3"/>
    <row r="277" s="13" customFormat="1" x14ac:dyDescent="0.3"/>
    <row r="278" s="13" customFormat="1" x14ac:dyDescent="0.3"/>
    <row r="279" s="13" customFormat="1" x14ac:dyDescent="0.3"/>
    <row r="280" s="13" customFormat="1" x14ac:dyDescent="0.3"/>
    <row r="281" s="13" customFormat="1" x14ac:dyDescent="0.3"/>
    <row r="282" s="13" customFormat="1" x14ac:dyDescent="0.3"/>
    <row r="283" s="13" customFormat="1" x14ac:dyDescent="0.3"/>
    <row r="284" s="13" customFormat="1" x14ac:dyDescent="0.3"/>
    <row r="285" s="13" customFormat="1" x14ac:dyDescent="0.3"/>
    <row r="286" s="13" customFormat="1" x14ac:dyDescent="0.3"/>
    <row r="287" s="13" customFormat="1" x14ac:dyDescent="0.3"/>
    <row r="288" s="13" customFormat="1" x14ac:dyDescent="0.3"/>
    <row r="289" s="13" customFormat="1" x14ac:dyDescent="0.3"/>
    <row r="290" s="13" customFormat="1" x14ac:dyDescent="0.3"/>
    <row r="291" s="13" customFormat="1" x14ac:dyDescent="0.3"/>
    <row r="292" s="13" customFormat="1" x14ac:dyDescent="0.3"/>
    <row r="293" s="13" customFormat="1" x14ac:dyDescent="0.3"/>
    <row r="294" s="13" customFormat="1" x14ac:dyDescent="0.3"/>
    <row r="295" s="13" customFormat="1" x14ac:dyDescent="0.3"/>
    <row r="296" s="13" customFormat="1" x14ac:dyDescent="0.3"/>
    <row r="297" s="13" customFormat="1" x14ac:dyDescent="0.3"/>
    <row r="298" s="13" customFormat="1" x14ac:dyDescent="0.3"/>
    <row r="299" s="13" customFormat="1" x14ac:dyDescent="0.3"/>
    <row r="300" s="13" customFormat="1" x14ac:dyDescent="0.3"/>
    <row r="301" s="13" customFormat="1" x14ac:dyDescent="0.3"/>
    <row r="302" s="13" customFormat="1" x14ac:dyDescent="0.3"/>
    <row r="303" s="13" customFormat="1" x14ac:dyDescent="0.3"/>
    <row r="304" s="13" customFormat="1" x14ac:dyDescent="0.3"/>
    <row r="305" s="13" customFormat="1" x14ac:dyDescent="0.3"/>
    <row r="306" s="13" customFormat="1" x14ac:dyDescent="0.3"/>
    <row r="307" s="13" customFormat="1" x14ac:dyDescent="0.3"/>
    <row r="308" s="13" customFormat="1" x14ac:dyDescent="0.3"/>
    <row r="309" s="13" customFormat="1" x14ac:dyDescent="0.3"/>
    <row r="310" s="13" customFormat="1" x14ac:dyDescent="0.3"/>
    <row r="311" s="13" customFormat="1" x14ac:dyDescent="0.3"/>
    <row r="312" s="13" customFormat="1" x14ac:dyDescent="0.3"/>
    <row r="313" s="13" customFormat="1" x14ac:dyDescent="0.3"/>
    <row r="314" s="13" customFormat="1" x14ac:dyDescent="0.3"/>
    <row r="315" s="13" customFormat="1" x14ac:dyDescent="0.3"/>
    <row r="316" s="13" customFormat="1" x14ac:dyDescent="0.3"/>
    <row r="317" s="13" customFormat="1" x14ac:dyDescent="0.3"/>
    <row r="318" s="13" customFormat="1" x14ac:dyDescent="0.3"/>
    <row r="319" s="13" customFormat="1" x14ac:dyDescent="0.3"/>
    <row r="320" s="13" customFormat="1" x14ac:dyDescent="0.3"/>
    <row r="321" s="13" customFormat="1" x14ac:dyDescent="0.3"/>
    <row r="322" s="13" customFormat="1" x14ac:dyDescent="0.3"/>
    <row r="323" s="13" customFormat="1" x14ac:dyDescent="0.3"/>
    <row r="324" s="13" customFormat="1" x14ac:dyDescent="0.3"/>
    <row r="325" s="13" customFormat="1" x14ac:dyDescent="0.3"/>
    <row r="326" s="13" customFormat="1" x14ac:dyDescent="0.3"/>
    <row r="327" s="13" customFormat="1" x14ac:dyDescent="0.3"/>
    <row r="328" s="13" customFormat="1" x14ac:dyDescent="0.3"/>
    <row r="329" s="13" customFormat="1" x14ac:dyDescent="0.3"/>
    <row r="330" s="13" customFormat="1" x14ac:dyDescent="0.3"/>
    <row r="331" s="13" customFormat="1" x14ac:dyDescent="0.3"/>
    <row r="332" s="13" customFormat="1" x14ac:dyDescent="0.3"/>
    <row r="333" s="13" customFormat="1" x14ac:dyDescent="0.3"/>
    <row r="334" s="13" customFormat="1" x14ac:dyDescent="0.3"/>
    <row r="335" s="13" customFormat="1" x14ac:dyDescent="0.3"/>
    <row r="336" s="13" customFormat="1" x14ac:dyDescent="0.3"/>
    <row r="337" s="13" customFormat="1" x14ac:dyDescent="0.3"/>
    <row r="338" s="13" customFormat="1" x14ac:dyDescent="0.3"/>
    <row r="339" s="13" customFormat="1" x14ac:dyDescent="0.3"/>
    <row r="340" s="13" customFormat="1" x14ac:dyDescent="0.3"/>
    <row r="341" s="13" customFormat="1" x14ac:dyDescent="0.3"/>
    <row r="342" s="13" customFormat="1" x14ac:dyDescent="0.3"/>
    <row r="343" s="13" customFormat="1" x14ac:dyDescent="0.3"/>
    <row r="344" s="13" customFormat="1" x14ac:dyDescent="0.3"/>
    <row r="345" s="13" customFormat="1" x14ac:dyDescent="0.3"/>
    <row r="346" s="13" customFormat="1" x14ac:dyDescent="0.3"/>
    <row r="347" s="13" customFormat="1" x14ac:dyDescent="0.3"/>
  </sheetData>
  <mergeCells count="15">
    <mergeCell ref="A10:A14"/>
    <mergeCell ref="A18:A22"/>
    <mergeCell ref="A7:A9"/>
    <mergeCell ref="C4:G4"/>
    <mergeCell ref="A4:A6"/>
    <mergeCell ref="B4:B6"/>
    <mergeCell ref="C6:G6"/>
    <mergeCell ref="A50:G50"/>
    <mergeCell ref="A39:A41"/>
    <mergeCell ref="A42:A44"/>
    <mergeCell ref="A31:A33"/>
    <mergeCell ref="A16:A17"/>
    <mergeCell ref="A24:A25"/>
    <mergeCell ref="A49:G49"/>
    <mergeCell ref="A26:A30"/>
  </mergeCells>
  <conditionalFormatting sqref="A7:G7 E7:E8 B8:G9 A10:G10 B11:G14 A15:G17 C18:E22 G18:G22 B23:G23 C24:E25 G24:G25">
    <cfRule type="expression" dxfId="832" priority="44">
      <formula>IF($B$1=$F$5,1,0)</formula>
    </cfRule>
  </conditionalFormatting>
  <conditionalFormatting sqref="A7:G7 E7:E8 B8:G9 A10:G10 B11:G14 A15:G17 C18:F22 B23:G23 A24:G30 C31:F33 A34:G35">
    <cfRule type="expression" dxfId="831" priority="43">
      <formula>IF($B$1=$G$5,1,0)</formula>
    </cfRule>
  </conditionalFormatting>
  <conditionalFormatting sqref="A7:G7 E7:E8 B8:G9 C10:C15 E10:G15 A16:G17 C18:C23 E18:G23 A24:G25 E26:G44 C26:C45">
    <cfRule type="expression" dxfId="830" priority="46">
      <formula>IF($B$1=$D$5,1,0)</formula>
    </cfRule>
  </conditionalFormatting>
  <conditionalFormatting sqref="A10:G10 B11:G14 A15:G15 C16:D17 F16:G17 A18:G18 B19:G22 A23:G23 C24:D25 F24:G25 A26:G30 C31:D33 F31:G33 A34:G35 C36:D45 F36:G45">
    <cfRule type="expression" dxfId="828" priority="45">
      <formula>IF($B$1=$E$5,1,0)</formula>
    </cfRule>
  </conditionalFormatting>
  <conditionalFormatting sqref="A26:G46">
    <cfRule type="expression" dxfId="825" priority="9">
      <formula>IF($B$1=$F$5,1,0)</formula>
    </cfRule>
  </conditionalFormatting>
  <conditionalFormatting sqref="A45:G46">
    <cfRule type="expression" dxfId="821" priority="8">
      <formula>IF($B$1=$G$5,1,0)</formula>
    </cfRule>
    <cfRule type="expression" dxfId="820" priority="11">
      <formula>IF($B$1=$D$5,1,0)</formula>
    </cfRule>
  </conditionalFormatting>
  <conditionalFormatting sqref="C46:E46">
    <cfRule type="expression" dxfId="815" priority="29">
      <formula>IF($B$1=$C$5,1,0)</formula>
    </cfRule>
  </conditionalFormatting>
  <conditionalFormatting sqref="C7:G9">
    <cfRule type="expression" dxfId="814" priority="1">
      <formula>IF($B$1=$E$5,1,0)</formula>
    </cfRule>
  </conditionalFormatting>
  <conditionalFormatting sqref="C46:G46">
    <cfRule type="expression" dxfId="813" priority="10">
      <formula>IF($B$1=$E$5,1,0)</formula>
    </cfRule>
  </conditionalFormatting>
  <conditionalFormatting sqref="D7:G45">
    <cfRule type="expression" dxfId="812" priority="50">
      <formula>IF($B$1=$C$5,1,0)</formula>
    </cfRule>
  </conditionalFormatting>
  <conditionalFormatting sqref="G46">
    <cfRule type="expression" dxfId="811" priority="20">
      <formula>IF($B$1=$C$5,1,0)</formula>
    </cfRule>
  </conditionalFormatting>
  <dataValidations count="1">
    <dataValidation type="list" allowBlank="1" showInputMessage="1" showErrorMessage="1" promptTitle="Wybierz" prompt="beneficjenta wsparcia" sqref="B1" xr:uid="{00000000-0002-0000-0000-000000000000}">
      <formula1>$C$5:$G$5</formula1>
    </dataValidation>
  </dataValidations>
  <hyperlinks>
    <hyperlink ref="B11" location="'Wniosek kupno'!A5" display="Kupno lub kupno połączone z remontem" xr:uid="{00000000-0004-0000-0000-000000000000}"/>
    <hyperlink ref="B12" location="'Wniosek art 3 remontlubprzebudo'!A5" display="Remont lub przebudowa budynku mieszkalnego" xr:uid="{00000000-0004-0000-0000-000001000000}"/>
    <hyperlink ref="B19" location="'Wniosek kupno'!A5" display="Kupno lub kupno połączone z remontem" xr:uid="{00000000-0004-0000-0000-000002000000}"/>
    <hyperlink ref="B20" location="'Wniosek art 3 remontlubprzebudo'!A1" display="Remont lub przebudowa budynku mieszkalnego" xr:uid="{00000000-0004-0000-0000-000003000000}"/>
    <hyperlink ref="B27" location="'Wniosek kupno'!A5" display="Kupno lub kupno połączone z remontem" xr:uid="{00000000-0004-0000-0000-000004000000}"/>
    <hyperlink ref="B28" location="'Wniosek lm dla powodzian'!A5" display="Remont lub przebudowa budynku niemieszkalnego lub mieszkalnego" xr:uid="{00000000-0004-0000-0000-000005000000}"/>
    <hyperlink ref="B31" location="Ogrzewalnia!A5" display="Remont lub przebudowa budynku niemieszkalnego lub mieszkalnego z decyzją PINB (art. 66 ust. 2 lub art. 68 pkt 1 Prawa budowlanego)" xr:uid="{00000000-0004-0000-0000-000006000000}"/>
    <hyperlink ref="B32" location="Ogrzewalnia!A5" display="Zmiana sposobu użytkowania budynku" xr:uid="{00000000-0004-0000-0000-000007000000}"/>
    <hyperlink ref="B34" location="'Wniosek inne '!A5" display="Zmiana sposobu użytkowania budynku" xr:uid="{00000000-0004-0000-0000-000008000000}"/>
    <hyperlink ref="B35" location="'Wniosek kupno'!A5" display="Kupno lub kupno połączone z remontem" xr:uid="{00000000-0004-0000-0000-000009000000}"/>
    <hyperlink ref="B36" location="Noclegownia!A5" display="Remont lub przebudowa budynku niemieszkalnego lub mieszkalnego z decyzją PINB (art. 66 ust. 2 lub art. 68 pkt 1 Prawa budowlanego)" xr:uid="{00000000-0004-0000-0000-00000A000000}"/>
    <hyperlink ref="B37" location="Schronisko!A5" display="Remont lub przebudowa budynku niemieszkalnego lub mieszkalnego z decyzją PINB (art. 66 ust. 2 lub art. 68 pkt 1 Prawa budowlanego)" xr:uid="{00000000-0004-0000-0000-00000B000000}"/>
    <hyperlink ref="B38" location="Ogrzewalnia!A5" display="Remont lub przebudowa budynku niemieszkalnego lub mieszkalnego z decyzją PINB (art. 66 ust. 2 lub art. 68 pkt 1 Prawa budowlanego)" xr:uid="{00000000-0004-0000-0000-00000C000000}"/>
    <hyperlink ref="B39" location="Noclegownia!A5" display="Budowa budynku" xr:uid="{00000000-0004-0000-0000-00000D000000}"/>
    <hyperlink ref="B40" location="Noclegownia!A5" display="Remont lub przebudowa budynku niemieszkalnego lub mieszkalnego z decyzją PINB (art. 66 ust. 2 lub art. 68 pkt 1 Prawa budowlanego)" xr:uid="{00000000-0004-0000-0000-00000E000000}"/>
    <hyperlink ref="B41" location="Noclegownia!A5" display="Zmiana sposobu użytkowania budynku" xr:uid="{00000000-0004-0000-0000-00000F000000}"/>
    <hyperlink ref="B42" location="Schronisko!A5" display="Budowa budynku" xr:uid="{00000000-0004-0000-0000-000010000000}"/>
    <hyperlink ref="B43" location="Schronisko!A5" display="Remont lub przebudowa budynku niemieszkalnego lub mieszkalnego z decyzją PINB (art. 66 ust. 2 lub art. 68 pkt 1 Prawa budowlanego)" xr:uid="{00000000-0004-0000-0000-000011000000}"/>
    <hyperlink ref="B44" location="Schronisko!A5" display="Zmiana sposobu użytkowania budynku" xr:uid="{00000000-0004-0000-0000-000012000000}"/>
    <hyperlink ref="B33" location="Budowa_Ogrzewalni_mieszane!A5" display="Budowa budynku **" xr:uid="{00000000-0004-0000-0000-000013000000}"/>
    <hyperlink ref="B7" location="'Wniosek art 5 budowa'!A5" display="Budowa budynku" xr:uid="{00000000-0004-0000-0000-000014000000}"/>
    <hyperlink ref="B16" location="'Wniosek art 5a budowa'!A5" display="Budowa budynku" xr:uid="{00000000-0004-0000-0000-000015000000}"/>
    <hyperlink ref="B8" location="'Wnioski art 5 inne'!A1" display="Remont lub przebudowa budynku niemieszkalnego" xr:uid="{00000000-0004-0000-0000-000016000000}"/>
    <hyperlink ref="B24" location="'Wniosek art 5a budowa'!A5" display="Budowa budynku" xr:uid="{00000000-0004-0000-0000-000017000000}"/>
    <hyperlink ref="B25" location="'Wnioski art 5a inne'!A1" display="Remont lub przebudowa budynku niemieszkalnego lub mieszkalnego" xr:uid="{00000000-0004-0000-0000-000018000000}"/>
    <hyperlink ref="B10" location="'Wniosek art 3 budowa'!A5" display="Budowa budynku" xr:uid="{00000000-0004-0000-0000-000019000000}"/>
    <hyperlink ref="B18" location="'Wniosek art 3 budowa'!A5" display="Budowa budynku" xr:uid="{00000000-0004-0000-0000-00001A000000}"/>
    <hyperlink ref="B26" location="'Wniosek lm dla powodzian'!A5" display="Budowa budynku" xr:uid="{00000000-0004-0000-0000-00001B000000}"/>
    <hyperlink ref="B14" location="'Wniosek inne '!A1" display="Zmiana sposobu użytkowania budynku" xr:uid="{00000000-0004-0000-0000-00001C000000}"/>
    <hyperlink ref="B22" location="'Wniosek inne '!A1" display="Zmiana sposobu użytkowania budynku" xr:uid="{00000000-0004-0000-0000-00001D000000}"/>
    <hyperlink ref="B29" location="'Wniosek lm dla powodzian'!A5" display="Zmiana sposobu użytkowania budynku" xr:uid="{00000000-0004-0000-0000-00001E000000}"/>
    <hyperlink ref="B15" location="'Wniosek inne '!Obszar_wydruku" display="Remont lub przebudowa lokalu mieszkalnego - premia remontowa" xr:uid="{00000000-0004-0000-0000-00001F000000}"/>
    <hyperlink ref="B23" location="'Wniosek inne '!A1" display="Remont lub przebudowa lokalu mieszkalnego " xr:uid="{00000000-0004-0000-0000-000020000000}"/>
    <hyperlink ref="B30" location="'Wniosek lm dla powodzian'!A5" display="Remont lub przebudowa lokalu mieszkalnego - premia remontowa" xr:uid="{00000000-0004-0000-0000-000021000000}"/>
    <hyperlink ref="B45" location="'Przedsięwzięcia infrast gzm'!B5" display="budowa lub przebudowa" xr:uid="{00000000-0004-0000-0000-000022000000}"/>
    <hyperlink ref="B46" location="'Przedsięwzięcia infrast powiat'!B5" display="budowa lub przebudowa" xr:uid="{00000000-0004-0000-0000-000023000000}"/>
    <hyperlink ref="B17" location="'Wnioski art 5a inne'!A1" display="Remont lub przebudowa budynku niemieszkalnego" xr:uid="{00000000-0004-0000-0000-000024000000}"/>
    <hyperlink ref="B13" location="'Wniosek inne '!A1" display="Remont lub przebudowa budynku niemieszkalnego" xr:uid="{00000000-0004-0000-0000-000025000000}"/>
    <hyperlink ref="B21" location="'Wniosek inne '!A5" display="Remont lub przebudowa budynku niemieszkalnego" xr:uid="{00000000-0004-0000-0000-000026000000}"/>
    <hyperlink ref="B9" location="'Wniosek SAN'!Obszar_wydruku" display="Remont lub przebudowa budynku SAN" xr:uid="{00000000-0004-0000-0000-000027000000}"/>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7" id="{C18F1B9C-274B-4DF0-90AD-B0D31B9F94DC}">
            <xm:f>IF($B$3=Słowniki!$A$29,1,0)</xm:f>
            <x14:dxf>
              <fill>
                <patternFill patternType="lightTrellis"/>
              </fill>
            </x14:dxf>
          </x14:cfRule>
          <xm:sqref>A7:G7 E7:E8 B8:G9 A10:G10 B11:G14 A15:G15 A18:G18 B19:G22 A23:G23</xm:sqref>
        </x14:conditionalFormatting>
        <x14:conditionalFormatting xmlns:xm="http://schemas.microsoft.com/office/excel/2006/main">
          <x14:cfRule type="expression" priority="39" id="{3386B421-0B6C-456F-B878-C4C55DE4C4E6}">
            <xm:f>IF($B$2=Słowniki!$A$24,1,0)</xm:f>
            <x14:dxf>
              <fill>
                <patternFill patternType="lightTrellis"/>
              </fill>
            </x14:dxf>
          </x14:cfRule>
          <xm:sqref>A7:G7 E7:E8 B8:G10 B12:G15 A16:G17 B18:G18 B20:G23 A24:G25 B26:G26 B28:G30 A31:G34</xm:sqref>
        </x14:conditionalFormatting>
        <x14:conditionalFormatting xmlns:xm="http://schemas.microsoft.com/office/excel/2006/main">
          <x14:cfRule type="expression" priority="38" id="{C6BB632D-DB56-4602-9924-20C79A01E596}">
            <xm:f>IF($B$3=Słowniki!$A$28,1,0)</xm:f>
            <x14:dxf>
              <fill>
                <patternFill patternType="lightTrellis"/>
              </fill>
            </x14:dxf>
          </x14:cfRule>
          <xm:sqref>A10:G10 B11:G14 A15:G18 B19:G22 A23:G44</xm:sqref>
        </x14:conditionalFormatting>
        <x14:conditionalFormatting xmlns:xm="http://schemas.microsoft.com/office/excel/2006/main">
          <x14:cfRule type="expression" priority="4" id="{DB7E5555-E5F1-4F6D-86B6-5737CBF8649D}">
            <xm:f>IF($B$3=Słowniki!$A$29,1,0)</xm:f>
            <x14:dxf>
              <fill>
                <patternFill patternType="lightTrellis"/>
              </fill>
            </x14:dxf>
          </x14:cfRule>
          <xm:sqref>A26:G46</xm:sqref>
        </x14:conditionalFormatting>
        <x14:conditionalFormatting xmlns:xm="http://schemas.microsoft.com/office/excel/2006/main">
          <x14:cfRule type="expression" priority="5" id="{F860B181-A776-442B-837D-8745A070D631}">
            <xm:f>IF($B$2=Słowniki!$A$24,1,0)</xm:f>
            <x14:dxf>
              <fill>
                <patternFill patternType="lightTrellis"/>
              </fill>
            </x14:dxf>
          </x14:cfRule>
          <xm:sqref>A36:G46</xm:sqref>
        </x14:conditionalFormatting>
        <x14:conditionalFormatting xmlns:xm="http://schemas.microsoft.com/office/excel/2006/main">
          <x14:cfRule type="expression" priority="6" id="{173E64FA-1B7E-4316-B704-55B29B30DF4B}">
            <xm:f>IF($B$2=Słowniki!$A$23,1,0)</xm:f>
            <x14:dxf>
              <fill>
                <patternFill patternType="lightTrellis"/>
              </fill>
            </x14:dxf>
          </x14:cfRule>
          <x14:cfRule type="expression" priority="7" id="{2F2B1394-9DF3-4039-9693-286021FA4266}">
            <xm:f>IF($B$2=Słowniki!$A$22,1,0)</xm:f>
            <x14:dxf>
              <fill>
                <patternFill patternType="lightTrellis"/>
              </fill>
            </x14:dxf>
          </x14:cfRule>
          <xm:sqref>A45:G46</xm:sqref>
        </x14:conditionalFormatting>
        <x14:conditionalFormatting xmlns:xm="http://schemas.microsoft.com/office/excel/2006/main">
          <x14:cfRule type="expression" priority="3" id="{ECA83708-4DDC-42A6-A896-BE79901FC17D}">
            <xm:f>IF($B$3=Słowniki!$A$29,1,0)</xm:f>
            <x14:dxf>
              <fill>
                <patternFill patternType="lightTrellis"/>
              </fill>
            </x14:dxf>
          </x14:cfRule>
          <xm:sqref>B17</xm:sqref>
        </x14:conditionalFormatting>
        <x14:conditionalFormatting xmlns:xm="http://schemas.microsoft.com/office/excel/2006/main">
          <x14:cfRule type="expression" priority="41" id="{3B1EDE5B-4B1A-44D0-A492-ABD094936698}">
            <xm:f>IF($B$2=Słowniki!$A$22,1,0)</xm:f>
            <x14:dxf>
              <fill>
                <patternFill patternType="lightTrellis"/>
              </fill>
            </x14:dxf>
          </x14:cfRule>
          <xm:sqref>B7:G7 E7:E8 B10:G11 B14:G14 B16:G19 B22:G22 B24:G24 B26:G27 B29:G29 B32:G33 A34:G35 B39:G39 B41:G42 B44:G44</xm:sqref>
        </x14:conditionalFormatting>
        <x14:conditionalFormatting xmlns:xm="http://schemas.microsoft.com/office/excel/2006/main">
          <x14:cfRule type="expression" priority="40" id="{C6897992-9F67-4E07-A39D-735FBA1AFF9E}">
            <xm:f>IF($B$2=Słowniki!$A$23,1,0)</xm:f>
            <x14:dxf>
              <fill>
                <patternFill patternType="lightTrellis"/>
              </fill>
            </x14:dxf>
          </x14:cfRule>
          <xm:sqref>B7:G13 B15:G21 B23:G28 B30:G31 B33:G33 A35:G38 B39:G40 B42:G43</xm:sqref>
        </x14:conditionalFormatting>
        <x14:conditionalFormatting xmlns:xm="http://schemas.microsoft.com/office/excel/2006/main">
          <x14:cfRule type="expression" priority="42" id="{02BDF076-9FD4-4E79-8275-58D74A039CAE}">
            <xm:f>IF($B$2=Słowniki!$A$21,1,0)</xm:f>
            <x14:dxf>
              <fill>
                <patternFill patternType="lightTrellis"/>
              </fill>
            </x14:dxf>
          </x14:cfRule>
          <xm:sqref>B8:G9 B11:G15 B17 B19:G23 B25:G25 B27:G32 A34:G38 B40:G41 B43:G44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Title="Wybierz" prompt="rodzaj realizowanego przedsięwzięcia" xr:uid="{00000000-0002-0000-0000-000001000000}">
          <x14:formula1>
            <xm:f>Słowniki!$A$21:$A$24</xm:f>
          </x14:formula1>
          <xm:sqref>B2</xm:sqref>
        </x14:dataValidation>
        <x14:dataValidation type="list" allowBlank="1" showInputMessage="1" showErrorMessage="1" promptTitle="Wybierz" prompt="rodzaj realizowanego przedsięwzięcia" xr:uid="{00000000-0002-0000-0000-000002000000}">
          <x14:formula1>
            <xm:f>Słowniki!$A$28:$A$30</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2"/>
  <dimension ref="A1:BB193"/>
  <sheetViews>
    <sheetView showGridLines="0" topLeftCell="A184" zoomScaleNormal="100" workbookViewId="0">
      <selection activeCell="AM189" sqref="AM189"/>
    </sheetView>
  </sheetViews>
  <sheetFormatPr defaultColWidth="9.33203125" defaultRowHeight="13.8" x14ac:dyDescent="0.25"/>
  <cols>
    <col min="1" max="1" width="3.33203125" style="60" customWidth="1"/>
    <col min="2" max="2" width="4" style="60" customWidth="1"/>
    <col min="3" max="3" width="2.33203125" style="60" customWidth="1"/>
    <col min="4" max="4" width="2.5546875" style="60" customWidth="1"/>
    <col min="5" max="5" width="2" style="60" customWidth="1"/>
    <col min="6" max="6" width="1.6640625" style="60" customWidth="1"/>
    <col min="7" max="7" width="1.44140625" style="60" customWidth="1"/>
    <col min="8" max="8" width="2.33203125" style="60" customWidth="1"/>
    <col min="9" max="9" width="2.44140625" style="60" customWidth="1"/>
    <col min="10" max="10" width="1.5546875" style="60" customWidth="1"/>
    <col min="11" max="11" width="1.6640625" style="60" customWidth="1"/>
    <col min="12" max="12" width="5.33203125" style="60" customWidth="1"/>
    <col min="13" max="13" width="0.6640625" style="60" customWidth="1"/>
    <col min="14" max="14" width="3.44140625" style="60" customWidth="1"/>
    <col min="15" max="15" width="2.5546875" style="60" customWidth="1"/>
    <col min="16" max="17" width="1.5546875" style="60" customWidth="1"/>
    <col min="18" max="18" width="1.33203125" style="60" customWidth="1"/>
    <col min="19" max="19" width="2.33203125" style="60" customWidth="1"/>
    <col min="20" max="20" width="1.33203125" style="60" customWidth="1"/>
    <col min="21" max="21" width="1" style="60" customWidth="1"/>
    <col min="22" max="22" width="0.6640625" style="60" customWidth="1"/>
    <col min="23" max="23" width="3" style="60" customWidth="1"/>
    <col min="24" max="24" width="1.33203125" style="60" customWidth="1"/>
    <col min="25" max="25" width="1.44140625" style="60" customWidth="1"/>
    <col min="26" max="27" width="1.33203125" style="60" customWidth="1"/>
    <col min="28" max="28" width="2" style="60" customWidth="1"/>
    <col min="29" max="29" width="1" style="60" customWidth="1"/>
    <col min="30" max="31" width="1.6640625" style="60" customWidth="1"/>
    <col min="32" max="32" width="1.33203125" style="60" customWidth="1"/>
    <col min="33" max="33" width="1.6640625" style="60" customWidth="1"/>
    <col min="34" max="34" width="2.33203125" style="60" customWidth="1"/>
    <col min="35" max="35" width="1.44140625" style="60" customWidth="1"/>
    <col min="36" max="36" width="4" style="60" customWidth="1"/>
    <col min="37" max="37" width="9.33203125" style="60" customWidth="1"/>
    <col min="38" max="38" width="5.6640625" style="60" customWidth="1"/>
    <col min="39" max="39" width="114.33203125" style="77" customWidth="1"/>
    <col min="40" max="41" width="10.6640625" style="61" bestFit="1" customWidth="1"/>
    <col min="42" max="42" width="10.44140625" style="60" bestFit="1" customWidth="1"/>
    <col min="43" max="16384" width="9.33203125" style="60"/>
  </cols>
  <sheetData>
    <row r="1" spans="1:54" ht="28.9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75"/>
      <c r="AN1" s="70"/>
      <c r="AO1" s="70"/>
      <c r="AP1" s="70"/>
      <c r="AQ1" s="70"/>
      <c r="AR1" s="70"/>
      <c r="AS1" s="70"/>
      <c r="AT1" s="70"/>
      <c r="AU1" s="70"/>
      <c r="AV1" s="70"/>
      <c r="AW1" s="70"/>
      <c r="AX1" s="70"/>
      <c r="AY1" s="70"/>
      <c r="AZ1" s="70"/>
      <c r="BA1" s="70"/>
      <c r="BB1" s="70"/>
    </row>
    <row r="2" spans="1:54" x14ac:dyDescent="0.25">
      <c r="A2" s="69" t="s">
        <v>123</v>
      </c>
      <c r="B2" s="69"/>
      <c r="C2" s="69"/>
      <c r="D2" s="69"/>
      <c r="E2" s="69"/>
      <c r="F2" s="69"/>
      <c r="G2" s="69"/>
      <c r="H2" s="69"/>
      <c r="I2" s="69"/>
      <c r="J2" s="69"/>
      <c r="K2" s="69"/>
      <c r="L2" s="69"/>
      <c r="M2" s="69"/>
      <c r="N2" s="69"/>
      <c r="O2" s="69"/>
      <c r="P2" s="69"/>
      <c r="Q2" s="70"/>
      <c r="R2" s="70"/>
      <c r="S2" s="70"/>
      <c r="T2" s="70"/>
      <c r="U2" s="71"/>
      <c r="V2" s="71"/>
      <c r="W2" s="71"/>
      <c r="X2" s="71"/>
      <c r="Y2" s="72"/>
      <c r="Z2" s="71"/>
      <c r="AB2" s="71"/>
      <c r="AC2" s="71"/>
      <c r="AD2" s="71"/>
      <c r="AE2" s="71"/>
      <c r="AF2" s="71"/>
      <c r="AG2" s="71"/>
      <c r="AH2" s="71"/>
      <c r="AI2" s="71"/>
      <c r="AJ2" s="71"/>
      <c r="AK2" s="71"/>
      <c r="AL2" s="71"/>
      <c r="AM2" s="75"/>
      <c r="AN2" s="70"/>
      <c r="AO2" s="70"/>
      <c r="AP2" s="70"/>
      <c r="AQ2" s="70"/>
      <c r="AR2" s="70"/>
      <c r="AS2" s="70"/>
      <c r="AT2" s="70"/>
      <c r="AU2" s="70"/>
      <c r="AV2" s="70"/>
      <c r="AW2" s="70"/>
      <c r="AX2" s="70"/>
      <c r="AY2" s="70"/>
      <c r="AZ2" s="70"/>
      <c r="BA2" s="70"/>
      <c r="BB2" s="70"/>
    </row>
    <row r="3" spans="1:54" x14ac:dyDescent="0.25">
      <c r="AM3" s="82" t="s">
        <v>160</v>
      </c>
    </row>
    <row r="4" spans="1:54" ht="14.4" x14ac:dyDescent="0.3">
      <c r="A4" s="364"/>
      <c r="B4" s="365"/>
      <c r="C4" s="365"/>
      <c r="D4" s="365"/>
      <c r="E4" s="365"/>
      <c r="F4" s="365"/>
      <c r="G4" s="89"/>
      <c r="H4" s="366">
        <f ca="1">TODAY()</f>
        <v>46184</v>
      </c>
      <c r="I4" s="366"/>
      <c r="J4" s="366"/>
      <c r="K4" s="366"/>
      <c r="L4" s="366"/>
      <c r="M4" s="88"/>
      <c r="N4"/>
      <c r="O4"/>
      <c r="P4"/>
      <c r="Q4"/>
      <c r="R4"/>
      <c r="S4"/>
      <c r="T4"/>
      <c r="U4"/>
      <c r="V4"/>
      <c r="W4"/>
      <c r="X4"/>
      <c r="Y4"/>
      <c r="Z4"/>
      <c r="AA4" s="88"/>
      <c r="AB4" s="88"/>
      <c r="AC4" s="88"/>
      <c r="AD4" s="88"/>
      <c r="AE4" s="88"/>
      <c r="AF4" s="88"/>
      <c r="AG4" s="88"/>
      <c r="AH4" s="88"/>
      <c r="AI4" s="88"/>
      <c r="AJ4" s="88"/>
      <c r="AK4" s="88"/>
      <c r="AL4" s="88"/>
    </row>
    <row r="5" spans="1:54" ht="14.4" x14ac:dyDescent="0.3">
      <c r="A5" s="367" t="s">
        <v>125</v>
      </c>
      <c r="B5" s="367"/>
      <c r="C5" s="367"/>
      <c r="D5" s="367"/>
      <c r="E5" s="367"/>
      <c r="F5" s="367"/>
      <c r="G5" s="95"/>
      <c r="H5" s="367" t="s">
        <v>124</v>
      </c>
      <c r="I5" s="367"/>
      <c r="J5" s="367"/>
      <c r="K5" s="367"/>
      <c r="L5" s="367"/>
      <c r="M5" s="88"/>
      <c r="N5"/>
      <c r="O5"/>
      <c r="P5"/>
      <c r="Q5"/>
      <c r="R5"/>
      <c r="S5"/>
      <c r="T5"/>
      <c r="U5"/>
      <c r="V5"/>
      <c r="W5"/>
      <c r="X5"/>
      <c r="Y5"/>
      <c r="Z5"/>
      <c r="AA5" s="88"/>
      <c r="AB5" s="88"/>
      <c r="AC5" s="88"/>
      <c r="AD5" s="88"/>
      <c r="AE5" s="88"/>
      <c r="AF5" s="88"/>
      <c r="AG5" s="88"/>
      <c r="AH5" s="88"/>
      <c r="AI5" s="88"/>
      <c r="AJ5" s="88"/>
      <c r="AK5" s="88"/>
      <c r="AL5" s="88"/>
      <c r="AM5" s="433"/>
      <c r="AN5" s="433"/>
      <c r="AO5" s="433"/>
      <c r="AP5" s="433"/>
      <c r="AQ5" s="433"/>
      <c r="AR5" s="433"/>
    </row>
    <row r="6" spans="1:54" ht="14.4" x14ac:dyDescent="0.3">
      <c r="A6" s="141"/>
      <c r="B6" s="141"/>
      <c r="C6" s="141"/>
      <c r="D6" s="141"/>
      <c r="E6" s="141"/>
      <c r="F6" s="141"/>
      <c r="G6" s="95"/>
      <c r="H6" s="88"/>
      <c r="I6" s="88"/>
      <c r="J6" s="88"/>
      <c r="K6" s="88"/>
      <c r="L6" s="88"/>
      <c r="M6" s="88"/>
      <c r="N6"/>
      <c r="O6"/>
      <c r="P6"/>
      <c r="Q6"/>
      <c r="R6"/>
      <c r="S6"/>
      <c r="T6"/>
      <c r="U6"/>
      <c r="V6"/>
      <c r="W6"/>
      <c r="X6"/>
      <c r="Y6"/>
      <c r="Z6"/>
      <c r="AA6" s="88"/>
      <c r="AB6" s="88"/>
      <c r="AC6" s="88"/>
      <c r="AD6" s="88"/>
      <c r="AE6" s="88"/>
      <c r="AF6" s="88"/>
      <c r="AG6" s="88"/>
      <c r="AH6" s="88"/>
      <c r="AI6" s="88"/>
      <c r="AJ6" s="88"/>
      <c r="AK6" s="88"/>
      <c r="AL6" s="88"/>
    </row>
    <row r="7" spans="1:54" ht="27.45" customHeight="1" x14ac:dyDescent="0.25">
      <c r="A7" s="374" t="s">
        <v>962</v>
      </c>
      <c r="B7" s="374"/>
      <c r="C7" s="374"/>
      <c r="D7" s="374"/>
      <c r="E7" s="374"/>
      <c r="F7" s="374"/>
      <c r="G7" s="374" t="s">
        <v>963</v>
      </c>
      <c r="H7" s="374"/>
      <c r="I7" s="374"/>
      <c r="J7" s="374"/>
      <c r="K7" s="374"/>
      <c r="L7" s="374"/>
      <c r="M7" s="236"/>
      <c r="N7" s="376"/>
      <c r="O7" s="376"/>
      <c r="P7" s="376"/>
      <c r="Q7" s="237"/>
      <c r="R7" s="374" t="s">
        <v>964</v>
      </c>
      <c r="S7" s="374"/>
      <c r="T7" s="374"/>
      <c r="U7" s="374"/>
      <c r="V7" s="374"/>
      <c r="W7" s="374"/>
      <c r="X7" s="374"/>
      <c r="Y7" s="374"/>
      <c r="Z7" s="374"/>
      <c r="AA7" s="374"/>
      <c r="AB7" s="376"/>
      <c r="AC7" s="376"/>
      <c r="AD7" s="376"/>
      <c r="AE7" s="376"/>
      <c r="AF7" s="237"/>
      <c r="AG7" s="237"/>
      <c r="AH7" s="237"/>
      <c r="AI7" s="237"/>
      <c r="AJ7" s="237"/>
      <c r="AK7" s="237"/>
      <c r="AL7" s="237"/>
    </row>
    <row r="8" spans="1:54" ht="31.9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ht="117.4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row>
    <row r="10" spans="1:54" ht="14.4" x14ac:dyDescent="0.3">
      <c r="A10" s="88"/>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row>
    <row r="11" spans="1:54" ht="14.4"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ht="14.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row>
    <row r="15" spans="1:54" ht="14.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ht="14.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ht="28.2" customHeight="1" x14ac:dyDescent="0.25">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row>
    <row r="18" spans="1:39" ht="14.4"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ht="14.4" x14ac:dyDescent="0.25">
      <c r="A19" s="326"/>
      <c r="B19" s="36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row>
    <row r="20" spans="1:39" ht="28.9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ht="14.4"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40.950000000000003"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ht="14.4"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ht="14.4"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ht="14.4"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row>
    <row r="26" spans="1:39" ht="14.4"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row>
    <row r="27" spans="1:39" ht="14.4"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row>
    <row r="28" spans="1:39" ht="14.4" x14ac:dyDescent="0.25">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row>
    <row r="29" spans="1:39" ht="14.4" x14ac:dyDescent="0.25">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row>
    <row r="30" spans="1:39" ht="14.4" x14ac:dyDescent="0.25">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row>
    <row r="31" spans="1:39" ht="14.4" x14ac:dyDescent="0.25">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row>
    <row r="32" spans="1:39" ht="14.4" x14ac:dyDescent="0.25">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row>
    <row r="33" spans="1:39" ht="14.4" x14ac:dyDescent="0.25">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row>
    <row r="34" spans="1:39" ht="14.4" x14ac:dyDescent="0.25">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row>
    <row r="35" spans="1:39" ht="14.4" x14ac:dyDescent="0.25">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101"/>
    </row>
    <row r="36" spans="1:39" ht="14.4" x14ac:dyDescent="0.25">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101" t="s">
        <v>174</v>
      </c>
    </row>
    <row r="37" spans="1:39" ht="37.5" customHeight="1" x14ac:dyDescent="0.25">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101"/>
    </row>
    <row r="38" spans="1:39" ht="14.4"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101"/>
    </row>
    <row r="39" spans="1:39" ht="14.4" x14ac:dyDescent="0.25">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row>
    <row r="40" spans="1:39" ht="14.4" x14ac:dyDescent="0.25">
      <c r="A40" s="326" t="s">
        <v>1</v>
      </c>
      <c r="B40" s="351" t="s">
        <v>176</v>
      </c>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c r="AA40" s="351"/>
      <c r="AB40" s="351"/>
      <c r="AC40" s="351"/>
      <c r="AD40" s="351"/>
      <c r="AE40" s="351"/>
      <c r="AF40" s="351"/>
      <c r="AG40" s="351"/>
      <c r="AH40" s="351"/>
      <c r="AI40" s="351"/>
      <c r="AJ40" s="351"/>
      <c r="AK40" s="351"/>
      <c r="AL40" s="351"/>
    </row>
    <row r="41" spans="1:39" ht="14.4" x14ac:dyDescent="0.3">
      <c r="A41" s="326"/>
      <c r="B41" s="353" t="e">
        <f>T152</f>
        <v>#DIV/0!</v>
      </c>
      <c r="C41" s="353"/>
      <c r="D41" s="353"/>
      <c r="E41" s="353"/>
      <c r="F41" s="353"/>
      <c r="G41" s="353"/>
      <c r="H41" s="353"/>
      <c r="I41" s="353"/>
      <c r="J41" s="353"/>
      <c r="K41" s="353"/>
      <c r="L41" s="353"/>
      <c r="M41" s="353"/>
      <c r="N41" s="353"/>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133" t="s">
        <v>213</v>
      </c>
    </row>
    <row r="42" spans="1:39" ht="32.700000000000003" customHeight="1" x14ac:dyDescent="0.25">
      <c r="A42" s="343" t="s">
        <v>6</v>
      </c>
      <c r="B42" s="445" t="s">
        <v>1021</v>
      </c>
      <c r="C42" s="445"/>
      <c r="D42" s="445"/>
      <c r="E42" s="445"/>
      <c r="F42" s="445"/>
      <c r="G42" s="445"/>
      <c r="H42" s="445"/>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row>
    <row r="43" spans="1:39" ht="14.4" x14ac:dyDescent="0.25">
      <c r="A43" s="326"/>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77" t="s">
        <v>165</v>
      </c>
    </row>
    <row r="44" spans="1:39" ht="14.4" x14ac:dyDescent="0.25">
      <c r="A44" s="343" t="s">
        <v>7</v>
      </c>
      <c r="B44" s="444" t="s">
        <v>885</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row>
    <row r="45" spans="1:39" ht="14.4" x14ac:dyDescent="0.25">
      <c r="A45" s="32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row>
    <row r="46" spans="1:39" ht="14.4" x14ac:dyDescent="0.25">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ht="14.7" customHeight="1" x14ac:dyDescent="0.25">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row>
    <row r="48" spans="1:39" ht="25.95"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c r="AM48" s="77" t="s">
        <v>630</v>
      </c>
    </row>
    <row r="49" spans="1:43" ht="19.2"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t="e">
        <f>B$41</f>
        <v>#DIV/0!</v>
      </c>
      <c r="AA49" s="341"/>
      <c r="AB49" s="341"/>
      <c r="AC49" s="341"/>
      <c r="AD49" s="341"/>
      <c r="AE49" s="341"/>
      <c r="AF49" s="341"/>
      <c r="AG49" s="341"/>
      <c r="AH49" s="341"/>
      <c r="AI49" s="341"/>
      <c r="AJ49" s="341"/>
      <c r="AK49" s="341" t="e">
        <f>ROUND(Z49/Z$51,5)</f>
        <v>#DIV/0!</v>
      </c>
      <c r="AL49" s="341"/>
      <c r="AM49" s="77" t="s">
        <v>180</v>
      </c>
      <c r="AQ49" s="62"/>
    </row>
    <row r="50" spans="1:43"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Q50" s="62"/>
    </row>
    <row r="51" spans="1:43"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422" t="e">
        <f>SUM(Z48:AJ50)</f>
        <v>#DIV/0!</v>
      </c>
      <c r="AA51" s="422"/>
      <c r="AB51" s="422"/>
      <c r="AC51" s="422"/>
      <c r="AD51" s="422"/>
      <c r="AE51" s="422"/>
      <c r="AF51" s="422"/>
      <c r="AG51" s="422"/>
      <c r="AH51" s="422"/>
      <c r="AI51" s="422"/>
      <c r="AJ51" s="422"/>
      <c r="AK51" s="341" t="e">
        <f>SUM(AK48:AL50)</f>
        <v>#DIV/0!</v>
      </c>
      <c r="AL51" s="341"/>
      <c r="AM51" s="77" t="s">
        <v>1150</v>
      </c>
      <c r="AQ51" s="62"/>
    </row>
    <row r="52" spans="1:43" ht="54.45" customHeight="1" x14ac:dyDescent="0.25">
      <c r="A52" s="343" t="s">
        <v>11</v>
      </c>
      <c r="B52" s="374" t="s">
        <v>1070</v>
      </c>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c r="AA52" s="374"/>
      <c r="AB52" s="374"/>
      <c r="AC52" s="374"/>
      <c r="AD52" s="374"/>
      <c r="AE52" s="374"/>
      <c r="AF52" s="374"/>
      <c r="AG52" s="374"/>
      <c r="AH52" s="374"/>
      <c r="AI52" s="374"/>
      <c r="AJ52" s="374"/>
      <c r="AK52" s="374"/>
      <c r="AL52" s="374"/>
      <c r="AQ52" s="61"/>
    </row>
    <row r="53" spans="1:43" ht="60.45" customHeight="1" x14ac:dyDescent="0.3">
      <c r="A53" s="343"/>
      <c r="B53" s="388" t="s">
        <v>1072</v>
      </c>
      <c r="C53" s="389"/>
      <c r="D53" s="389"/>
      <c r="E53" s="389"/>
      <c r="F53" s="389"/>
      <c r="G53" s="389"/>
      <c r="H53" s="389"/>
      <c r="I53" s="389"/>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Q53" s="61"/>
    </row>
    <row r="54" spans="1:43" ht="14.7" customHeight="1" x14ac:dyDescent="0.3">
      <c r="A54" s="343"/>
      <c r="B54" s="390" t="s">
        <v>703</v>
      </c>
      <c r="C54" s="390"/>
      <c r="D54" s="390"/>
      <c r="E54" s="390"/>
      <c r="F54" s="390"/>
      <c r="G54" s="390"/>
      <c r="H54" s="390"/>
      <c r="I54" s="390"/>
      <c r="J54" s="390"/>
      <c r="K54" s="390"/>
      <c r="L54" s="390"/>
      <c r="M54" s="390"/>
      <c r="N54" s="390"/>
      <c r="O54" s="390"/>
      <c r="P54" s="390"/>
      <c r="Q54" s="390"/>
      <c r="R54" s="390"/>
      <c r="S54" s="386"/>
      <c r="T54" s="387"/>
      <c r="U54" s="387"/>
      <c r="V54" s="387"/>
      <c r="W54" s="387"/>
      <c r="X54" s="387"/>
      <c r="Y54" s="387"/>
      <c r="Z54" s="387"/>
      <c r="AA54" s="387"/>
      <c r="AB54" s="387"/>
      <c r="AC54" s="387"/>
      <c r="AD54" s="387"/>
      <c r="AE54" s="387"/>
      <c r="AF54" s="387"/>
      <c r="AG54" s="387"/>
      <c r="AH54" s="387"/>
      <c r="AI54" s="387"/>
      <c r="AJ54" s="387"/>
      <c r="AK54" s="387"/>
      <c r="AL54" s="387"/>
      <c r="AQ54" s="61"/>
    </row>
    <row r="55" spans="1:43" ht="14.7" customHeight="1" x14ac:dyDescent="0.3">
      <c r="A55" s="343"/>
      <c r="B55" s="390" t="s">
        <v>704</v>
      </c>
      <c r="C55" s="390"/>
      <c r="D55" s="390"/>
      <c r="E55" s="390"/>
      <c r="F55" s="390"/>
      <c r="G55" s="390"/>
      <c r="H55" s="390"/>
      <c r="I55" s="390"/>
      <c r="J55" s="390"/>
      <c r="K55" s="390"/>
      <c r="L55" s="390"/>
      <c r="M55" s="390"/>
      <c r="N55" s="390"/>
      <c r="O55" s="390"/>
      <c r="P55" s="390"/>
      <c r="Q55" s="390"/>
      <c r="R55" s="390"/>
      <c r="S55" s="386"/>
      <c r="T55" s="387"/>
      <c r="U55" s="387"/>
      <c r="V55" s="387"/>
      <c r="W55" s="387"/>
      <c r="X55" s="387"/>
      <c r="Y55" s="387"/>
      <c r="Z55" s="387"/>
      <c r="AA55" s="387"/>
      <c r="AB55" s="387"/>
      <c r="AC55" s="387"/>
      <c r="AD55" s="387"/>
      <c r="AE55" s="387"/>
      <c r="AF55" s="387"/>
      <c r="AG55" s="387"/>
      <c r="AH55" s="387"/>
      <c r="AI55" s="387"/>
      <c r="AJ55" s="387"/>
      <c r="AK55" s="387"/>
      <c r="AL55" s="387"/>
      <c r="AQ55" s="61"/>
    </row>
    <row r="56" spans="1:43" ht="14.7" customHeight="1" x14ac:dyDescent="0.3">
      <c r="A56" s="343"/>
      <c r="B56" s="390" t="s">
        <v>705</v>
      </c>
      <c r="C56" s="390"/>
      <c r="D56" s="390"/>
      <c r="E56" s="390"/>
      <c r="F56" s="390"/>
      <c r="G56" s="390"/>
      <c r="H56" s="390"/>
      <c r="I56" s="390"/>
      <c r="J56" s="390"/>
      <c r="K56" s="390"/>
      <c r="L56" s="390"/>
      <c r="M56" s="390"/>
      <c r="N56" s="390"/>
      <c r="O56" s="390"/>
      <c r="P56" s="390"/>
      <c r="Q56" s="390"/>
      <c r="R56" s="390"/>
      <c r="S56" s="386"/>
      <c r="T56" s="387"/>
      <c r="U56" s="387"/>
      <c r="V56" s="387"/>
      <c r="W56" s="387"/>
      <c r="X56" s="387"/>
      <c r="Y56" s="387"/>
      <c r="Z56" s="387"/>
      <c r="AA56" s="387"/>
      <c r="AB56" s="387"/>
      <c r="AC56" s="387"/>
      <c r="AD56" s="387"/>
      <c r="AE56" s="387"/>
      <c r="AF56" s="387"/>
      <c r="AG56" s="387"/>
      <c r="AH56" s="387"/>
      <c r="AI56" s="387"/>
      <c r="AJ56" s="387"/>
      <c r="AK56" s="387"/>
      <c r="AL56" s="387"/>
      <c r="AQ56" s="61"/>
    </row>
    <row r="57" spans="1:43" ht="14.7" customHeight="1" x14ac:dyDescent="0.3">
      <c r="A57" s="343"/>
      <c r="B57" s="389" t="s">
        <v>706</v>
      </c>
      <c r="C57" s="389"/>
      <c r="D57" s="389"/>
      <c r="E57" s="389"/>
      <c r="F57" s="389"/>
      <c r="G57" s="389"/>
      <c r="H57" s="389"/>
      <c r="I57" s="389"/>
      <c r="J57" s="389"/>
      <c r="K57" s="389"/>
      <c r="L57" s="389"/>
      <c r="M57" s="389"/>
      <c r="N57" s="389"/>
      <c r="O57" s="389"/>
      <c r="P57" s="389"/>
      <c r="Q57" s="389"/>
      <c r="R57" s="389"/>
      <c r="S57" s="386"/>
      <c r="T57" s="387"/>
      <c r="U57" s="387"/>
      <c r="V57" s="387"/>
      <c r="W57" s="387"/>
      <c r="X57" s="387"/>
      <c r="Y57" s="387"/>
      <c r="Z57" s="387"/>
      <c r="AA57" s="387"/>
      <c r="AB57" s="387"/>
      <c r="AC57" s="387"/>
      <c r="AD57" s="387"/>
      <c r="AE57" s="387"/>
      <c r="AF57" s="387"/>
      <c r="AG57" s="387"/>
      <c r="AH57" s="387"/>
      <c r="AI57" s="387"/>
      <c r="AJ57" s="387"/>
      <c r="AK57" s="387"/>
      <c r="AL57" s="387"/>
      <c r="AQ57" s="61"/>
    </row>
    <row r="58" spans="1:43" ht="28.5" customHeight="1" x14ac:dyDescent="0.3">
      <c r="A58" s="343"/>
      <c r="B58" s="436" t="s">
        <v>887</v>
      </c>
      <c r="C58" s="437"/>
      <c r="D58" s="437"/>
      <c r="E58" s="437"/>
      <c r="F58" s="437"/>
      <c r="G58" s="437"/>
      <c r="H58" s="437"/>
      <c r="I58" s="437"/>
      <c r="J58" s="437"/>
      <c r="K58" s="437"/>
      <c r="L58" s="437"/>
      <c r="M58" s="437"/>
      <c r="N58" s="437"/>
      <c r="O58" s="437"/>
      <c r="P58" s="437"/>
      <c r="Q58" s="437"/>
      <c r="R58" s="438"/>
      <c r="S58" s="428"/>
      <c r="T58" s="429"/>
      <c r="U58" s="429"/>
      <c r="V58" s="429"/>
      <c r="W58" s="429"/>
      <c r="X58" s="429"/>
      <c r="Y58" s="429"/>
      <c r="Z58" s="429"/>
      <c r="AA58" s="429"/>
      <c r="AB58" s="429"/>
      <c r="AC58" s="429"/>
      <c r="AD58" s="429"/>
      <c r="AE58" s="429"/>
      <c r="AF58" s="429"/>
      <c r="AG58" s="429"/>
      <c r="AH58" s="429"/>
      <c r="AI58" s="429"/>
      <c r="AJ58" s="429"/>
      <c r="AK58" s="429"/>
      <c r="AL58" s="430"/>
      <c r="AQ58" s="61"/>
    </row>
    <row r="59" spans="1:43" ht="100.2" customHeight="1" x14ac:dyDescent="0.3">
      <c r="A59" s="343"/>
      <c r="B59" s="388" t="s">
        <v>1071</v>
      </c>
      <c r="C59" s="389"/>
      <c r="D59" s="389"/>
      <c r="E59" s="389"/>
      <c r="F59" s="389"/>
      <c r="G59" s="389"/>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Q59" s="61"/>
    </row>
    <row r="60" spans="1:43" ht="14.7" customHeight="1" x14ac:dyDescent="0.3">
      <c r="A60" s="343"/>
      <c r="B60" s="390" t="s">
        <v>707</v>
      </c>
      <c r="C60" s="390"/>
      <c r="D60" s="390"/>
      <c r="E60" s="390"/>
      <c r="F60" s="390"/>
      <c r="G60" s="390"/>
      <c r="H60" s="390"/>
      <c r="I60" s="390"/>
      <c r="J60" s="390"/>
      <c r="K60" s="390"/>
      <c r="L60" s="390"/>
      <c r="M60" s="390"/>
      <c r="N60" s="390"/>
      <c r="O60" s="390"/>
      <c r="P60" s="390"/>
      <c r="Q60" s="390"/>
      <c r="R60" s="390"/>
      <c r="S60" s="386"/>
      <c r="T60" s="387"/>
      <c r="U60" s="387"/>
      <c r="V60" s="387"/>
      <c r="W60" s="387"/>
      <c r="X60" s="387"/>
      <c r="Y60" s="387"/>
      <c r="Z60" s="387"/>
      <c r="AA60" s="387"/>
      <c r="AB60" s="387"/>
      <c r="AC60" s="387"/>
      <c r="AD60" s="387"/>
      <c r="AE60" s="387"/>
      <c r="AF60" s="387"/>
      <c r="AG60" s="387"/>
      <c r="AH60" s="387"/>
      <c r="AI60" s="387"/>
      <c r="AJ60" s="387"/>
      <c r="AK60" s="387"/>
      <c r="AL60" s="387"/>
      <c r="AQ60" s="61"/>
    </row>
    <row r="61" spans="1:43" ht="41.7" customHeight="1" x14ac:dyDescent="0.3">
      <c r="A61" s="343"/>
      <c r="B61" s="390" t="s">
        <v>710</v>
      </c>
      <c r="C61" s="390"/>
      <c r="D61" s="390"/>
      <c r="E61" s="390"/>
      <c r="F61" s="390"/>
      <c r="G61" s="390"/>
      <c r="H61" s="390"/>
      <c r="I61" s="390"/>
      <c r="J61" s="390"/>
      <c r="K61" s="390"/>
      <c r="L61" s="390"/>
      <c r="M61" s="390"/>
      <c r="N61" s="390"/>
      <c r="O61" s="390"/>
      <c r="P61" s="390"/>
      <c r="Q61" s="390"/>
      <c r="R61" s="390"/>
      <c r="S61" s="386"/>
      <c r="T61" s="387"/>
      <c r="U61" s="387"/>
      <c r="V61" s="387"/>
      <c r="W61" s="387"/>
      <c r="X61" s="387"/>
      <c r="Y61" s="387"/>
      <c r="Z61" s="387"/>
      <c r="AA61" s="387"/>
      <c r="AB61" s="387"/>
      <c r="AC61" s="387"/>
      <c r="AD61" s="387"/>
      <c r="AE61" s="387"/>
      <c r="AF61" s="387"/>
      <c r="AG61" s="387"/>
      <c r="AH61" s="387"/>
      <c r="AI61" s="387"/>
      <c r="AJ61" s="387"/>
      <c r="AK61" s="387"/>
      <c r="AL61" s="387"/>
      <c r="AQ61" s="61"/>
    </row>
    <row r="62" spans="1:43" ht="56.7" customHeight="1" x14ac:dyDescent="0.3">
      <c r="A62" s="343"/>
      <c r="B62" s="390" t="s">
        <v>709</v>
      </c>
      <c r="C62" s="390"/>
      <c r="D62" s="390"/>
      <c r="E62" s="390"/>
      <c r="F62" s="390"/>
      <c r="G62" s="390"/>
      <c r="H62" s="390"/>
      <c r="I62" s="390"/>
      <c r="J62" s="390"/>
      <c r="K62" s="390"/>
      <c r="L62" s="390"/>
      <c r="M62" s="390"/>
      <c r="N62" s="390"/>
      <c r="O62" s="390"/>
      <c r="P62" s="390"/>
      <c r="Q62" s="390"/>
      <c r="R62" s="390"/>
      <c r="S62" s="386"/>
      <c r="T62" s="387"/>
      <c r="U62" s="387"/>
      <c r="V62" s="387"/>
      <c r="W62" s="387"/>
      <c r="X62" s="387"/>
      <c r="Y62" s="387"/>
      <c r="Z62" s="387"/>
      <c r="AA62" s="387"/>
      <c r="AB62" s="387"/>
      <c r="AC62" s="387"/>
      <c r="AD62" s="387"/>
      <c r="AE62" s="387"/>
      <c r="AF62" s="387"/>
      <c r="AG62" s="387"/>
      <c r="AH62" s="387"/>
      <c r="AI62" s="387"/>
      <c r="AJ62" s="387"/>
      <c r="AK62" s="387"/>
      <c r="AL62" s="387"/>
      <c r="AQ62" s="61"/>
    </row>
    <row r="63" spans="1:43" ht="14.7" customHeight="1" x14ac:dyDescent="0.3">
      <c r="A63" s="343"/>
      <c r="B63" s="390" t="s">
        <v>708</v>
      </c>
      <c r="C63" s="390"/>
      <c r="D63" s="390"/>
      <c r="E63" s="390"/>
      <c r="F63" s="390"/>
      <c r="G63" s="390"/>
      <c r="H63" s="390"/>
      <c r="I63" s="390"/>
      <c r="J63" s="390"/>
      <c r="K63" s="390"/>
      <c r="L63" s="390"/>
      <c r="M63" s="390"/>
      <c r="N63" s="390"/>
      <c r="O63" s="390"/>
      <c r="P63" s="390"/>
      <c r="Q63" s="390"/>
      <c r="R63" s="390"/>
      <c r="S63" s="386"/>
      <c r="T63" s="387"/>
      <c r="U63" s="387"/>
      <c r="V63" s="387"/>
      <c r="W63" s="387"/>
      <c r="X63" s="387"/>
      <c r="Y63" s="387"/>
      <c r="Z63" s="387"/>
      <c r="AA63" s="387"/>
      <c r="AB63" s="387"/>
      <c r="AC63" s="387"/>
      <c r="AD63" s="387"/>
      <c r="AE63" s="387"/>
      <c r="AF63" s="387"/>
      <c r="AG63" s="387"/>
      <c r="AH63" s="387"/>
      <c r="AI63" s="387"/>
      <c r="AJ63" s="387"/>
      <c r="AK63" s="387"/>
      <c r="AL63" s="387"/>
      <c r="AQ63" s="61"/>
    </row>
    <row r="64" spans="1:43" ht="33.450000000000003" customHeight="1" x14ac:dyDescent="0.3">
      <c r="A64" s="343"/>
      <c r="B64" s="436" t="s">
        <v>888</v>
      </c>
      <c r="C64" s="437"/>
      <c r="D64" s="437"/>
      <c r="E64" s="437"/>
      <c r="F64" s="437"/>
      <c r="G64" s="437"/>
      <c r="H64" s="437"/>
      <c r="I64" s="437"/>
      <c r="J64" s="437"/>
      <c r="K64" s="437"/>
      <c r="L64" s="437"/>
      <c r="M64" s="437"/>
      <c r="N64" s="437"/>
      <c r="O64" s="437"/>
      <c r="P64" s="437"/>
      <c r="Q64" s="437"/>
      <c r="R64" s="438"/>
      <c r="S64" s="428"/>
      <c r="T64" s="429"/>
      <c r="U64" s="429"/>
      <c r="V64" s="429"/>
      <c r="W64" s="429"/>
      <c r="X64" s="429"/>
      <c r="Y64" s="429"/>
      <c r="Z64" s="429"/>
      <c r="AA64" s="429"/>
      <c r="AB64" s="429"/>
      <c r="AC64" s="429"/>
      <c r="AD64" s="429"/>
      <c r="AE64" s="429"/>
      <c r="AF64" s="429"/>
      <c r="AG64" s="429"/>
      <c r="AH64" s="429"/>
      <c r="AI64" s="429"/>
      <c r="AJ64" s="429"/>
      <c r="AK64" s="429"/>
      <c r="AL64" s="430"/>
      <c r="AQ64" s="61"/>
    </row>
    <row r="65" spans="1:43" ht="69.45" customHeight="1" x14ac:dyDescent="0.3">
      <c r="A65" s="343" t="s">
        <v>640</v>
      </c>
      <c r="B65" s="388" t="s">
        <v>1073</v>
      </c>
      <c r="C65" s="389"/>
      <c r="D65" s="389"/>
      <c r="E65" s="389"/>
      <c r="F65" s="389"/>
      <c r="G65" s="389"/>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c r="AK65" s="389"/>
      <c r="AL65" s="389"/>
      <c r="AQ65" s="61"/>
    </row>
    <row r="66" spans="1:43" ht="14.7" customHeight="1" x14ac:dyDescent="0.3">
      <c r="A66" s="343"/>
      <c r="B66" s="389" t="s">
        <v>711</v>
      </c>
      <c r="C66" s="389"/>
      <c r="D66" s="389"/>
      <c r="E66" s="389"/>
      <c r="F66" s="389"/>
      <c r="G66" s="389"/>
      <c r="H66" s="389"/>
      <c r="I66" s="389"/>
      <c r="J66" s="389"/>
      <c r="K66" s="389"/>
      <c r="L66" s="389"/>
      <c r="M66" s="389"/>
      <c r="N66" s="389"/>
      <c r="O66" s="389"/>
      <c r="P66" s="389"/>
      <c r="Q66" s="389"/>
      <c r="R66" s="389"/>
      <c r="S66" s="389"/>
      <c r="T66" s="389"/>
      <c r="U66" s="389"/>
      <c r="V66" s="389"/>
      <c r="W66" s="389"/>
      <c r="X66" s="389"/>
      <c r="Y66" s="389"/>
      <c r="Z66" s="389"/>
      <c r="AA66" s="389"/>
      <c r="AB66" s="414" t="s">
        <v>130</v>
      </c>
      <c r="AC66" s="414"/>
      <c r="AD66" s="414"/>
      <c r="AE66" s="414"/>
      <c r="AF66" s="414"/>
      <c r="AG66" s="414"/>
      <c r="AH66" s="414"/>
      <c r="AI66" s="414"/>
      <c r="AJ66" s="414"/>
      <c r="AK66" s="414"/>
      <c r="AL66" s="414"/>
      <c r="AQ66" s="61"/>
    </row>
    <row r="67" spans="1:43" ht="14.7" customHeight="1" x14ac:dyDescent="0.3">
      <c r="A67" s="343"/>
      <c r="B67" s="389" t="s">
        <v>712</v>
      </c>
      <c r="C67" s="389"/>
      <c r="D67" s="389"/>
      <c r="E67" s="389"/>
      <c r="F67" s="389"/>
      <c r="G67" s="389"/>
      <c r="H67" s="389"/>
      <c r="I67" s="389"/>
      <c r="J67" s="389"/>
      <c r="K67" s="389"/>
      <c r="L67" s="389"/>
      <c r="M67" s="389"/>
      <c r="N67" s="389"/>
      <c r="O67" s="389"/>
      <c r="P67" s="389"/>
      <c r="Q67" s="389"/>
      <c r="R67" s="389"/>
      <c r="S67" s="389"/>
      <c r="T67" s="389"/>
      <c r="U67" s="389"/>
      <c r="V67" s="389"/>
      <c r="W67" s="389"/>
      <c r="X67" s="389"/>
      <c r="Y67" s="389"/>
      <c r="Z67" s="389"/>
      <c r="AA67" s="389"/>
      <c r="AB67" s="414" t="s">
        <v>131</v>
      </c>
      <c r="AC67" s="414"/>
      <c r="AD67" s="414"/>
      <c r="AE67" s="414"/>
      <c r="AF67" s="414"/>
      <c r="AG67" s="414"/>
      <c r="AH67" s="414"/>
      <c r="AI67" s="414"/>
      <c r="AJ67" s="414"/>
      <c r="AK67" s="414"/>
      <c r="AL67" s="414"/>
      <c r="AQ67" s="61"/>
    </row>
    <row r="68" spans="1:43" ht="27.45" customHeight="1" x14ac:dyDescent="0.3">
      <c r="A68" s="343"/>
      <c r="B68" s="389" t="s">
        <v>713</v>
      </c>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c r="AA68" s="389"/>
      <c r="AB68" s="393"/>
      <c r="AC68" s="394"/>
      <c r="AD68" s="394"/>
      <c r="AE68" s="394"/>
      <c r="AF68" s="394"/>
      <c r="AG68" s="394"/>
      <c r="AH68" s="394"/>
      <c r="AI68" s="394"/>
      <c r="AJ68" s="394"/>
      <c r="AK68" s="394"/>
      <c r="AL68" s="394"/>
      <c r="AQ68" s="61"/>
    </row>
    <row r="69" spans="1:43" ht="27.45" customHeight="1" x14ac:dyDescent="0.3">
      <c r="A69" s="343"/>
      <c r="B69" s="431" t="s">
        <v>714</v>
      </c>
      <c r="C69" s="431"/>
      <c r="D69" s="431"/>
      <c r="E69" s="431"/>
      <c r="F69" s="431"/>
      <c r="G69" s="431"/>
      <c r="H69" s="431"/>
      <c r="I69" s="431"/>
      <c r="J69" s="431"/>
      <c r="K69" s="431"/>
      <c r="L69" s="431"/>
      <c r="M69" s="431"/>
      <c r="N69" s="431"/>
      <c r="O69" s="431"/>
      <c r="P69" s="431"/>
      <c r="Q69" s="431"/>
      <c r="R69" s="431"/>
      <c r="S69" s="431"/>
      <c r="T69" s="431"/>
      <c r="U69" s="431"/>
      <c r="V69" s="431"/>
      <c r="W69" s="431"/>
      <c r="X69" s="431"/>
      <c r="Y69" s="431"/>
      <c r="Z69" s="431"/>
      <c r="AA69" s="431"/>
      <c r="AB69" s="393"/>
      <c r="AC69" s="394"/>
      <c r="AD69" s="394"/>
      <c r="AE69" s="394"/>
      <c r="AF69" s="394"/>
      <c r="AG69" s="394"/>
      <c r="AH69" s="394"/>
      <c r="AI69" s="394"/>
      <c r="AJ69" s="394"/>
      <c r="AK69" s="394"/>
      <c r="AL69" s="394"/>
      <c r="AQ69" s="61"/>
    </row>
    <row r="70" spans="1:43" ht="261.45" customHeight="1" x14ac:dyDescent="0.25">
      <c r="A70" s="250"/>
      <c r="B70" s="423" t="s">
        <v>1049</v>
      </c>
      <c r="C70" s="423"/>
      <c r="D70" s="423"/>
      <c r="E70" s="423"/>
      <c r="F70" s="423"/>
      <c r="G70" s="423"/>
      <c r="H70" s="423"/>
      <c r="I70" s="423"/>
      <c r="J70" s="423"/>
      <c r="K70" s="423"/>
      <c r="L70" s="423"/>
      <c r="M70" s="423"/>
      <c r="N70" s="423"/>
      <c r="O70" s="423"/>
      <c r="P70" s="423"/>
      <c r="Q70" s="423"/>
      <c r="R70" s="423"/>
      <c r="S70" s="423"/>
      <c r="T70" s="423"/>
      <c r="U70" s="423"/>
      <c r="V70" s="423"/>
      <c r="W70" s="423"/>
      <c r="X70" s="423"/>
      <c r="Y70" s="423"/>
      <c r="Z70" s="423"/>
      <c r="AA70" s="423"/>
      <c r="AB70" s="423"/>
      <c r="AC70" s="423"/>
      <c r="AD70" s="423"/>
      <c r="AE70" s="423"/>
      <c r="AF70" s="423"/>
      <c r="AG70" s="423"/>
      <c r="AH70" s="423"/>
      <c r="AI70" s="423"/>
      <c r="AJ70" s="423"/>
      <c r="AK70" s="423"/>
      <c r="AL70" s="423"/>
      <c r="AQ70" s="61"/>
    </row>
    <row r="71" spans="1:43" ht="60" customHeight="1" x14ac:dyDescent="0.25">
      <c r="A71" s="250"/>
      <c r="B71" s="425" t="s">
        <v>1063</v>
      </c>
      <c r="C71" s="423"/>
      <c r="D71" s="423"/>
      <c r="E71" s="423"/>
      <c r="F71" s="423"/>
      <c r="G71" s="423"/>
      <c r="H71" s="423"/>
      <c r="I71" s="423"/>
      <c r="J71" s="423"/>
      <c r="K71" s="423"/>
      <c r="L71" s="423"/>
      <c r="M71" s="423"/>
      <c r="N71" s="423"/>
      <c r="O71" s="423"/>
      <c r="P71" s="423"/>
      <c r="Q71" s="423"/>
      <c r="R71" s="423"/>
      <c r="S71" s="423"/>
      <c r="T71" s="423"/>
      <c r="U71" s="423"/>
      <c r="V71" s="423"/>
      <c r="W71" s="423"/>
      <c r="X71" s="423"/>
      <c r="Y71" s="423"/>
      <c r="Z71" s="423"/>
      <c r="AA71" s="423"/>
      <c r="AB71" s="424"/>
      <c r="AC71" s="424"/>
      <c r="AD71" s="424"/>
      <c r="AE71" s="424"/>
      <c r="AF71" s="424"/>
      <c r="AG71" s="424"/>
      <c r="AH71" s="424"/>
      <c r="AI71" s="424"/>
      <c r="AJ71" s="424"/>
      <c r="AK71" s="424"/>
      <c r="AL71" s="424"/>
      <c r="AQ71" s="61"/>
    </row>
    <row r="72" spans="1:43" ht="53.7" customHeight="1" x14ac:dyDescent="0.25">
      <c r="A72" s="250"/>
      <c r="B72" s="396" t="s">
        <v>1048</v>
      </c>
      <c r="C72" s="396"/>
      <c r="D72" s="396"/>
      <c r="E72" s="396"/>
      <c r="F72" s="396"/>
      <c r="G72" s="396"/>
      <c r="H72" s="396"/>
      <c r="I72" s="396"/>
      <c r="J72" s="396"/>
      <c r="K72" s="396"/>
      <c r="L72" s="396"/>
      <c r="M72" s="396"/>
      <c r="N72" s="396"/>
      <c r="O72" s="396"/>
      <c r="P72" s="396"/>
      <c r="Q72" s="396"/>
      <c r="R72" s="396"/>
      <c r="S72" s="396"/>
      <c r="T72" s="396"/>
      <c r="U72" s="396"/>
      <c r="V72" s="396"/>
      <c r="W72" s="396"/>
      <c r="X72" s="396"/>
      <c r="Y72" s="396"/>
      <c r="Z72" s="396"/>
      <c r="AA72" s="396"/>
      <c r="AB72" s="396"/>
      <c r="AC72" s="396"/>
      <c r="AD72" s="396"/>
      <c r="AE72" s="396"/>
      <c r="AF72" s="396"/>
      <c r="AG72" s="396"/>
      <c r="AH72" s="396"/>
      <c r="AI72" s="396"/>
      <c r="AJ72" s="396"/>
      <c r="AK72" s="396"/>
      <c r="AL72" s="396"/>
      <c r="AQ72" s="61"/>
    </row>
    <row r="73" spans="1:43" ht="58.2" customHeight="1" x14ac:dyDescent="0.25">
      <c r="A73" s="250"/>
      <c r="B73" s="413"/>
      <c r="C73" s="413"/>
      <c r="D73" s="413"/>
      <c r="E73" s="413"/>
      <c r="F73" s="413"/>
      <c r="G73" s="413"/>
      <c r="H73" s="413"/>
      <c r="I73" s="413"/>
      <c r="J73" s="413"/>
      <c r="K73" s="413"/>
      <c r="L73" s="413"/>
      <c r="M73" s="413"/>
      <c r="N73" s="413"/>
      <c r="O73" s="413"/>
      <c r="P73" s="413"/>
      <c r="Q73" s="413"/>
      <c r="R73" s="413"/>
      <c r="S73" s="413"/>
      <c r="T73" s="413"/>
      <c r="U73" s="413"/>
      <c r="V73" s="413"/>
      <c r="W73" s="413"/>
      <c r="X73" s="413"/>
      <c r="Y73" s="413"/>
      <c r="Z73" s="413"/>
      <c r="AA73" s="413"/>
      <c r="AB73" s="413"/>
      <c r="AC73" s="413"/>
      <c r="AD73" s="413"/>
      <c r="AE73" s="413"/>
      <c r="AF73" s="413"/>
      <c r="AG73" s="413"/>
      <c r="AH73" s="413"/>
      <c r="AI73" s="413"/>
      <c r="AJ73" s="413"/>
      <c r="AK73" s="413"/>
      <c r="AL73" s="413"/>
      <c r="AQ73" s="61"/>
    </row>
    <row r="74" spans="1:43" ht="14.4" x14ac:dyDescent="0.3">
      <c r="A74" s="150" t="s">
        <v>69</v>
      </c>
      <c r="B74" s="328" t="s">
        <v>70</v>
      </c>
      <c r="C74" s="328"/>
      <c r="D74" s="328"/>
      <c r="E74" s="328"/>
      <c r="F74" s="328"/>
      <c r="G74" s="328"/>
      <c r="H74" s="328"/>
      <c r="I74" s="328"/>
      <c r="J74" s="328"/>
      <c r="K74" s="328"/>
      <c r="L74" s="328"/>
      <c r="M74" s="328"/>
      <c r="N74" s="328"/>
      <c r="O74" s="328"/>
      <c r="P74" s="328"/>
      <c r="Q74" s="328"/>
      <c r="R74" s="328"/>
      <c r="S74" s="328"/>
      <c r="T74" s="328"/>
      <c r="U74" s="328"/>
      <c r="V74" s="328"/>
      <c r="W74" s="328"/>
      <c r="X74" s="328"/>
      <c r="Y74" s="328"/>
      <c r="Z74" s="328"/>
      <c r="AA74" s="328"/>
      <c r="AB74" s="328"/>
      <c r="AC74" s="328"/>
      <c r="AD74" s="328"/>
      <c r="AE74" s="328"/>
      <c r="AF74" s="328"/>
      <c r="AG74" s="328"/>
      <c r="AH74" s="328"/>
      <c r="AI74" s="328"/>
      <c r="AJ74" s="328"/>
      <c r="AK74" s="328"/>
      <c r="AL74" s="328"/>
    </row>
    <row r="75" spans="1:43" ht="33.450000000000003" customHeight="1" x14ac:dyDescent="0.25">
      <c r="A75" s="395" t="s">
        <v>889</v>
      </c>
      <c r="B75" s="395"/>
      <c r="C75" s="395"/>
      <c r="D75" s="395"/>
      <c r="E75" s="395"/>
      <c r="F75" s="395"/>
      <c r="G75" s="395"/>
      <c r="H75" s="395"/>
      <c r="I75" s="395"/>
      <c r="J75" s="395"/>
      <c r="K75" s="395"/>
      <c r="L75" s="395"/>
      <c r="M75" s="395"/>
      <c r="N75" s="395"/>
      <c r="O75" s="395"/>
      <c r="P75" s="395"/>
      <c r="Q75" s="395"/>
      <c r="R75" s="395"/>
      <c r="S75" s="395"/>
      <c r="T75" s="395"/>
      <c r="U75" s="395"/>
      <c r="V75" s="395"/>
      <c r="W75" s="395"/>
      <c r="X75" s="395"/>
      <c r="Y75" s="395"/>
      <c r="Z75" s="395"/>
      <c r="AA75" s="395"/>
      <c r="AB75" s="395"/>
      <c r="AC75" s="395"/>
      <c r="AD75" s="395"/>
      <c r="AE75" s="395"/>
      <c r="AF75" s="395"/>
      <c r="AG75" s="395"/>
      <c r="AH75" s="395"/>
      <c r="AI75" s="395"/>
      <c r="AJ75" s="395"/>
      <c r="AK75" s="395"/>
      <c r="AL75" s="395"/>
    </row>
    <row r="76" spans="1:43" ht="34.950000000000003" customHeight="1" x14ac:dyDescent="0.25">
      <c r="A76" s="395"/>
      <c r="B76" s="395"/>
      <c r="C76" s="395"/>
      <c r="D76" s="395"/>
      <c r="E76" s="395"/>
      <c r="F76" s="395"/>
      <c r="G76" s="395"/>
      <c r="H76" s="395"/>
      <c r="I76" s="395"/>
      <c r="J76" s="395"/>
      <c r="K76" s="395"/>
      <c r="L76" s="395"/>
      <c r="M76" s="395"/>
      <c r="N76" s="395"/>
      <c r="O76" s="395"/>
      <c r="P76" s="395"/>
      <c r="Q76" s="395"/>
      <c r="R76" s="395"/>
      <c r="S76" s="395"/>
      <c r="T76" s="395"/>
      <c r="U76" s="395"/>
      <c r="V76" s="395"/>
      <c r="W76" s="395"/>
      <c r="X76" s="395"/>
      <c r="Y76" s="395"/>
      <c r="Z76" s="395"/>
      <c r="AA76" s="395"/>
      <c r="AB76" s="395"/>
      <c r="AC76" s="395"/>
      <c r="AD76" s="395"/>
      <c r="AE76" s="395"/>
      <c r="AF76" s="395"/>
      <c r="AG76" s="395"/>
      <c r="AH76" s="395"/>
      <c r="AI76" s="395"/>
      <c r="AJ76" s="395"/>
      <c r="AK76" s="395"/>
      <c r="AL76" s="395"/>
    </row>
    <row r="77" spans="1:43" s="64" customFormat="1" ht="14.4" x14ac:dyDescent="0.3">
      <c r="A77" s="150" t="s">
        <v>90</v>
      </c>
      <c r="B77" s="328" t="s">
        <v>674</v>
      </c>
      <c r="C77" s="328"/>
      <c r="D77" s="328"/>
      <c r="E77" s="328"/>
      <c r="F77" s="328"/>
      <c r="G77" s="328"/>
      <c r="H77" s="328"/>
      <c r="I77" s="328"/>
      <c r="J77" s="328"/>
      <c r="K77" s="328"/>
      <c r="L77" s="328"/>
      <c r="M77" s="328"/>
      <c r="N77" s="328"/>
      <c r="O77" s="328"/>
      <c r="P77" s="328"/>
      <c r="Q77" s="328"/>
      <c r="R77" s="328"/>
      <c r="S77" s="328"/>
      <c r="T77" s="328"/>
      <c r="U77" s="328"/>
      <c r="V77" s="328"/>
      <c r="W77" s="328"/>
      <c r="X77" s="328"/>
      <c r="Y77" s="328"/>
      <c r="Z77" s="328"/>
      <c r="AA77" s="328"/>
      <c r="AB77" s="328"/>
      <c r="AC77" s="328"/>
      <c r="AD77" s="328"/>
      <c r="AE77" s="328"/>
      <c r="AF77" s="328"/>
      <c r="AG77" s="328"/>
      <c r="AH77" s="328"/>
      <c r="AI77" s="328"/>
      <c r="AJ77" s="328"/>
      <c r="AK77" s="328"/>
      <c r="AL77" s="328"/>
      <c r="AM77" s="82"/>
      <c r="AN77" s="65"/>
      <c r="AO77" s="65"/>
    </row>
    <row r="78" spans="1:43" ht="48" customHeight="1" x14ac:dyDescent="0.25">
      <c r="A78" s="354" t="s">
        <v>1025</v>
      </c>
      <c r="B78" s="354"/>
      <c r="C78" s="354"/>
      <c r="D78" s="354"/>
      <c r="E78" s="354"/>
      <c r="F78" s="354"/>
      <c r="G78" s="354"/>
      <c r="H78" s="354"/>
      <c r="I78" s="354"/>
      <c r="J78" s="354"/>
      <c r="K78" s="354"/>
      <c r="L78" s="354"/>
      <c r="M78" s="354"/>
      <c r="N78" s="354"/>
      <c r="O78" s="354"/>
      <c r="P78" s="354"/>
      <c r="Q78" s="354"/>
      <c r="R78" s="354"/>
      <c r="S78" s="354"/>
      <c r="T78" s="354"/>
      <c r="U78" s="354"/>
      <c r="V78" s="354"/>
      <c r="W78" s="354"/>
      <c r="X78" s="354"/>
      <c r="Y78" s="354"/>
      <c r="Z78" s="354"/>
      <c r="AA78" s="354"/>
      <c r="AB78" s="354"/>
      <c r="AC78" s="354"/>
      <c r="AD78" s="354"/>
      <c r="AE78" s="354"/>
      <c r="AF78" s="354"/>
      <c r="AG78" s="354"/>
      <c r="AH78" s="354"/>
      <c r="AI78" s="354"/>
      <c r="AJ78" s="354"/>
      <c r="AK78" s="354"/>
      <c r="AL78" s="354"/>
      <c r="AM78" s="290" t="s">
        <v>993</v>
      </c>
    </row>
    <row r="79" spans="1:43" ht="15" customHeight="1" x14ac:dyDescent="0.3">
      <c r="A79" s="418">
        <f>SUM(A81:AL81)</f>
        <v>0</v>
      </c>
      <c r="B79" s="418"/>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290"/>
    </row>
    <row r="80" spans="1:43" ht="15" customHeight="1" x14ac:dyDescent="0.25">
      <c r="A80" s="446" t="s">
        <v>240</v>
      </c>
      <c r="B80" s="447"/>
      <c r="C80" s="447"/>
      <c r="D80" s="447"/>
      <c r="E80" s="447"/>
      <c r="F80" s="447"/>
      <c r="G80" s="447"/>
      <c r="H80" s="447"/>
      <c r="I80" s="447"/>
      <c r="J80" s="447"/>
      <c r="K80" s="447"/>
      <c r="L80" s="447"/>
      <c r="M80" s="447"/>
      <c r="N80" s="447"/>
      <c r="O80" s="447"/>
      <c r="P80" s="447"/>
      <c r="Q80" s="447"/>
      <c r="R80" s="447"/>
      <c r="S80" s="448"/>
      <c r="T80" s="446" t="s">
        <v>241</v>
      </c>
      <c r="U80" s="447"/>
      <c r="V80" s="447"/>
      <c r="W80" s="447"/>
      <c r="X80" s="447"/>
      <c r="Y80" s="447"/>
      <c r="Z80" s="447"/>
      <c r="AA80" s="447"/>
      <c r="AB80" s="447"/>
      <c r="AC80" s="447"/>
      <c r="AD80" s="447"/>
      <c r="AE80" s="447"/>
      <c r="AF80" s="447"/>
      <c r="AG80" s="447"/>
      <c r="AH80" s="447"/>
      <c r="AI80" s="447"/>
      <c r="AJ80" s="447"/>
      <c r="AK80" s="447"/>
      <c r="AL80" s="447"/>
      <c r="AM80" s="290"/>
    </row>
    <row r="81" spans="1:47" ht="14.4" x14ac:dyDescent="0.25">
      <c r="A81" s="416"/>
      <c r="B81" s="416"/>
      <c r="C81" s="416"/>
      <c r="D81" s="416"/>
      <c r="E81" s="416"/>
      <c r="F81" s="416"/>
      <c r="G81" s="416"/>
      <c r="H81" s="416"/>
      <c r="I81" s="416"/>
      <c r="J81" s="416"/>
      <c r="K81" s="416"/>
      <c r="L81" s="416"/>
      <c r="M81" s="416"/>
      <c r="N81" s="416"/>
      <c r="O81" s="416"/>
      <c r="P81" s="416"/>
      <c r="Q81" s="416"/>
      <c r="R81" s="416"/>
      <c r="S81" s="416"/>
      <c r="T81" s="416">
        <v>0</v>
      </c>
      <c r="U81" s="416"/>
      <c r="V81" s="416"/>
      <c r="W81" s="416"/>
      <c r="X81" s="416"/>
      <c r="Y81" s="416"/>
      <c r="Z81" s="416"/>
      <c r="AA81" s="416"/>
      <c r="AB81" s="416"/>
      <c r="AC81" s="416"/>
      <c r="AD81" s="416"/>
      <c r="AE81" s="416"/>
      <c r="AF81" s="416"/>
      <c r="AG81" s="416"/>
      <c r="AH81" s="416"/>
      <c r="AI81" s="416"/>
      <c r="AJ81" s="416"/>
      <c r="AK81" s="416"/>
      <c r="AL81" s="416"/>
      <c r="AM81" s="290"/>
    </row>
    <row r="82" spans="1:47" ht="14.7" customHeight="1" x14ac:dyDescent="0.25">
      <c r="A82" s="440" t="s">
        <v>898</v>
      </c>
      <c r="B82" s="441"/>
      <c r="C82" s="441"/>
      <c r="D82" s="441"/>
      <c r="E82" s="441"/>
      <c r="F82" s="441"/>
      <c r="G82" s="441"/>
      <c r="H82" s="441"/>
      <c r="I82" s="441"/>
      <c r="J82" s="441"/>
      <c r="K82" s="441"/>
      <c r="L82" s="441"/>
      <c r="M82" s="441"/>
      <c r="N82" s="441"/>
      <c r="O82" s="441"/>
      <c r="P82" s="441"/>
      <c r="Q82" s="441"/>
      <c r="R82" s="441"/>
      <c r="S82" s="442"/>
      <c r="T82" s="361" t="s">
        <v>897</v>
      </c>
      <c r="U82" s="362"/>
      <c r="V82" s="362"/>
      <c r="W82" s="362"/>
      <c r="X82" s="362"/>
      <c r="Y82" s="362"/>
      <c r="Z82" s="362"/>
      <c r="AA82" s="362"/>
      <c r="AB82" s="362"/>
      <c r="AC82" s="362"/>
      <c r="AD82" s="362"/>
      <c r="AE82" s="362"/>
      <c r="AF82" s="362"/>
      <c r="AG82" s="362"/>
      <c r="AH82" s="362"/>
      <c r="AI82" s="362"/>
      <c r="AJ82" s="362"/>
      <c r="AK82" s="362"/>
      <c r="AL82" s="363"/>
      <c r="AM82" s="290"/>
    </row>
    <row r="83" spans="1:47" ht="14.4" x14ac:dyDescent="0.3">
      <c r="A83" s="410"/>
      <c r="B83" s="411"/>
      <c r="C83" s="411"/>
      <c r="D83" s="411"/>
      <c r="E83" s="411"/>
      <c r="F83" s="411"/>
      <c r="G83" s="411"/>
      <c r="H83" s="411"/>
      <c r="I83" s="411"/>
      <c r="J83" s="411"/>
      <c r="K83" s="411"/>
      <c r="L83" s="411"/>
      <c r="M83" s="411"/>
      <c r="N83" s="411"/>
      <c r="O83" s="411"/>
      <c r="P83" s="411"/>
      <c r="Q83" s="411"/>
      <c r="R83" s="411"/>
      <c r="S83" s="412"/>
      <c r="T83" s="410"/>
      <c r="U83" s="411"/>
      <c r="V83" s="411"/>
      <c r="W83" s="411"/>
      <c r="X83" s="411"/>
      <c r="Y83" s="411"/>
      <c r="Z83" s="411"/>
      <c r="AA83" s="411"/>
      <c r="AB83" s="411"/>
      <c r="AC83" s="411"/>
      <c r="AD83" s="411"/>
      <c r="AE83" s="411"/>
      <c r="AF83" s="411"/>
      <c r="AG83" s="411"/>
      <c r="AH83" s="411"/>
      <c r="AI83" s="411"/>
      <c r="AJ83" s="411"/>
      <c r="AK83" s="411"/>
      <c r="AL83" s="412"/>
      <c r="AM83" s="290"/>
    </row>
    <row r="84" spans="1:47" ht="28.5" customHeight="1" x14ac:dyDescent="0.25">
      <c r="A84" s="439" t="s">
        <v>995</v>
      </c>
      <c r="B84" s="439"/>
      <c r="C84" s="439"/>
      <c r="D84" s="439"/>
      <c r="E84" s="439"/>
      <c r="F84" s="439"/>
      <c r="G84" s="439"/>
      <c r="H84" s="439"/>
      <c r="I84" s="439"/>
      <c r="J84" s="439"/>
      <c r="K84" s="439"/>
      <c r="L84" s="439"/>
      <c r="M84" s="439"/>
      <c r="N84" s="439"/>
      <c r="O84" s="439"/>
      <c r="P84" s="439"/>
      <c r="Q84" s="439"/>
      <c r="R84" s="439"/>
      <c r="S84" s="439"/>
      <c r="T84" s="439"/>
      <c r="U84" s="439"/>
      <c r="V84" s="439"/>
      <c r="W84" s="439"/>
      <c r="X84" s="439"/>
      <c r="Y84" s="439"/>
      <c r="Z84" s="439"/>
      <c r="AA84" s="439"/>
      <c r="AB84" s="439"/>
      <c r="AC84" s="439"/>
      <c r="AD84" s="439"/>
      <c r="AE84" s="439"/>
      <c r="AF84" s="439"/>
      <c r="AG84" s="439"/>
      <c r="AH84" s="439"/>
      <c r="AI84" s="439"/>
      <c r="AJ84" s="439"/>
      <c r="AK84" s="439"/>
      <c r="AL84" s="439"/>
      <c r="AM84" s="290" t="s">
        <v>996</v>
      </c>
    </row>
    <row r="85" spans="1:47" ht="14.4" x14ac:dyDescent="0.3">
      <c r="A85" s="418">
        <f>A79+A83+T83</f>
        <v>0</v>
      </c>
      <c r="B85" s="418"/>
      <c r="C85" s="418"/>
      <c r="D85" s="418"/>
      <c r="E85" s="418"/>
      <c r="F85" s="418"/>
      <c r="G85" s="418"/>
      <c r="H85" s="418"/>
      <c r="I85" s="418"/>
      <c r="J85" s="418"/>
      <c r="K85" s="418"/>
      <c r="L85" s="418"/>
      <c r="M85" s="418"/>
      <c r="N85" s="418"/>
      <c r="O85" s="418"/>
      <c r="P85" s="418"/>
      <c r="Q85" s="418"/>
      <c r="R85" s="418"/>
      <c r="S85" s="418"/>
      <c r="T85" s="418"/>
      <c r="U85" s="418"/>
      <c r="V85" s="418"/>
      <c r="W85" s="418"/>
      <c r="X85" s="418"/>
      <c r="Y85" s="418"/>
      <c r="Z85" s="418"/>
      <c r="AA85" s="418"/>
      <c r="AB85" s="418"/>
      <c r="AC85" s="418"/>
      <c r="AD85" s="418"/>
      <c r="AE85" s="418"/>
      <c r="AF85" s="418"/>
      <c r="AG85" s="418"/>
      <c r="AH85" s="418"/>
      <c r="AI85" s="418"/>
      <c r="AJ85" s="418"/>
      <c r="AK85" s="418"/>
      <c r="AL85" s="418"/>
      <c r="AM85" s="290"/>
    </row>
    <row r="86" spans="1:47" ht="14.4" x14ac:dyDescent="0.25">
      <c r="A86" s="351" t="s">
        <v>899</v>
      </c>
      <c r="B86" s="351"/>
      <c r="C86" s="351"/>
      <c r="D86" s="351"/>
      <c r="E86" s="351"/>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c r="AH86" s="351"/>
      <c r="AI86" s="351"/>
      <c r="AJ86" s="351"/>
      <c r="AK86" s="351"/>
      <c r="AL86" s="351"/>
      <c r="AM86" s="245"/>
    </row>
    <row r="87" spans="1:47" ht="14.4" x14ac:dyDescent="0.25">
      <c r="A87" s="355">
        <v>0</v>
      </c>
      <c r="B87" s="355"/>
      <c r="C87" s="355"/>
      <c r="D87" s="355"/>
      <c r="E87" s="355"/>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c r="AJ87" s="355"/>
      <c r="AK87" s="355"/>
      <c r="AL87" s="355"/>
    </row>
    <row r="88" spans="1:47" ht="14.4" x14ac:dyDescent="0.25">
      <c r="A88" s="351" t="s">
        <v>900</v>
      </c>
      <c r="B88" s="351"/>
      <c r="C88" s="351"/>
      <c r="D88" s="351"/>
      <c r="E88" s="351"/>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c r="AH88" s="351"/>
      <c r="AI88" s="351"/>
      <c r="AJ88" s="351"/>
      <c r="AK88" s="351"/>
      <c r="AL88" s="351"/>
    </row>
    <row r="89" spans="1:47" ht="14.4" x14ac:dyDescent="0.25">
      <c r="A89" s="356"/>
      <c r="B89" s="356"/>
      <c r="C89" s="356"/>
      <c r="D89" s="356"/>
      <c r="E89" s="356"/>
      <c r="F89" s="356"/>
      <c r="G89" s="356"/>
      <c r="H89" s="356"/>
      <c r="I89" s="356"/>
      <c r="J89" s="356"/>
      <c r="K89" s="356"/>
      <c r="L89" s="356"/>
      <c r="M89" s="356"/>
      <c r="N89" s="356"/>
      <c r="O89" s="356"/>
      <c r="P89" s="356"/>
      <c r="Q89" s="356"/>
      <c r="R89" s="356"/>
      <c r="S89" s="356"/>
      <c r="T89" s="356"/>
      <c r="U89" s="356"/>
      <c r="V89" s="356"/>
      <c r="W89" s="356"/>
      <c r="X89" s="356"/>
      <c r="Y89" s="356"/>
      <c r="Z89" s="356"/>
      <c r="AA89" s="356"/>
      <c r="AB89" s="356"/>
      <c r="AC89" s="356"/>
      <c r="AD89" s="356"/>
      <c r="AE89" s="356"/>
      <c r="AF89" s="356"/>
      <c r="AG89" s="356"/>
      <c r="AH89" s="356"/>
      <c r="AI89" s="356"/>
      <c r="AJ89" s="356"/>
      <c r="AK89" s="356"/>
      <c r="AL89" s="356"/>
    </row>
    <row r="90" spans="1:47" ht="14.4" x14ac:dyDescent="0.25">
      <c r="A90" s="149" t="s">
        <v>91</v>
      </c>
      <c r="B90" s="351" t="s">
        <v>97</v>
      </c>
      <c r="C90" s="351"/>
      <c r="D90" s="351"/>
      <c r="E90" s="351"/>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c r="AH90" s="351"/>
      <c r="AI90" s="351"/>
      <c r="AJ90" s="351"/>
      <c r="AK90" s="351"/>
      <c r="AL90" s="351"/>
      <c r="AM90" s="335"/>
      <c r="AN90" s="335"/>
      <c r="AO90" s="335"/>
      <c r="AP90" s="335"/>
      <c r="AQ90" s="335"/>
      <c r="AR90" s="335"/>
      <c r="AS90" s="335"/>
      <c r="AT90" s="335"/>
      <c r="AU90" s="335"/>
    </row>
    <row r="91" spans="1:47" ht="72" customHeight="1" x14ac:dyDescent="0.25">
      <c r="A91" s="359" t="s">
        <v>909</v>
      </c>
      <c r="B91" s="360"/>
      <c r="C91" s="360"/>
      <c r="D91" s="360"/>
      <c r="E91" s="360"/>
      <c r="F91" s="360"/>
      <c r="G91" s="360"/>
      <c r="H91" s="360"/>
      <c r="I91" s="360"/>
      <c r="J91" s="360"/>
      <c r="K91" s="360"/>
      <c r="L91" s="360"/>
      <c r="M91" s="360"/>
      <c r="N91" s="360"/>
      <c r="O91" s="360"/>
      <c r="P91" s="360"/>
      <c r="Q91" s="360"/>
      <c r="R91" s="360"/>
      <c r="S91" s="360"/>
      <c r="T91" s="360"/>
      <c r="U91" s="360"/>
      <c r="V91" s="360"/>
      <c r="W91" s="360"/>
      <c r="X91" s="360"/>
      <c r="Y91" s="360"/>
      <c r="Z91" s="360"/>
      <c r="AA91" s="360"/>
      <c r="AB91" s="360"/>
      <c r="AC91" s="360"/>
      <c r="AD91" s="360"/>
      <c r="AE91" s="360"/>
      <c r="AF91" s="360"/>
      <c r="AG91" s="360"/>
      <c r="AH91" s="360"/>
      <c r="AI91" s="360"/>
      <c r="AJ91" s="360"/>
      <c r="AK91" s="360"/>
      <c r="AL91" s="360"/>
      <c r="AM91" s="335"/>
      <c r="AN91" s="335"/>
      <c r="AO91" s="335"/>
      <c r="AP91" s="335"/>
      <c r="AQ91" s="335"/>
      <c r="AR91" s="335"/>
      <c r="AS91" s="335"/>
      <c r="AT91" s="335"/>
      <c r="AU91" s="335"/>
    </row>
    <row r="92" spans="1:47" ht="116.7" customHeight="1" x14ac:dyDescent="0.25">
      <c r="A92" s="308" t="s">
        <v>877</v>
      </c>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c r="AJ92" s="308"/>
      <c r="AK92" s="308"/>
      <c r="AL92" s="308"/>
    </row>
    <row r="93" spans="1:47" ht="130.5" customHeight="1" x14ac:dyDescent="0.25">
      <c r="A93" s="357" t="s">
        <v>125</v>
      </c>
      <c r="B93" s="357"/>
      <c r="C93" s="357"/>
      <c r="D93" s="357"/>
      <c r="E93" s="357"/>
      <c r="F93" s="357"/>
      <c r="G93" s="357"/>
      <c r="H93" s="357"/>
      <c r="I93" s="358" t="s">
        <v>872</v>
      </c>
      <c r="J93" s="358"/>
      <c r="K93" s="358"/>
      <c r="L93" s="358"/>
      <c r="M93" s="358"/>
      <c r="N93" s="358"/>
      <c r="O93" s="358"/>
      <c r="P93" s="358"/>
      <c r="Q93" s="358"/>
      <c r="R93" s="358"/>
      <c r="S93" s="358"/>
      <c r="T93" s="358" t="s">
        <v>873</v>
      </c>
      <c r="U93" s="358"/>
      <c r="V93" s="358"/>
      <c r="W93" s="358"/>
      <c r="X93" s="358"/>
      <c r="Y93" s="358"/>
      <c r="Z93" s="358"/>
      <c r="AA93" s="358"/>
      <c r="AB93" s="358"/>
      <c r="AC93" s="358"/>
      <c r="AD93" s="358"/>
      <c r="AE93" s="358" t="s">
        <v>874</v>
      </c>
      <c r="AF93" s="358"/>
      <c r="AG93" s="358"/>
      <c r="AH93" s="358"/>
      <c r="AI93" s="358"/>
      <c r="AJ93" s="358"/>
      <c r="AK93" s="358" t="s">
        <v>875</v>
      </c>
      <c r="AL93" s="358"/>
    </row>
    <row r="94" spans="1:47" ht="19.5" customHeight="1" x14ac:dyDescent="0.25">
      <c r="A94" s="443"/>
      <c r="B94" s="443"/>
      <c r="C94" s="443"/>
      <c r="D94" s="443"/>
      <c r="E94" s="443"/>
      <c r="F94" s="443"/>
      <c r="G94" s="443"/>
      <c r="H94" s="443"/>
      <c r="I94" s="415"/>
      <c r="J94" s="416"/>
      <c r="K94" s="416"/>
      <c r="L94" s="416"/>
      <c r="M94" s="416"/>
      <c r="N94" s="416"/>
      <c r="O94" s="416"/>
      <c r="P94" s="416"/>
      <c r="Q94" s="416"/>
      <c r="R94" s="416"/>
      <c r="S94" s="417"/>
      <c r="T94" s="415"/>
      <c r="U94" s="416"/>
      <c r="V94" s="416"/>
      <c r="W94" s="416"/>
      <c r="X94" s="416"/>
      <c r="Y94" s="416"/>
      <c r="Z94" s="416"/>
      <c r="AA94" s="416"/>
      <c r="AB94" s="416"/>
      <c r="AC94" s="416"/>
      <c r="AD94" s="417"/>
      <c r="AE94" s="415"/>
      <c r="AF94" s="416"/>
      <c r="AG94" s="416"/>
      <c r="AH94" s="416"/>
      <c r="AI94" s="416"/>
      <c r="AJ94" s="416"/>
      <c r="AK94" s="434"/>
      <c r="AL94" s="435"/>
      <c r="AM94" s="77" t="s">
        <v>876</v>
      </c>
    </row>
    <row r="95" spans="1:47" ht="41.7" customHeight="1" x14ac:dyDescent="0.25">
      <c r="A95" s="332" t="s">
        <v>913</v>
      </c>
      <c r="B95" s="332"/>
      <c r="C95" s="332"/>
      <c r="D95" s="332"/>
      <c r="E95" s="332"/>
      <c r="F95" s="332"/>
      <c r="G95" s="332"/>
      <c r="H95" s="332"/>
      <c r="I95" s="332"/>
      <c r="J95" s="332"/>
      <c r="K95" s="332"/>
      <c r="L95" s="332"/>
      <c r="M95" s="332"/>
      <c r="N95" s="332"/>
      <c r="O95" s="332"/>
      <c r="P95" s="332"/>
      <c r="Q95" s="332"/>
      <c r="R95" s="332"/>
      <c r="S95" s="332"/>
      <c r="T95" s="332"/>
      <c r="U95" s="332"/>
      <c r="V95" s="332"/>
      <c r="W95" s="332"/>
      <c r="X95" s="332"/>
      <c r="Y95" s="332"/>
      <c r="Z95" s="332"/>
      <c r="AA95" s="332"/>
      <c r="AB95" s="332"/>
      <c r="AC95" s="332"/>
      <c r="AD95" s="332"/>
      <c r="AE95" s="332"/>
      <c r="AF95" s="332"/>
      <c r="AG95" s="332"/>
      <c r="AH95" s="332"/>
      <c r="AI95" s="332"/>
      <c r="AJ95" s="332"/>
      <c r="AK95" s="332"/>
      <c r="AL95" s="332"/>
      <c r="AM95" s="335" t="s">
        <v>914</v>
      </c>
      <c r="AN95" s="335"/>
      <c r="AO95" s="335"/>
      <c r="AP95" s="335"/>
      <c r="AQ95" s="335"/>
      <c r="AR95" s="335"/>
      <c r="AS95" s="335"/>
      <c r="AT95" s="335"/>
    </row>
    <row r="96" spans="1:47" ht="14.4" x14ac:dyDescent="0.25">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6"/>
      <c r="AI96" s="336"/>
      <c r="AJ96" s="336"/>
      <c r="AK96" s="336"/>
      <c r="AL96" s="336"/>
    </row>
    <row r="97" spans="1:52" ht="42" customHeight="1" x14ac:dyDescent="0.25">
      <c r="A97" s="332" t="s">
        <v>733</v>
      </c>
      <c r="B97" s="332"/>
      <c r="C97" s="332"/>
      <c r="D97" s="332"/>
      <c r="E97" s="332"/>
      <c r="F97" s="332"/>
      <c r="G97" s="332"/>
      <c r="H97" s="332"/>
      <c r="I97" s="332"/>
      <c r="J97" s="332"/>
      <c r="K97" s="332"/>
      <c r="L97" s="332"/>
      <c r="M97" s="332"/>
      <c r="N97" s="332"/>
      <c r="O97" s="332"/>
      <c r="P97" s="332"/>
      <c r="Q97" s="332"/>
      <c r="R97" s="332"/>
      <c r="S97" s="332"/>
      <c r="T97" s="332"/>
      <c r="U97" s="332"/>
      <c r="V97" s="332"/>
      <c r="W97" s="332"/>
      <c r="X97" s="332"/>
      <c r="Y97" s="332"/>
      <c r="Z97" s="332"/>
      <c r="AA97" s="332"/>
      <c r="AB97" s="332"/>
      <c r="AC97" s="332"/>
      <c r="AD97" s="332"/>
      <c r="AE97" s="332"/>
      <c r="AF97" s="332"/>
      <c r="AG97" s="332"/>
      <c r="AH97" s="332"/>
      <c r="AI97" s="332"/>
      <c r="AJ97" s="332"/>
      <c r="AK97" s="332"/>
      <c r="AL97" s="332"/>
      <c r="AM97" s="335" t="s">
        <v>914</v>
      </c>
      <c r="AN97" s="335"/>
      <c r="AO97" s="335"/>
      <c r="AP97" s="335"/>
      <c r="AQ97" s="335"/>
      <c r="AR97" s="335"/>
      <c r="AS97" s="335"/>
      <c r="AT97" s="335"/>
      <c r="AU97" s="335"/>
      <c r="AV97" s="335"/>
    </row>
    <row r="98" spans="1:52" ht="14.4" x14ac:dyDescent="0.25">
      <c r="A98" s="336"/>
      <c r="B98" s="336"/>
      <c r="C98" s="336"/>
      <c r="D98" s="336"/>
      <c r="E98" s="336"/>
      <c r="F98" s="336"/>
      <c r="G98" s="336"/>
      <c r="H98" s="336"/>
      <c r="I98" s="336"/>
      <c r="J98" s="336"/>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6"/>
      <c r="AI98" s="336"/>
      <c r="AJ98" s="336"/>
      <c r="AK98" s="336"/>
      <c r="AL98" s="336"/>
      <c r="AP98" s="61"/>
      <c r="AQ98" s="61"/>
      <c r="AR98" s="61"/>
      <c r="AS98" s="61"/>
      <c r="AT98" s="61"/>
      <c r="AU98" s="61"/>
      <c r="AV98" s="61"/>
    </row>
    <row r="99" spans="1:52" ht="34.5" customHeight="1" x14ac:dyDescent="0.25">
      <c r="A99" s="308" t="s">
        <v>1008</v>
      </c>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c r="AP99" s="61"/>
      <c r="AQ99" s="61"/>
      <c r="AR99" s="61"/>
      <c r="AS99" s="61"/>
      <c r="AT99" s="61"/>
      <c r="AU99" s="61"/>
      <c r="AV99" s="61"/>
    </row>
    <row r="100" spans="1:52" ht="14.4" x14ac:dyDescent="0.25">
      <c r="A100" s="336"/>
      <c r="B100" s="336"/>
      <c r="C100" s="336"/>
      <c r="D100" s="336"/>
      <c r="E100" s="336"/>
      <c r="F100" s="336"/>
      <c r="G100" s="336"/>
      <c r="H100" s="336"/>
      <c r="I100" s="336"/>
      <c r="J100" s="336"/>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6"/>
      <c r="AI100" s="336"/>
      <c r="AJ100" s="336"/>
      <c r="AK100" s="336"/>
      <c r="AL100" s="336"/>
      <c r="AM100" s="335" t="s">
        <v>914</v>
      </c>
      <c r="AN100" s="335"/>
      <c r="AO100" s="335"/>
      <c r="AP100" s="335"/>
      <c r="AQ100" s="335"/>
      <c r="AR100" s="335"/>
      <c r="AS100" s="335"/>
      <c r="AT100" s="335"/>
      <c r="AU100" s="335"/>
      <c r="AV100" s="335"/>
    </row>
    <row r="101" spans="1:52" ht="14.4" x14ac:dyDescent="0.25">
      <c r="A101" s="328" t="s">
        <v>687</v>
      </c>
      <c r="B101" s="328"/>
      <c r="C101" s="328"/>
      <c r="D101" s="328"/>
      <c r="E101" s="328"/>
      <c r="F101" s="328"/>
      <c r="G101" s="328"/>
      <c r="H101" s="328"/>
      <c r="I101" s="328"/>
      <c r="J101" s="328"/>
      <c r="K101" s="328"/>
      <c r="L101" s="328"/>
      <c r="M101" s="328"/>
      <c r="N101" s="328"/>
      <c r="O101" s="328"/>
      <c r="P101" s="328"/>
      <c r="Q101" s="328"/>
      <c r="R101" s="328"/>
      <c r="S101" s="328"/>
      <c r="T101" s="328"/>
      <c r="U101" s="328"/>
      <c r="V101" s="328"/>
      <c r="W101" s="328"/>
      <c r="X101" s="328"/>
      <c r="Y101" s="328"/>
      <c r="Z101" s="328"/>
      <c r="AA101" s="328"/>
      <c r="AB101" s="328"/>
      <c r="AC101" s="328"/>
      <c r="AD101" s="328"/>
      <c r="AE101" s="328"/>
      <c r="AF101" s="328"/>
      <c r="AG101" s="328"/>
      <c r="AH101" s="328"/>
      <c r="AI101" s="328"/>
      <c r="AJ101" s="328"/>
      <c r="AK101" s="328"/>
      <c r="AL101" s="328"/>
      <c r="AM101" s="79"/>
      <c r="AN101" s="66"/>
      <c r="AO101" s="66"/>
      <c r="AP101" s="66"/>
      <c r="AQ101" s="66"/>
      <c r="AR101" s="66"/>
      <c r="AS101" s="66"/>
      <c r="AT101" s="66"/>
      <c r="AU101" s="66"/>
      <c r="AV101" s="66"/>
      <c r="AW101" s="66"/>
      <c r="AX101" s="66"/>
      <c r="AY101" s="66"/>
      <c r="AZ101" s="66"/>
    </row>
    <row r="102" spans="1:52" ht="34.5" customHeight="1" x14ac:dyDescent="0.25">
      <c r="A102" s="391" t="s">
        <v>735</v>
      </c>
      <c r="B102" s="391"/>
      <c r="C102" s="391"/>
      <c r="D102" s="391"/>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c r="AA102" s="391"/>
      <c r="AB102" s="391"/>
      <c r="AC102" s="391"/>
      <c r="AD102" s="391"/>
      <c r="AE102" s="391"/>
      <c r="AF102" s="391"/>
      <c r="AG102" s="391"/>
      <c r="AH102" s="391"/>
      <c r="AI102" s="391"/>
      <c r="AJ102" s="391"/>
      <c r="AK102" s="391"/>
      <c r="AL102" s="391"/>
    </row>
    <row r="103" spans="1:52" ht="45" customHeight="1" x14ac:dyDescent="0.25">
      <c r="A103" s="392" t="s">
        <v>736</v>
      </c>
      <c r="B103" s="392"/>
      <c r="C103" s="392"/>
      <c r="D103" s="392"/>
      <c r="E103" s="392"/>
      <c r="F103" s="392"/>
      <c r="G103" s="392"/>
      <c r="H103" s="392"/>
      <c r="I103" s="392"/>
      <c r="J103" s="392"/>
      <c r="K103" s="392"/>
      <c r="L103" s="392"/>
      <c r="M103" s="392"/>
      <c r="N103" s="392"/>
      <c r="O103" s="392"/>
      <c r="P103" s="392"/>
      <c r="Q103" s="392"/>
      <c r="R103" s="392"/>
      <c r="S103" s="392"/>
      <c r="T103" s="392"/>
      <c r="U103" s="392"/>
      <c r="V103" s="392"/>
      <c r="W103" s="392"/>
      <c r="X103" s="392"/>
      <c r="Y103" s="392"/>
      <c r="Z103" s="392"/>
      <c r="AA103" s="392"/>
      <c r="AB103" s="392"/>
      <c r="AC103" s="392"/>
      <c r="AD103" s="392"/>
      <c r="AE103" s="392"/>
      <c r="AF103" s="392"/>
      <c r="AG103" s="392"/>
      <c r="AH103" s="392"/>
      <c r="AI103" s="392"/>
      <c r="AJ103" s="392"/>
      <c r="AK103" s="392"/>
      <c r="AL103" s="392"/>
      <c r="AM103" s="83" t="s">
        <v>751</v>
      </c>
    </row>
    <row r="104" spans="1:52" ht="63.45" customHeight="1" x14ac:dyDescent="0.25">
      <c r="A104" s="332" t="s">
        <v>738</v>
      </c>
      <c r="B104" s="332"/>
      <c r="C104" s="332"/>
      <c r="D104" s="332"/>
      <c r="E104" s="332"/>
      <c r="F104" s="332"/>
      <c r="G104" s="332"/>
      <c r="H104" s="332"/>
      <c r="I104" s="332"/>
      <c r="J104" s="332"/>
      <c r="K104" s="332"/>
      <c r="L104" s="332"/>
      <c r="M104" s="332"/>
      <c r="N104" s="332"/>
      <c r="O104" s="332"/>
      <c r="P104" s="332"/>
      <c r="Q104" s="332"/>
      <c r="R104" s="332"/>
      <c r="S104" s="332"/>
      <c r="T104" s="332"/>
      <c r="U104" s="332"/>
      <c r="V104" s="332"/>
      <c r="W104" s="332"/>
      <c r="X104" s="332"/>
      <c r="Y104" s="332"/>
      <c r="Z104" s="332"/>
      <c r="AA104" s="332"/>
      <c r="AB104" s="332"/>
      <c r="AC104" s="332"/>
      <c r="AD104" s="332"/>
      <c r="AE104" s="332"/>
      <c r="AF104" s="332"/>
      <c r="AG104" s="332"/>
      <c r="AH104" s="332"/>
      <c r="AI104" s="332"/>
      <c r="AJ104" s="332"/>
      <c r="AK104" s="332"/>
      <c r="AL104" s="332"/>
    </row>
    <row r="105" spans="1:52" ht="45" customHeight="1" x14ac:dyDescent="0.25">
      <c r="A105" s="333" t="s">
        <v>739</v>
      </c>
      <c r="B105" s="333"/>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83" t="s">
        <v>751</v>
      </c>
    </row>
    <row r="106" spans="1:52" ht="40.5" customHeight="1" x14ac:dyDescent="0.25">
      <c r="A106" s="308" t="s">
        <v>1109</v>
      </c>
      <c r="B106" s="332"/>
      <c r="C106" s="332"/>
      <c r="D106" s="332"/>
      <c r="E106" s="332"/>
      <c r="F106" s="332"/>
      <c r="G106" s="332"/>
      <c r="H106" s="332"/>
      <c r="I106" s="332"/>
      <c r="J106" s="332"/>
      <c r="K106" s="332"/>
      <c r="L106" s="332"/>
      <c r="M106" s="332"/>
      <c r="N106" s="332"/>
      <c r="O106" s="332"/>
      <c r="P106" s="332"/>
      <c r="Q106" s="332"/>
      <c r="R106" s="332"/>
      <c r="S106" s="332"/>
      <c r="T106" s="332"/>
      <c r="U106" s="332"/>
      <c r="V106" s="332"/>
      <c r="W106" s="332"/>
      <c r="X106" s="332"/>
      <c r="Y106" s="332"/>
      <c r="Z106" s="332"/>
      <c r="AA106" s="332"/>
      <c r="AB106" s="332"/>
      <c r="AC106" s="332"/>
      <c r="AD106" s="332"/>
      <c r="AE106" s="332"/>
      <c r="AF106" s="332"/>
      <c r="AG106" s="332"/>
      <c r="AH106" s="332"/>
      <c r="AI106" s="332"/>
      <c r="AJ106" s="332"/>
      <c r="AK106" s="332"/>
      <c r="AL106" s="332"/>
    </row>
    <row r="107" spans="1:52" ht="45" customHeight="1" x14ac:dyDescent="0.25">
      <c r="A107" s="333" t="s">
        <v>742</v>
      </c>
      <c r="B107" s="333"/>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83" t="s">
        <v>751</v>
      </c>
    </row>
    <row r="108" spans="1:52" ht="49.2" customHeight="1" x14ac:dyDescent="0.25">
      <c r="A108" s="405" t="s">
        <v>1131</v>
      </c>
      <c r="B108" s="382"/>
      <c r="C108" s="382"/>
      <c r="D108" s="382"/>
      <c r="E108" s="382"/>
      <c r="F108" s="382"/>
      <c r="G108" s="382"/>
      <c r="H108" s="382"/>
      <c r="I108" s="382"/>
      <c r="J108" s="382"/>
      <c r="K108" s="382"/>
      <c r="L108" s="382"/>
      <c r="M108" s="382"/>
      <c r="N108" s="382"/>
      <c r="O108" s="382"/>
      <c r="P108" s="382"/>
      <c r="Q108" s="382"/>
      <c r="R108" s="382"/>
      <c r="S108" s="382"/>
      <c r="T108" s="382"/>
      <c r="U108" s="382"/>
      <c r="V108" s="382"/>
      <c r="W108" s="382"/>
      <c r="X108" s="382"/>
      <c r="Y108" s="382"/>
      <c r="Z108" s="382"/>
      <c r="AA108" s="382"/>
      <c r="AB108" s="382"/>
      <c r="AC108" s="382"/>
      <c r="AD108" s="382"/>
      <c r="AE108" s="382"/>
      <c r="AF108" s="382"/>
      <c r="AG108" s="382"/>
      <c r="AH108" s="382"/>
      <c r="AI108" s="382"/>
      <c r="AJ108" s="382"/>
      <c r="AK108" s="382"/>
      <c r="AL108" s="383"/>
    </row>
    <row r="109" spans="1:52" ht="46.5" customHeight="1" x14ac:dyDescent="0.3">
      <c r="A109" s="406" t="s">
        <v>749</v>
      </c>
      <c r="B109" s="406"/>
      <c r="C109" s="406"/>
      <c r="D109" s="406"/>
      <c r="E109" s="406"/>
      <c r="F109" s="406"/>
      <c r="G109" s="406"/>
      <c r="H109" s="406"/>
      <c r="I109" s="406"/>
      <c r="J109" s="406"/>
      <c r="K109" s="406"/>
      <c r="L109" s="406"/>
      <c r="M109" s="406"/>
      <c r="N109" s="406"/>
      <c r="O109" s="406"/>
      <c r="P109" s="406"/>
      <c r="Q109" s="406"/>
      <c r="R109" s="406"/>
      <c r="S109" s="406"/>
      <c r="T109" s="406"/>
      <c r="U109" s="406"/>
      <c r="V109" s="406"/>
      <c r="W109" s="406"/>
      <c r="X109" s="406"/>
      <c r="Y109" s="406"/>
      <c r="Z109" s="406"/>
      <c r="AA109" s="401"/>
      <c r="AB109" s="402"/>
      <c r="AC109" s="402"/>
      <c r="AD109" s="402"/>
      <c r="AE109" s="402"/>
      <c r="AF109" s="402"/>
      <c r="AG109" s="402"/>
      <c r="AH109" s="402"/>
      <c r="AI109" s="402"/>
      <c r="AJ109" s="402"/>
      <c r="AK109" s="402"/>
      <c r="AL109" s="402"/>
    </row>
    <row r="110" spans="1:52" ht="27" customHeight="1" x14ac:dyDescent="0.3">
      <c r="A110" s="381" t="s">
        <v>750</v>
      </c>
      <c r="B110" s="382"/>
      <c r="C110" s="382"/>
      <c r="D110" s="382"/>
      <c r="E110" s="382"/>
      <c r="F110" s="382"/>
      <c r="G110" s="382"/>
      <c r="H110" s="382"/>
      <c r="I110" s="382"/>
      <c r="J110" s="382"/>
      <c r="K110" s="382"/>
      <c r="L110" s="382"/>
      <c r="M110" s="382"/>
      <c r="N110" s="382"/>
      <c r="O110" s="382"/>
      <c r="P110" s="382"/>
      <c r="Q110" s="382"/>
      <c r="R110" s="382"/>
      <c r="S110" s="382"/>
      <c r="T110" s="382"/>
      <c r="U110" s="382"/>
      <c r="V110" s="382"/>
      <c r="W110" s="382"/>
      <c r="X110" s="382"/>
      <c r="Y110" s="382"/>
      <c r="Z110" s="383"/>
      <c r="AA110" s="407"/>
      <c r="AB110" s="408"/>
      <c r="AC110" s="408"/>
      <c r="AD110" s="408"/>
      <c r="AE110" s="408"/>
      <c r="AF110" s="408"/>
      <c r="AG110" s="408"/>
      <c r="AH110" s="408"/>
      <c r="AI110" s="408"/>
      <c r="AJ110" s="408"/>
      <c r="AK110" s="408"/>
      <c r="AL110" s="408"/>
    </row>
    <row r="111" spans="1:52" ht="45" customHeight="1" x14ac:dyDescent="0.3">
      <c r="A111" s="314" t="s">
        <v>931</v>
      </c>
      <c r="B111" s="315"/>
      <c r="C111" s="315"/>
      <c r="D111" s="315"/>
      <c r="E111" s="315"/>
      <c r="F111" s="315"/>
      <c r="G111" s="315"/>
      <c r="H111" s="315"/>
      <c r="I111" s="315"/>
      <c r="J111" s="315"/>
      <c r="K111" s="315"/>
      <c r="L111" s="315"/>
      <c r="M111" s="315"/>
      <c r="N111" s="315"/>
      <c r="O111" s="315"/>
      <c r="P111" s="315"/>
      <c r="Q111" s="315"/>
      <c r="R111" s="315"/>
      <c r="S111" s="315"/>
      <c r="T111" s="315"/>
      <c r="U111" s="315"/>
      <c r="V111" s="315"/>
      <c r="W111" s="315"/>
      <c r="X111" s="315"/>
      <c r="Y111" s="315"/>
      <c r="Z111" s="315"/>
      <c r="AA111" s="398" t="s">
        <v>865</v>
      </c>
      <c r="AB111" s="399"/>
      <c r="AC111" s="399"/>
      <c r="AD111" s="399"/>
      <c r="AE111" s="399"/>
      <c r="AF111" s="399"/>
      <c r="AG111" s="399"/>
      <c r="AH111" s="399"/>
      <c r="AI111" s="400"/>
      <c r="AJ111" s="401"/>
      <c r="AK111" s="402"/>
      <c r="AL111" s="402"/>
    </row>
    <row r="112" spans="1:52" ht="46.2" customHeight="1" x14ac:dyDescent="0.3">
      <c r="A112" s="409"/>
      <c r="B112" s="397"/>
      <c r="C112" s="397"/>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c r="AA112" s="398" t="s">
        <v>866</v>
      </c>
      <c r="AB112" s="399"/>
      <c r="AC112" s="399"/>
      <c r="AD112" s="399"/>
      <c r="AE112" s="399"/>
      <c r="AF112" s="399"/>
      <c r="AG112" s="399"/>
      <c r="AH112" s="399"/>
      <c r="AI112" s="400"/>
      <c r="AJ112" s="401"/>
      <c r="AK112" s="402"/>
      <c r="AL112" s="402"/>
    </row>
    <row r="113" spans="1:40" ht="96.45" customHeight="1" x14ac:dyDescent="0.25">
      <c r="A113" s="381" t="s">
        <v>932</v>
      </c>
      <c r="B113" s="382"/>
      <c r="C113" s="382"/>
      <c r="D113" s="382"/>
      <c r="E113" s="382"/>
      <c r="F113" s="382"/>
      <c r="G113" s="382"/>
      <c r="H113" s="382"/>
      <c r="I113" s="382"/>
      <c r="J113" s="382"/>
      <c r="K113" s="382"/>
      <c r="L113" s="382"/>
      <c r="M113" s="382"/>
      <c r="N113" s="382"/>
      <c r="O113" s="382"/>
      <c r="P113" s="382"/>
      <c r="Q113" s="382"/>
      <c r="R113" s="382"/>
      <c r="S113" s="382"/>
      <c r="T113" s="382"/>
      <c r="U113" s="382"/>
      <c r="V113" s="382"/>
      <c r="W113" s="382"/>
      <c r="X113" s="382"/>
      <c r="Y113" s="382"/>
      <c r="Z113" s="383"/>
      <c r="AA113" s="384"/>
      <c r="AB113" s="385"/>
      <c r="AC113" s="385"/>
      <c r="AD113" s="385"/>
      <c r="AE113" s="385"/>
      <c r="AF113" s="385"/>
      <c r="AG113" s="385"/>
      <c r="AH113" s="385"/>
      <c r="AI113" s="385"/>
      <c r="AJ113" s="385"/>
      <c r="AK113" s="385"/>
      <c r="AL113" s="385"/>
    </row>
    <row r="114" spans="1:40" ht="58.95" customHeight="1" x14ac:dyDescent="0.3">
      <c r="A114" s="377" t="s">
        <v>1132</v>
      </c>
      <c r="B114" s="377"/>
      <c r="C114" s="377"/>
      <c r="D114" s="377"/>
      <c r="E114" s="377"/>
      <c r="F114" s="377"/>
      <c r="G114" s="377"/>
      <c r="H114" s="377"/>
      <c r="I114" s="377"/>
      <c r="J114" s="377"/>
      <c r="K114" s="377"/>
      <c r="L114" s="377"/>
      <c r="M114" s="377"/>
      <c r="N114" s="377"/>
      <c r="O114" s="377"/>
      <c r="P114" s="377"/>
      <c r="Q114" s="377"/>
      <c r="R114" s="377"/>
      <c r="S114" s="377"/>
      <c r="T114" s="377"/>
      <c r="U114" s="377"/>
      <c r="V114" s="377"/>
      <c r="W114" s="377"/>
      <c r="X114" s="377"/>
      <c r="Y114" s="377"/>
      <c r="Z114" s="378"/>
      <c r="AA114" s="398" t="s">
        <v>956</v>
      </c>
      <c r="AB114" s="399"/>
      <c r="AC114" s="399"/>
      <c r="AD114" s="399"/>
      <c r="AE114" s="399"/>
      <c r="AF114" s="399"/>
      <c r="AG114" s="399"/>
      <c r="AH114" s="399"/>
      <c r="AI114" s="400"/>
      <c r="AJ114" s="401"/>
      <c r="AK114" s="402"/>
      <c r="AL114" s="402"/>
    </row>
    <row r="115" spans="1:40" ht="28.2" customHeight="1" x14ac:dyDescent="0.3">
      <c r="A115" s="379"/>
      <c r="B115" s="379"/>
      <c r="C115" s="379"/>
      <c r="D115" s="379"/>
      <c r="E115" s="379"/>
      <c r="F115" s="379"/>
      <c r="G115" s="379"/>
      <c r="H115" s="379"/>
      <c r="I115" s="379"/>
      <c r="J115" s="379"/>
      <c r="K115" s="379"/>
      <c r="L115" s="379"/>
      <c r="M115" s="379"/>
      <c r="N115" s="379"/>
      <c r="O115" s="379"/>
      <c r="P115" s="379"/>
      <c r="Q115" s="379"/>
      <c r="R115" s="379"/>
      <c r="S115" s="379"/>
      <c r="T115" s="379"/>
      <c r="U115" s="379"/>
      <c r="V115" s="379"/>
      <c r="W115" s="379"/>
      <c r="X115" s="379"/>
      <c r="Y115" s="379"/>
      <c r="Z115" s="380"/>
      <c r="AA115" s="398" t="s">
        <v>955</v>
      </c>
      <c r="AB115" s="399"/>
      <c r="AC115" s="399"/>
      <c r="AD115" s="399"/>
      <c r="AE115" s="399"/>
      <c r="AF115" s="399"/>
      <c r="AG115" s="399"/>
      <c r="AH115" s="399"/>
      <c r="AI115" s="400"/>
      <c r="AJ115" s="407"/>
      <c r="AK115" s="408"/>
      <c r="AL115" s="408"/>
    </row>
    <row r="116" spans="1:40" ht="59.7" customHeight="1" x14ac:dyDescent="0.3">
      <c r="A116" s="315" t="s">
        <v>933</v>
      </c>
      <c r="B116" s="315"/>
      <c r="C116" s="315"/>
      <c r="D116" s="315"/>
      <c r="E116" s="315"/>
      <c r="F116" s="315"/>
      <c r="G116" s="315"/>
      <c r="H116" s="315"/>
      <c r="I116" s="315"/>
      <c r="J116" s="315"/>
      <c r="K116" s="315"/>
      <c r="L116" s="315"/>
      <c r="M116" s="315"/>
      <c r="N116" s="315"/>
      <c r="O116" s="315"/>
      <c r="P116" s="315"/>
      <c r="Q116" s="315"/>
      <c r="R116" s="315"/>
      <c r="S116" s="315"/>
      <c r="T116" s="315"/>
      <c r="U116" s="315"/>
      <c r="V116" s="315"/>
      <c r="W116" s="315"/>
      <c r="X116" s="315"/>
      <c r="Y116" s="315"/>
      <c r="Z116" s="315"/>
      <c r="AA116" s="398" t="s">
        <v>956</v>
      </c>
      <c r="AB116" s="399"/>
      <c r="AC116" s="399"/>
      <c r="AD116" s="399"/>
      <c r="AE116" s="399"/>
      <c r="AF116" s="399"/>
      <c r="AG116" s="399"/>
      <c r="AH116" s="399"/>
      <c r="AI116" s="400"/>
      <c r="AJ116" s="401"/>
      <c r="AK116" s="402"/>
      <c r="AL116" s="402"/>
    </row>
    <row r="117" spans="1:40" ht="59.7" customHeight="1" x14ac:dyDescent="0.3">
      <c r="A117" s="397"/>
      <c r="B117" s="397"/>
      <c r="C117" s="397"/>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c r="AA117" s="398" t="s">
        <v>955</v>
      </c>
      <c r="AB117" s="399"/>
      <c r="AC117" s="399"/>
      <c r="AD117" s="399"/>
      <c r="AE117" s="399"/>
      <c r="AF117" s="399"/>
      <c r="AG117" s="399"/>
      <c r="AH117" s="399"/>
      <c r="AI117" s="400"/>
      <c r="AJ117" s="401"/>
      <c r="AK117" s="402"/>
      <c r="AL117" s="402"/>
    </row>
    <row r="118" spans="1:40" ht="45" customHeight="1" x14ac:dyDescent="0.25">
      <c r="A118" s="404" t="s">
        <v>929</v>
      </c>
      <c r="B118" s="404"/>
      <c r="C118" s="404"/>
      <c r="D118" s="404"/>
      <c r="E118" s="404"/>
      <c r="F118" s="404"/>
      <c r="G118" s="404"/>
      <c r="H118" s="404"/>
      <c r="I118" s="404"/>
      <c r="J118" s="404"/>
      <c r="K118" s="404"/>
      <c r="L118" s="404"/>
      <c r="M118" s="404"/>
      <c r="N118" s="404"/>
      <c r="O118" s="404"/>
      <c r="P118" s="404"/>
      <c r="Q118" s="404"/>
      <c r="R118" s="404"/>
      <c r="S118" s="404"/>
      <c r="T118" s="404"/>
      <c r="U118" s="404"/>
      <c r="V118" s="404"/>
      <c r="W118" s="404"/>
      <c r="X118" s="404"/>
      <c r="Y118" s="404"/>
      <c r="Z118" s="404"/>
      <c r="AA118" s="404"/>
      <c r="AB118" s="404"/>
      <c r="AC118" s="404"/>
      <c r="AD118" s="404"/>
      <c r="AE118" s="404"/>
      <c r="AF118" s="404"/>
      <c r="AG118" s="404"/>
      <c r="AH118" s="404"/>
      <c r="AI118" s="404"/>
      <c r="AJ118" s="404"/>
      <c r="AK118" s="404"/>
      <c r="AL118" s="404"/>
      <c r="AM118" s="83"/>
    </row>
    <row r="119" spans="1:40" ht="158.69999999999999" customHeight="1" x14ac:dyDescent="0.3">
      <c r="A119" s="318" t="s">
        <v>1006</v>
      </c>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20"/>
      <c r="AJ119" s="321" t="e">
        <f>ROUNDDOWN(A96/(A96+A98),4)</f>
        <v>#DIV/0!</v>
      </c>
      <c r="AK119" s="322"/>
      <c r="AL119" s="322"/>
      <c r="AM119" s="83"/>
    </row>
    <row r="120" spans="1:40" ht="300" customHeight="1" x14ac:dyDescent="0.3">
      <c r="A120" s="318" t="s">
        <v>1029</v>
      </c>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20"/>
      <c r="AJ120" s="323" t="e">
        <f>ROUNDDOWN(AJ117/AJ114,4)</f>
        <v>#DIV/0!</v>
      </c>
      <c r="AK120" s="324"/>
      <c r="AL120" s="324"/>
      <c r="AM120" s="83"/>
    </row>
    <row r="121" spans="1:40" ht="70.5" customHeight="1" x14ac:dyDescent="0.25">
      <c r="A121" s="314" t="s">
        <v>1030</v>
      </c>
      <c r="B121" s="315"/>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c r="Y121" s="315"/>
      <c r="Z121" s="315"/>
      <c r="AA121" s="315"/>
      <c r="AB121" s="315"/>
      <c r="AC121" s="315"/>
      <c r="AD121" s="315"/>
      <c r="AE121" s="315"/>
      <c r="AF121" s="315"/>
      <c r="AG121" s="315"/>
      <c r="AH121" s="315"/>
      <c r="AI121" s="315"/>
      <c r="AJ121" s="315"/>
      <c r="AK121" s="315"/>
      <c r="AL121" s="315"/>
      <c r="AM121" s="83"/>
    </row>
    <row r="122" spans="1:40" ht="112.2" customHeight="1" x14ac:dyDescent="0.25">
      <c r="A122" s="316"/>
      <c r="B122" s="317"/>
      <c r="C122" s="317"/>
      <c r="D122" s="317"/>
      <c r="E122" s="317"/>
      <c r="F122" s="317"/>
      <c r="G122" s="317"/>
      <c r="H122" s="317"/>
      <c r="I122" s="317"/>
      <c r="J122" s="317"/>
      <c r="K122" s="317"/>
      <c r="L122" s="317"/>
      <c r="M122" s="317"/>
      <c r="N122" s="317"/>
      <c r="O122" s="317"/>
      <c r="P122" s="317"/>
      <c r="Q122" s="317"/>
      <c r="R122" s="317"/>
      <c r="S122" s="317"/>
      <c r="T122" s="317"/>
      <c r="U122" s="317"/>
      <c r="V122" s="317"/>
      <c r="W122" s="317"/>
      <c r="X122" s="317"/>
      <c r="Y122" s="317"/>
      <c r="Z122" s="317"/>
      <c r="AA122" s="317"/>
      <c r="AB122" s="317"/>
      <c r="AC122" s="317"/>
      <c r="AD122" s="317"/>
      <c r="AE122" s="317"/>
      <c r="AF122" s="317"/>
      <c r="AG122" s="317"/>
      <c r="AH122" s="317"/>
      <c r="AI122" s="317"/>
      <c r="AJ122" s="317"/>
      <c r="AK122" s="317"/>
      <c r="AL122" s="317"/>
      <c r="AM122" s="83"/>
    </row>
    <row r="123" spans="1:40" ht="144.44999999999999" customHeight="1" x14ac:dyDescent="0.25">
      <c r="A123" s="308" t="s">
        <v>1110</v>
      </c>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8"/>
      <c r="AH123" s="308"/>
      <c r="AI123" s="308"/>
      <c r="AJ123" s="308"/>
      <c r="AK123" s="308"/>
      <c r="AL123" s="308"/>
    </row>
    <row r="124" spans="1:40" ht="83.7" customHeight="1" x14ac:dyDescent="0.25">
      <c r="A124" s="135" t="s">
        <v>127</v>
      </c>
      <c r="B124" s="311" t="s">
        <v>812</v>
      </c>
      <c r="C124" s="312"/>
      <c r="D124" s="312"/>
      <c r="E124" s="312"/>
      <c r="F124" s="313"/>
      <c r="G124" s="325" t="s">
        <v>813</v>
      </c>
      <c r="H124" s="325"/>
      <c r="I124" s="325"/>
      <c r="J124" s="325"/>
      <c r="K124" s="325"/>
      <c r="L124" s="325" t="s">
        <v>185</v>
      </c>
      <c r="M124" s="325"/>
      <c r="N124" s="325"/>
      <c r="O124" s="325"/>
      <c r="P124" s="325" t="s">
        <v>184</v>
      </c>
      <c r="Q124" s="325"/>
      <c r="R124" s="325"/>
      <c r="S124" s="325"/>
      <c r="T124" s="325" t="s">
        <v>665</v>
      </c>
      <c r="U124" s="325"/>
      <c r="V124" s="325"/>
      <c r="W124" s="325"/>
      <c r="X124" s="325"/>
      <c r="Y124" s="325"/>
      <c r="Z124" s="325"/>
      <c r="AA124" s="325" t="s">
        <v>664</v>
      </c>
      <c r="AB124" s="325"/>
      <c r="AC124" s="325"/>
      <c r="AD124" s="325"/>
      <c r="AE124" s="325"/>
      <c r="AF124" s="325"/>
      <c r="AG124" s="325"/>
      <c r="AH124" s="325" t="s">
        <v>179</v>
      </c>
      <c r="AI124" s="325"/>
      <c r="AJ124" s="325"/>
      <c r="AK124" s="325" t="s">
        <v>186</v>
      </c>
      <c r="AL124" s="325"/>
      <c r="AM124" s="144" t="s">
        <v>221</v>
      </c>
    </row>
    <row r="125" spans="1:40" ht="14.1" customHeight="1" x14ac:dyDescent="0.25">
      <c r="A125" s="135">
        <v>1</v>
      </c>
      <c r="B125" s="311">
        <v>2</v>
      </c>
      <c r="C125" s="312"/>
      <c r="D125" s="312"/>
      <c r="E125" s="312"/>
      <c r="F125" s="312"/>
      <c r="G125" s="311">
        <v>3</v>
      </c>
      <c r="H125" s="312"/>
      <c r="I125" s="312"/>
      <c r="J125" s="312"/>
      <c r="K125" s="313"/>
      <c r="L125" s="311">
        <v>4</v>
      </c>
      <c r="M125" s="312"/>
      <c r="N125" s="312"/>
      <c r="O125" s="313"/>
      <c r="P125" s="311">
        <v>5</v>
      </c>
      <c r="Q125" s="312"/>
      <c r="R125" s="312"/>
      <c r="S125" s="313"/>
      <c r="T125" s="311">
        <v>6</v>
      </c>
      <c r="U125" s="312"/>
      <c r="V125" s="312"/>
      <c r="W125" s="312"/>
      <c r="X125" s="312"/>
      <c r="Y125" s="312"/>
      <c r="Z125" s="313"/>
      <c r="AA125" s="311" t="s">
        <v>821</v>
      </c>
      <c r="AB125" s="312"/>
      <c r="AC125" s="312"/>
      <c r="AD125" s="312"/>
      <c r="AE125" s="312"/>
      <c r="AF125" s="312"/>
      <c r="AG125" s="313"/>
      <c r="AH125" s="311">
        <v>8</v>
      </c>
      <c r="AI125" s="312"/>
      <c r="AJ125" s="313"/>
      <c r="AK125" s="311" t="s">
        <v>666</v>
      </c>
      <c r="AL125" s="313"/>
      <c r="AM125" s="144"/>
    </row>
    <row r="126" spans="1:40" ht="42.45" customHeight="1" x14ac:dyDescent="0.25">
      <c r="A126" s="128">
        <v>1</v>
      </c>
      <c r="B126" s="303"/>
      <c r="C126" s="304"/>
      <c r="D126" s="304"/>
      <c r="E126" s="304"/>
      <c r="F126" s="305"/>
      <c r="G126" s="300"/>
      <c r="H126" s="301"/>
      <c r="I126" s="301"/>
      <c r="J126" s="301"/>
      <c r="K126" s="302"/>
      <c r="L126" s="306"/>
      <c r="M126" s="307"/>
      <c r="N126" s="307"/>
      <c r="O126" s="307"/>
      <c r="P126" s="294">
        <f>IF(OR(B126=Słowniki!A$46,B126=Słowniki!A$56,B126=Słowniki!A$58,B126=Słowniki!A$59),0.08,0.23)</f>
        <v>0.23</v>
      </c>
      <c r="Q126" s="295"/>
      <c r="R126" s="295"/>
      <c r="S126" s="295"/>
      <c r="T126" s="298">
        <v>1</v>
      </c>
      <c r="U126" s="298"/>
      <c r="V126" s="298"/>
      <c r="W126" s="298"/>
      <c r="X126" s="298"/>
      <c r="Y126" s="298"/>
      <c r="Z126" s="299"/>
      <c r="AA126" s="291">
        <f>L126+ROUND(L126*P126*T126,2)</f>
        <v>0</v>
      </c>
      <c r="AB126" s="292"/>
      <c r="AC126" s="292"/>
      <c r="AD126" s="292"/>
      <c r="AE126" s="292"/>
      <c r="AF126" s="292"/>
      <c r="AG126" s="293"/>
      <c r="AH126" s="329" t="e">
        <f>IF(OR(B126=Słowniki!A$57,B126=Słowniki!A$58),(AJ$119*AJ$120),AJ$119)</f>
        <v>#DIV/0!</v>
      </c>
      <c r="AI126" s="330"/>
      <c r="AJ126" s="331"/>
      <c r="AK126" s="291" t="e">
        <f>ROUND(AA126*AH126,2)</f>
        <v>#DIV/0!</v>
      </c>
      <c r="AL126" s="293"/>
      <c r="AN126" s="77"/>
    </row>
    <row r="127" spans="1:40" ht="36" customHeight="1" x14ac:dyDescent="0.25">
      <c r="A127" s="128">
        <v>2</v>
      </c>
      <c r="B127" s="303"/>
      <c r="C127" s="304"/>
      <c r="D127" s="304"/>
      <c r="E127" s="304"/>
      <c r="F127" s="305"/>
      <c r="G127" s="300"/>
      <c r="H127" s="301"/>
      <c r="I127" s="301"/>
      <c r="J127" s="301"/>
      <c r="K127" s="302"/>
      <c r="L127" s="306"/>
      <c r="M127" s="307"/>
      <c r="N127" s="307"/>
      <c r="O127" s="307"/>
      <c r="P127" s="294">
        <f>IF(OR(B127=Słowniki!A$46,B127=Słowniki!A$56,B127=Słowniki!A$58,B127=Słowniki!A$59),0.08,0.23)</f>
        <v>0.23</v>
      </c>
      <c r="Q127" s="295"/>
      <c r="R127" s="295"/>
      <c r="S127" s="295"/>
      <c r="T127" s="298">
        <v>1</v>
      </c>
      <c r="U127" s="298"/>
      <c r="V127" s="298"/>
      <c r="W127" s="298"/>
      <c r="X127" s="298"/>
      <c r="Y127" s="298"/>
      <c r="Z127" s="299"/>
      <c r="AA127" s="291">
        <f t="shared" ref="AA127:AA147" si="0">L127+ROUND(L127*P127*T127,2)</f>
        <v>0</v>
      </c>
      <c r="AB127" s="292"/>
      <c r="AC127" s="292"/>
      <c r="AD127" s="292"/>
      <c r="AE127" s="292"/>
      <c r="AF127" s="292"/>
      <c r="AG127" s="293"/>
      <c r="AH127" s="329" t="e">
        <f>IF(OR(B127=Słowniki!A$57,B127=Słowniki!A$58),(AJ$119*AJ$120),AJ$119)</f>
        <v>#DIV/0!</v>
      </c>
      <c r="AI127" s="330"/>
      <c r="AJ127" s="331"/>
      <c r="AK127" s="291" t="e">
        <f t="shared" ref="AK127:AK144" si="1">ROUND(AA127*AH127,2)</f>
        <v>#DIV/0!</v>
      </c>
      <c r="AL127" s="293"/>
      <c r="AN127" s="77"/>
    </row>
    <row r="128" spans="1:40" ht="36" customHeight="1" x14ac:dyDescent="0.25">
      <c r="A128" s="128">
        <v>3</v>
      </c>
      <c r="B128" s="303"/>
      <c r="C128" s="304"/>
      <c r="D128" s="304"/>
      <c r="E128" s="304"/>
      <c r="F128" s="305"/>
      <c r="G128" s="300"/>
      <c r="H128" s="301"/>
      <c r="I128" s="301"/>
      <c r="J128" s="301"/>
      <c r="K128" s="302"/>
      <c r="L128" s="306"/>
      <c r="M128" s="307"/>
      <c r="N128" s="307"/>
      <c r="O128" s="307"/>
      <c r="P128" s="294">
        <f>IF(OR(B128=Słowniki!A$46,B128=Słowniki!A$56,B128=Słowniki!A$58,B128=Słowniki!A$59),0.08,0.23)</f>
        <v>0.23</v>
      </c>
      <c r="Q128" s="295"/>
      <c r="R128" s="295"/>
      <c r="S128" s="295"/>
      <c r="T128" s="298">
        <v>1</v>
      </c>
      <c r="U128" s="298"/>
      <c r="V128" s="298"/>
      <c r="W128" s="298"/>
      <c r="X128" s="298"/>
      <c r="Y128" s="298"/>
      <c r="Z128" s="299"/>
      <c r="AA128" s="291">
        <f t="shared" si="0"/>
        <v>0</v>
      </c>
      <c r="AB128" s="292"/>
      <c r="AC128" s="292"/>
      <c r="AD128" s="292"/>
      <c r="AE128" s="292"/>
      <c r="AF128" s="292"/>
      <c r="AG128" s="293"/>
      <c r="AH128" s="329" t="e">
        <f>IF(OR(B128=Słowniki!A$57,B128=Słowniki!A$58),(AJ$119*AJ$120),AJ$119)</f>
        <v>#DIV/0!</v>
      </c>
      <c r="AI128" s="330"/>
      <c r="AJ128" s="331"/>
      <c r="AK128" s="291" t="e">
        <f t="shared" si="1"/>
        <v>#DIV/0!</v>
      </c>
      <c r="AL128" s="293"/>
      <c r="AN128" s="77"/>
    </row>
    <row r="129" spans="1:40" ht="36" customHeight="1" x14ac:dyDescent="0.25">
      <c r="A129" s="128">
        <v>4</v>
      </c>
      <c r="B129" s="303"/>
      <c r="C129" s="304"/>
      <c r="D129" s="304"/>
      <c r="E129" s="304"/>
      <c r="F129" s="305"/>
      <c r="G129" s="300"/>
      <c r="H129" s="301"/>
      <c r="I129" s="301"/>
      <c r="J129" s="301"/>
      <c r="K129" s="302"/>
      <c r="L129" s="306"/>
      <c r="M129" s="307"/>
      <c r="N129" s="307"/>
      <c r="O129" s="307"/>
      <c r="P129" s="294">
        <f>IF(OR(B129=Słowniki!A$46,B129=Słowniki!A$56,B129=Słowniki!A$58,B129=Słowniki!A$59),0.08,0.23)</f>
        <v>0.23</v>
      </c>
      <c r="Q129" s="295"/>
      <c r="R129" s="295"/>
      <c r="S129" s="295"/>
      <c r="T129" s="298">
        <v>1</v>
      </c>
      <c r="U129" s="298"/>
      <c r="V129" s="298"/>
      <c r="W129" s="298"/>
      <c r="X129" s="298"/>
      <c r="Y129" s="298"/>
      <c r="Z129" s="299"/>
      <c r="AA129" s="291">
        <f t="shared" si="0"/>
        <v>0</v>
      </c>
      <c r="AB129" s="292"/>
      <c r="AC129" s="292"/>
      <c r="AD129" s="292"/>
      <c r="AE129" s="292"/>
      <c r="AF129" s="292"/>
      <c r="AG129" s="293"/>
      <c r="AH129" s="329" t="e">
        <f>IF(OR(B129=Słowniki!A$57,B129=Słowniki!A$58),(AJ$119*AJ$120),AJ$119)</f>
        <v>#DIV/0!</v>
      </c>
      <c r="AI129" s="330"/>
      <c r="AJ129" s="331"/>
      <c r="AK129" s="291" t="e">
        <f t="shared" si="1"/>
        <v>#DIV/0!</v>
      </c>
      <c r="AL129" s="293"/>
      <c r="AN129" s="77"/>
    </row>
    <row r="130" spans="1:40" ht="36" customHeight="1" x14ac:dyDescent="0.25">
      <c r="A130" s="128">
        <v>5</v>
      </c>
      <c r="B130" s="303"/>
      <c r="C130" s="304"/>
      <c r="D130" s="304"/>
      <c r="E130" s="304"/>
      <c r="F130" s="305"/>
      <c r="G130" s="300"/>
      <c r="H130" s="301"/>
      <c r="I130" s="301"/>
      <c r="J130" s="301"/>
      <c r="K130" s="302"/>
      <c r="L130" s="306"/>
      <c r="M130" s="307"/>
      <c r="N130" s="307"/>
      <c r="O130" s="307"/>
      <c r="P130" s="294">
        <f>IF(OR(B130=Słowniki!A$46,B130=Słowniki!A$56,B130=Słowniki!A$58,B130=Słowniki!A$59),0.08,0.23)</f>
        <v>0.23</v>
      </c>
      <c r="Q130" s="295"/>
      <c r="R130" s="295"/>
      <c r="S130" s="295"/>
      <c r="T130" s="298">
        <v>1</v>
      </c>
      <c r="U130" s="298"/>
      <c r="V130" s="298"/>
      <c r="W130" s="298"/>
      <c r="X130" s="298"/>
      <c r="Y130" s="298"/>
      <c r="Z130" s="299"/>
      <c r="AA130" s="291">
        <f t="shared" si="0"/>
        <v>0</v>
      </c>
      <c r="AB130" s="292"/>
      <c r="AC130" s="292"/>
      <c r="AD130" s="292"/>
      <c r="AE130" s="292"/>
      <c r="AF130" s="292"/>
      <c r="AG130" s="293"/>
      <c r="AH130" s="329" t="e">
        <f>IF(OR(B130=Słowniki!A$57,B130=Słowniki!A$58),(AJ$119*AJ$120),AJ$119)</f>
        <v>#DIV/0!</v>
      </c>
      <c r="AI130" s="330"/>
      <c r="AJ130" s="331"/>
      <c r="AK130" s="291" t="e">
        <f t="shared" si="1"/>
        <v>#DIV/0!</v>
      </c>
      <c r="AL130" s="293"/>
      <c r="AN130" s="77"/>
    </row>
    <row r="131" spans="1:40" ht="36" customHeight="1" x14ac:dyDescent="0.25">
      <c r="A131" s="128">
        <v>6</v>
      </c>
      <c r="B131" s="303"/>
      <c r="C131" s="304"/>
      <c r="D131" s="304"/>
      <c r="E131" s="304"/>
      <c r="F131" s="305"/>
      <c r="G131" s="300"/>
      <c r="H131" s="301"/>
      <c r="I131" s="301"/>
      <c r="J131" s="301"/>
      <c r="K131" s="302"/>
      <c r="L131" s="306"/>
      <c r="M131" s="307"/>
      <c r="N131" s="307"/>
      <c r="O131" s="307"/>
      <c r="P131" s="294">
        <f>IF(OR(B131=Słowniki!A$46,B131=Słowniki!A$56,B131=Słowniki!A$58,B131=Słowniki!A$59),0.08,0.23)</f>
        <v>0.23</v>
      </c>
      <c r="Q131" s="295"/>
      <c r="R131" s="295"/>
      <c r="S131" s="295"/>
      <c r="T131" s="298">
        <v>1</v>
      </c>
      <c r="U131" s="298"/>
      <c r="V131" s="298"/>
      <c r="W131" s="298"/>
      <c r="X131" s="298"/>
      <c r="Y131" s="298"/>
      <c r="Z131" s="299"/>
      <c r="AA131" s="291">
        <f t="shared" si="0"/>
        <v>0</v>
      </c>
      <c r="AB131" s="292"/>
      <c r="AC131" s="292"/>
      <c r="AD131" s="292"/>
      <c r="AE131" s="292"/>
      <c r="AF131" s="292"/>
      <c r="AG131" s="293"/>
      <c r="AH131" s="329" t="e">
        <f>IF(OR(B131=Słowniki!A$57,B131=Słowniki!A$58),(AJ$119*AJ$120),AJ$119)</f>
        <v>#DIV/0!</v>
      </c>
      <c r="AI131" s="330"/>
      <c r="AJ131" s="331"/>
      <c r="AK131" s="291" t="e">
        <f t="shared" si="1"/>
        <v>#DIV/0!</v>
      </c>
      <c r="AL131" s="293"/>
      <c r="AN131" s="77"/>
    </row>
    <row r="132" spans="1:40" ht="36" customHeight="1" x14ac:dyDescent="0.25">
      <c r="A132" s="128">
        <v>7</v>
      </c>
      <c r="B132" s="303"/>
      <c r="C132" s="304"/>
      <c r="D132" s="304"/>
      <c r="E132" s="304"/>
      <c r="F132" s="305"/>
      <c r="G132" s="300"/>
      <c r="H132" s="301"/>
      <c r="I132" s="301"/>
      <c r="J132" s="301"/>
      <c r="K132" s="302"/>
      <c r="L132" s="306"/>
      <c r="M132" s="307"/>
      <c r="N132" s="307"/>
      <c r="O132" s="307"/>
      <c r="P132" s="294">
        <f>IF(OR(B132=Słowniki!A$46,B132=Słowniki!A$56,B132=Słowniki!A$58,B132=Słowniki!A$59),0.08,0.23)</f>
        <v>0.23</v>
      </c>
      <c r="Q132" s="295"/>
      <c r="R132" s="295"/>
      <c r="S132" s="295"/>
      <c r="T132" s="298">
        <v>1</v>
      </c>
      <c r="U132" s="298"/>
      <c r="V132" s="298"/>
      <c r="W132" s="298"/>
      <c r="X132" s="298"/>
      <c r="Y132" s="298"/>
      <c r="Z132" s="299"/>
      <c r="AA132" s="291">
        <f t="shared" si="0"/>
        <v>0</v>
      </c>
      <c r="AB132" s="292"/>
      <c r="AC132" s="292"/>
      <c r="AD132" s="292"/>
      <c r="AE132" s="292"/>
      <c r="AF132" s="292"/>
      <c r="AG132" s="293"/>
      <c r="AH132" s="329" t="e">
        <f>IF(OR(B132=Słowniki!A$57,B132=Słowniki!A$58),(AJ$119*AJ$120),AJ$119)</f>
        <v>#DIV/0!</v>
      </c>
      <c r="AI132" s="330"/>
      <c r="AJ132" s="331"/>
      <c r="AK132" s="291" t="e">
        <f t="shared" si="1"/>
        <v>#DIV/0!</v>
      </c>
      <c r="AL132" s="293"/>
      <c r="AN132" s="77"/>
    </row>
    <row r="133" spans="1:40" ht="36" customHeight="1" x14ac:dyDescent="0.25">
      <c r="A133" s="128">
        <v>8</v>
      </c>
      <c r="B133" s="303"/>
      <c r="C133" s="304"/>
      <c r="D133" s="304"/>
      <c r="E133" s="304"/>
      <c r="F133" s="305"/>
      <c r="G133" s="300"/>
      <c r="H133" s="301"/>
      <c r="I133" s="301"/>
      <c r="J133" s="301"/>
      <c r="K133" s="302"/>
      <c r="L133" s="306"/>
      <c r="M133" s="307"/>
      <c r="N133" s="307"/>
      <c r="O133" s="307"/>
      <c r="P133" s="294">
        <f>IF(OR(B133=Słowniki!A$46,B133=Słowniki!A$56,B133=Słowniki!A$58,B133=Słowniki!A$59),0.08,0.23)</f>
        <v>0.23</v>
      </c>
      <c r="Q133" s="295"/>
      <c r="R133" s="295"/>
      <c r="S133" s="295"/>
      <c r="T133" s="298">
        <v>1</v>
      </c>
      <c r="U133" s="298"/>
      <c r="V133" s="298"/>
      <c r="W133" s="298"/>
      <c r="X133" s="298"/>
      <c r="Y133" s="298"/>
      <c r="Z133" s="299"/>
      <c r="AA133" s="291">
        <f t="shared" si="0"/>
        <v>0</v>
      </c>
      <c r="AB133" s="292"/>
      <c r="AC133" s="292"/>
      <c r="AD133" s="292"/>
      <c r="AE133" s="292"/>
      <c r="AF133" s="292"/>
      <c r="AG133" s="293"/>
      <c r="AH133" s="329" t="e">
        <f>IF(OR(B133=Słowniki!A$57,B133=Słowniki!A$58),(AJ$119*AJ$120),AJ$119)</f>
        <v>#DIV/0!</v>
      </c>
      <c r="AI133" s="330"/>
      <c r="AJ133" s="331"/>
      <c r="AK133" s="291" t="e">
        <f t="shared" si="1"/>
        <v>#DIV/0!</v>
      </c>
      <c r="AL133" s="293"/>
      <c r="AN133" s="77"/>
    </row>
    <row r="134" spans="1:40" ht="36" customHeight="1" x14ac:dyDescent="0.25">
      <c r="A134" s="128">
        <v>9</v>
      </c>
      <c r="B134" s="303"/>
      <c r="C134" s="304"/>
      <c r="D134" s="304"/>
      <c r="E134" s="304"/>
      <c r="F134" s="305"/>
      <c r="G134" s="300"/>
      <c r="H134" s="301"/>
      <c r="I134" s="301"/>
      <c r="J134" s="301"/>
      <c r="K134" s="302"/>
      <c r="L134" s="306"/>
      <c r="M134" s="307"/>
      <c r="N134" s="307"/>
      <c r="O134" s="307"/>
      <c r="P134" s="294">
        <f>IF(OR(B134=Słowniki!A$46,B134=Słowniki!A$56,B134=Słowniki!A$58,B134=Słowniki!A$59),0.08,0.23)</f>
        <v>0.23</v>
      </c>
      <c r="Q134" s="295"/>
      <c r="R134" s="295"/>
      <c r="S134" s="295"/>
      <c r="T134" s="298">
        <v>1</v>
      </c>
      <c r="U134" s="298"/>
      <c r="V134" s="298"/>
      <c r="W134" s="298"/>
      <c r="X134" s="298"/>
      <c r="Y134" s="298"/>
      <c r="Z134" s="299"/>
      <c r="AA134" s="291">
        <f t="shared" si="0"/>
        <v>0</v>
      </c>
      <c r="AB134" s="292"/>
      <c r="AC134" s="292"/>
      <c r="AD134" s="292"/>
      <c r="AE134" s="292"/>
      <c r="AF134" s="292"/>
      <c r="AG134" s="293"/>
      <c r="AH134" s="329" t="e">
        <f>IF(OR(B134=Słowniki!A$57,B134=Słowniki!A$58),(AJ$119*AJ$120),AJ$119)</f>
        <v>#DIV/0!</v>
      </c>
      <c r="AI134" s="330"/>
      <c r="AJ134" s="331"/>
      <c r="AK134" s="291" t="e">
        <f t="shared" si="1"/>
        <v>#DIV/0!</v>
      </c>
      <c r="AL134" s="293"/>
      <c r="AN134" s="77"/>
    </row>
    <row r="135" spans="1:40" ht="36" customHeight="1" x14ac:dyDescent="0.25">
      <c r="A135" s="128">
        <v>10</v>
      </c>
      <c r="B135" s="303"/>
      <c r="C135" s="304"/>
      <c r="D135" s="304"/>
      <c r="E135" s="304"/>
      <c r="F135" s="305"/>
      <c r="G135" s="300"/>
      <c r="H135" s="301"/>
      <c r="I135" s="301"/>
      <c r="J135" s="301"/>
      <c r="K135" s="302"/>
      <c r="L135" s="306"/>
      <c r="M135" s="307"/>
      <c r="N135" s="307"/>
      <c r="O135" s="307"/>
      <c r="P135" s="294">
        <f>IF(OR(B135=Słowniki!A$46,B135=Słowniki!A$56,B135=Słowniki!A$58,B135=Słowniki!A$59),0.08,0.23)</f>
        <v>0.23</v>
      </c>
      <c r="Q135" s="295"/>
      <c r="R135" s="295"/>
      <c r="S135" s="295"/>
      <c r="T135" s="298">
        <v>1</v>
      </c>
      <c r="U135" s="298"/>
      <c r="V135" s="298"/>
      <c r="W135" s="298"/>
      <c r="X135" s="298"/>
      <c r="Y135" s="298"/>
      <c r="Z135" s="299"/>
      <c r="AA135" s="291">
        <f>L135+ROUND(L135*P135*T135,2)</f>
        <v>0</v>
      </c>
      <c r="AB135" s="292"/>
      <c r="AC135" s="292"/>
      <c r="AD135" s="292"/>
      <c r="AE135" s="292"/>
      <c r="AF135" s="292"/>
      <c r="AG135" s="293"/>
      <c r="AH135" s="329" t="e">
        <f>IF(OR(B135=Słowniki!A$57,B135=Słowniki!A$58),(AJ$119*AJ$120),AJ$119)</f>
        <v>#DIV/0!</v>
      </c>
      <c r="AI135" s="330"/>
      <c r="AJ135" s="331"/>
      <c r="AK135" s="291" t="e">
        <f t="shared" si="1"/>
        <v>#DIV/0!</v>
      </c>
      <c r="AL135" s="293"/>
      <c r="AN135" s="77"/>
    </row>
    <row r="136" spans="1:40" ht="36" customHeight="1" x14ac:dyDescent="0.25">
      <c r="A136" s="128">
        <v>11</v>
      </c>
      <c r="B136" s="303"/>
      <c r="C136" s="304"/>
      <c r="D136" s="304"/>
      <c r="E136" s="304"/>
      <c r="F136" s="305"/>
      <c r="G136" s="300"/>
      <c r="H136" s="301"/>
      <c r="I136" s="301"/>
      <c r="J136" s="301"/>
      <c r="K136" s="302"/>
      <c r="L136" s="306"/>
      <c r="M136" s="307"/>
      <c r="N136" s="307"/>
      <c r="O136" s="307"/>
      <c r="P136" s="294">
        <f>IF(OR(B136=Słowniki!A$46,B136=Słowniki!A$56,B136=Słowniki!A$58,B136=Słowniki!A$59),0.08,0.23)</f>
        <v>0.23</v>
      </c>
      <c r="Q136" s="295"/>
      <c r="R136" s="295"/>
      <c r="S136" s="295"/>
      <c r="T136" s="298">
        <v>1</v>
      </c>
      <c r="U136" s="298"/>
      <c r="V136" s="298"/>
      <c r="W136" s="298"/>
      <c r="X136" s="298"/>
      <c r="Y136" s="298"/>
      <c r="Z136" s="299"/>
      <c r="AA136" s="291">
        <f t="shared" si="0"/>
        <v>0</v>
      </c>
      <c r="AB136" s="292"/>
      <c r="AC136" s="292"/>
      <c r="AD136" s="292"/>
      <c r="AE136" s="292"/>
      <c r="AF136" s="292"/>
      <c r="AG136" s="293"/>
      <c r="AH136" s="329" t="e">
        <f>IF(OR(B136=Słowniki!A$57,B136=Słowniki!A$58),(AJ$119*AJ$120),AJ$119)</f>
        <v>#DIV/0!</v>
      </c>
      <c r="AI136" s="330"/>
      <c r="AJ136" s="331"/>
      <c r="AK136" s="291" t="e">
        <f t="shared" si="1"/>
        <v>#DIV/0!</v>
      </c>
      <c r="AL136" s="293"/>
      <c r="AN136" s="77"/>
    </row>
    <row r="137" spans="1:40" ht="36" customHeight="1" x14ac:dyDescent="0.25">
      <c r="A137" s="128">
        <v>12</v>
      </c>
      <c r="B137" s="303"/>
      <c r="C137" s="304"/>
      <c r="D137" s="304"/>
      <c r="E137" s="304"/>
      <c r="F137" s="305"/>
      <c r="G137" s="300"/>
      <c r="H137" s="301"/>
      <c r="I137" s="301"/>
      <c r="J137" s="301"/>
      <c r="K137" s="302"/>
      <c r="L137" s="306"/>
      <c r="M137" s="307"/>
      <c r="N137" s="307"/>
      <c r="O137" s="307"/>
      <c r="P137" s="294">
        <f>IF(OR(B137=Słowniki!A$46,B137=Słowniki!A$56,B137=Słowniki!A$58,B137=Słowniki!A$59),0.08,0.23)</f>
        <v>0.23</v>
      </c>
      <c r="Q137" s="295"/>
      <c r="R137" s="295"/>
      <c r="S137" s="295"/>
      <c r="T137" s="298">
        <v>1</v>
      </c>
      <c r="U137" s="298"/>
      <c r="V137" s="298"/>
      <c r="W137" s="298"/>
      <c r="X137" s="298"/>
      <c r="Y137" s="298"/>
      <c r="Z137" s="299"/>
      <c r="AA137" s="291">
        <f t="shared" si="0"/>
        <v>0</v>
      </c>
      <c r="AB137" s="292"/>
      <c r="AC137" s="292"/>
      <c r="AD137" s="292"/>
      <c r="AE137" s="292"/>
      <c r="AF137" s="292"/>
      <c r="AG137" s="293"/>
      <c r="AH137" s="329" t="e">
        <f>IF(OR(B137=Słowniki!A$57,B137=Słowniki!A$58),(AJ$119*AJ$120),AJ$119)</f>
        <v>#DIV/0!</v>
      </c>
      <c r="AI137" s="330"/>
      <c r="AJ137" s="331"/>
      <c r="AK137" s="291" t="e">
        <f t="shared" si="1"/>
        <v>#DIV/0!</v>
      </c>
      <c r="AL137" s="293"/>
      <c r="AN137" s="77"/>
    </row>
    <row r="138" spans="1:40" ht="36" customHeight="1" x14ac:dyDescent="0.25">
      <c r="A138" s="128">
        <v>13</v>
      </c>
      <c r="B138" s="303"/>
      <c r="C138" s="304"/>
      <c r="D138" s="304"/>
      <c r="E138" s="304"/>
      <c r="F138" s="305"/>
      <c r="G138" s="300"/>
      <c r="H138" s="301"/>
      <c r="I138" s="301"/>
      <c r="J138" s="301"/>
      <c r="K138" s="302"/>
      <c r="L138" s="306"/>
      <c r="M138" s="307"/>
      <c r="N138" s="307"/>
      <c r="O138" s="307"/>
      <c r="P138" s="294">
        <f>IF(OR(B138=Słowniki!A$46,B138=Słowniki!A$56,B138=Słowniki!A$58,B138=Słowniki!A$59),0.08,0.23)</f>
        <v>0.23</v>
      </c>
      <c r="Q138" s="295"/>
      <c r="R138" s="295"/>
      <c r="S138" s="295"/>
      <c r="T138" s="298">
        <v>1</v>
      </c>
      <c r="U138" s="298"/>
      <c r="V138" s="298"/>
      <c r="W138" s="298"/>
      <c r="X138" s="298"/>
      <c r="Y138" s="298"/>
      <c r="Z138" s="299"/>
      <c r="AA138" s="291">
        <f t="shared" si="0"/>
        <v>0</v>
      </c>
      <c r="AB138" s="292"/>
      <c r="AC138" s="292"/>
      <c r="AD138" s="292"/>
      <c r="AE138" s="292"/>
      <c r="AF138" s="292"/>
      <c r="AG138" s="293"/>
      <c r="AH138" s="329" t="e">
        <f>IF(OR(B138=Słowniki!A$57,B138=Słowniki!A$58),(AJ$119*AJ$120),AJ$119)</f>
        <v>#DIV/0!</v>
      </c>
      <c r="AI138" s="330"/>
      <c r="AJ138" s="331"/>
      <c r="AK138" s="291" t="e">
        <f t="shared" si="1"/>
        <v>#DIV/0!</v>
      </c>
      <c r="AL138" s="293"/>
      <c r="AN138" s="77"/>
    </row>
    <row r="139" spans="1:40" ht="36" customHeight="1" x14ac:dyDescent="0.25">
      <c r="A139" s="128">
        <v>14</v>
      </c>
      <c r="B139" s="303"/>
      <c r="C139" s="304"/>
      <c r="D139" s="304"/>
      <c r="E139" s="304"/>
      <c r="F139" s="305"/>
      <c r="G139" s="300"/>
      <c r="H139" s="301"/>
      <c r="I139" s="301"/>
      <c r="J139" s="301"/>
      <c r="K139" s="302"/>
      <c r="L139" s="306"/>
      <c r="M139" s="307"/>
      <c r="N139" s="307"/>
      <c r="O139" s="307"/>
      <c r="P139" s="294">
        <f>IF(OR(B139=Słowniki!A$46,B139=Słowniki!A$56,B139=Słowniki!A$58,B139=Słowniki!A$59),0.08,0.23)</f>
        <v>0.23</v>
      </c>
      <c r="Q139" s="295"/>
      <c r="R139" s="295"/>
      <c r="S139" s="295"/>
      <c r="T139" s="298">
        <v>1</v>
      </c>
      <c r="U139" s="298"/>
      <c r="V139" s="298"/>
      <c r="W139" s="298"/>
      <c r="X139" s="298"/>
      <c r="Y139" s="298"/>
      <c r="Z139" s="299"/>
      <c r="AA139" s="291">
        <f t="shared" si="0"/>
        <v>0</v>
      </c>
      <c r="AB139" s="292"/>
      <c r="AC139" s="292"/>
      <c r="AD139" s="292"/>
      <c r="AE139" s="292"/>
      <c r="AF139" s="292"/>
      <c r="AG139" s="293"/>
      <c r="AH139" s="329" t="e">
        <f>IF(OR(B139=Słowniki!A$57,B139=Słowniki!A$58),(AJ$119*AJ$120),AJ$119)</f>
        <v>#DIV/0!</v>
      </c>
      <c r="AI139" s="330"/>
      <c r="AJ139" s="331"/>
      <c r="AK139" s="291" t="e">
        <f t="shared" si="1"/>
        <v>#DIV/0!</v>
      </c>
      <c r="AL139" s="293"/>
      <c r="AN139" s="77"/>
    </row>
    <row r="140" spans="1:40" ht="36" customHeight="1" x14ac:dyDescent="0.25">
      <c r="A140" s="128">
        <v>15</v>
      </c>
      <c r="B140" s="303"/>
      <c r="C140" s="304"/>
      <c r="D140" s="304"/>
      <c r="E140" s="304"/>
      <c r="F140" s="305"/>
      <c r="G140" s="300"/>
      <c r="H140" s="301"/>
      <c r="I140" s="301"/>
      <c r="J140" s="301"/>
      <c r="K140" s="302"/>
      <c r="L140" s="306"/>
      <c r="M140" s="307"/>
      <c r="N140" s="307"/>
      <c r="O140" s="307"/>
      <c r="P140" s="294">
        <f>IF(OR(B140=Słowniki!A$46,B140=Słowniki!A$56,B140=Słowniki!A$58,B140=Słowniki!A$59),0.08,0.23)</f>
        <v>0.23</v>
      </c>
      <c r="Q140" s="295"/>
      <c r="R140" s="295"/>
      <c r="S140" s="295"/>
      <c r="T140" s="298">
        <v>1</v>
      </c>
      <c r="U140" s="298"/>
      <c r="V140" s="298"/>
      <c r="W140" s="298"/>
      <c r="X140" s="298"/>
      <c r="Y140" s="298"/>
      <c r="Z140" s="299"/>
      <c r="AA140" s="291">
        <f t="shared" si="0"/>
        <v>0</v>
      </c>
      <c r="AB140" s="292"/>
      <c r="AC140" s="292"/>
      <c r="AD140" s="292"/>
      <c r="AE140" s="292"/>
      <c r="AF140" s="292"/>
      <c r="AG140" s="293"/>
      <c r="AH140" s="329" t="e">
        <f>IF(OR(B140=Słowniki!A$57,B140=Słowniki!A$58),(AJ$119*AJ$120),AJ$119)</f>
        <v>#DIV/0!</v>
      </c>
      <c r="AI140" s="330"/>
      <c r="AJ140" s="331"/>
      <c r="AK140" s="291" t="e">
        <f t="shared" si="1"/>
        <v>#DIV/0!</v>
      </c>
      <c r="AL140" s="293"/>
      <c r="AN140" s="77"/>
    </row>
    <row r="141" spans="1:40" ht="36" customHeight="1" x14ac:dyDescent="0.25">
      <c r="A141" s="128">
        <v>16</v>
      </c>
      <c r="B141" s="303"/>
      <c r="C141" s="304"/>
      <c r="D141" s="304"/>
      <c r="E141" s="304"/>
      <c r="F141" s="305"/>
      <c r="G141" s="300"/>
      <c r="H141" s="301"/>
      <c r="I141" s="301"/>
      <c r="J141" s="301"/>
      <c r="K141" s="302"/>
      <c r="L141" s="306"/>
      <c r="M141" s="307"/>
      <c r="N141" s="307"/>
      <c r="O141" s="307"/>
      <c r="P141" s="294">
        <f>IF(OR(B141=Słowniki!A$46,B141=Słowniki!A$56,B141=Słowniki!A$58,B141=Słowniki!A$59),0.08,0.23)</f>
        <v>0.23</v>
      </c>
      <c r="Q141" s="295"/>
      <c r="R141" s="295"/>
      <c r="S141" s="295"/>
      <c r="T141" s="298">
        <v>1</v>
      </c>
      <c r="U141" s="298"/>
      <c r="V141" s="298"/>
      <c r="W141" s="298"/>
      <c r="X141" s="298"/>
      <c r="Y141" s="298"/>
      <c r="Z141" s="299"/>
      <c r="AA141" s="291">
        <f t="shared" si="0"/>
        <v>0</v>
      </c>
      <c r="AB141" s="292"/>
      <c r="AC141" s="292"/>
      <c r="AD141" s="292"/>
      <c r="AE141" s="292"/>
      <c r="AF141" s="292"/>
      <c r="AG141" s="293"/>
      <c r="AH141" s="329" t="e">
        <f>IF(OR(B141=Słowniki!A$57,B141=Słowniki!A$58),(AJ$119*AJ$120),AJ$119)</f>
        <v>#DIV/0!</v>
      </c>
      <c r="AI141" s="330"/>
      <c r="AJ141" s="331"/>
      <c r="AK141" s="291" t="e">
        <f t="shared" si="1"/>
        <v>#DIV/0!</v>
      </c>
      <c r="AL141" s="293"/>
      <c r="AN141" s="77"/>
    </row>
    <row r="142" spans="1:40" ht="36" customHeight="1" x14ac:dyDescent="0.25">
      <c r="A142" s="128">
        <v>17</v>
      </c>
      <c r="B142" s="303"/>
      <c r="C142" s="304"/>
      <c r="D142" s="304"/>
      <c r="E142" s="304"/>
      <c r="F142" s="305"/>
      <c r="G142" s="300"/>
      <c r="H142" s="301"/>
      <c r="I142" s="301"/>
      <c r="J142" s="301"/>
      <c r="K142" s="302"/>
      <c r="L142" s="306"/>
      <c r="M142" s="307"/>
      <c r="N142" s="307"/>
      <c r="O142" s="307"/>
      <c r="P142" s="294">
        <f>IF(OR(B142=Słowniki!A$46,B142=Słowniki!A$56,B142=Słowniki!A$58,B142=Słowniki!A$59),0.08,0.23)</f>
        <v>0.23</v>
      </c>
      <c r="Q142" s="295"/>
      <c r="R142" s="295"/>
      <c r="S142" s="295"/>
      <c r="T142" s="298">
        <v>1</v>
      </c>
      <c r="U142" s="298"/>
      <c r="V142" s="298"/>
      <c r="W142" s="298"/>
      <c r="X142" s="298"/>
      <c r="Y142" s="298"/>
      <c r="Z142" s="299"/>
      <c r="AA142" s="291">
        <f t="shared" si="0"/>
        <v>0</v>
      </c>
      <c r="AB142" s="292"/>
      <c r="AC142" s="292"/>
      <c r="AD142" s="292"/>
      <c r="AE142" s="292"/>
      <c r="AF142" s="292"/>
      <c r="AG142" s="293"/>
      <c r="AH142" s="329" t="e">
        <f>IF(OR(B142=Słowniki!A$57,B142=Słowniki!A$58),(AJ$119*AJ$120),AJ$119)</f>
        <v>#DIV/0!</v>
      </c>
      <c r="AI142" s="330"/>
      <c r="AJ142" s="331"/>
      <c r="AK142" s="291" t="e">
        <f t="shared" si="1"/>
        <v>#DIV/0!</v>
      </c>
      <c r="AL142" s="293"/>
      <c r="AN142" s="77"/>
    </row>
    <row r="143" spans="1:40" ht="36" customHeight="1" x14ac:dyDescent="0.25">
      <c r="A143" s="128">
        <v>18</v>
      </c>
      <c r="B143" s="303"/>
      <c r="C143" s="304"/>
      <c r="D143" s="304"/>
      <c r="E143" s="304"/>
      <c r="F143" s="305"/>
      <c r="G143" s="300"/>
      <c r="H143" s="301"/>
      <c r="I143" s="301"/>
      <c r="J143" s="301"/>
      <c r="K143" s="302"/>
      <c r="L143" s="306"/>
      <c r="M143" s="307"/>
      <c r="N143" s="307"/>
      <c r="O143" s="307"/>
      <c r="P143" s="294">
        <f>IF(OR(B143=Słowniki!A$46,B143=Słowniki!A$56,B143=Słowniki!A$58,B143=Słowniki!A$59),0.08,0.23)</f>
        <v>0.23</v>
      </c>
      <c r="Q143" s="295"/>
      <c r="R143" s="295"/>
      <c r="S143" s="295"/>
      <c r="T143" s="298">
        <v>1</v>
      </c>
      <c r="U143" s="298"/>
      <c r="V143" s="298"/>
      <c r="W143" s="298"/>
      <c r="X143" s="298"/>
      <c r="Y143" s="298"/>
      <c r="Z143" s="299"/>
      <c r="AA143" s="291">
        <f t="shared" si="0"/>
        <v>0</v>
      </c>
      <c r="AB143" s="292"/>
      <c r="AC143" s="292"/>
      <c r="AD143" s="292"/>
      <c r="AE143" s="292"/>
      <c r="AF143" s="292"/>
      <c r="AG143" s="293"/>
      <c r="AH143" s="329" t="e">
        <f>IF(OR(B143=Słowniki!A$57,B143=Słowniki!A$58),(AJ$119*AJ$120),AJ$119)</f>
        <v>#DIV/0!</v>
      </c>
      <c r="AI143" s="330"/>
      <c r="AJ143" s="331"/>
      <c r="AK143" s="291" t="e">
        <f t="shared" si="1"/>
        <v>#DIV/0!</v>
      </c>
      <c r="AL143" s="293"/>
      <c r="AN143" s="77"/>
    </row>
    <row r="144" spans="1:40" ht="36" customHeight="1" x14ac:dyDescent="0.25">
      <c r="A144" s="128">
        <v>19</v>
      </c>
      <c r="B144" s="303"/>
      <c r="C144" s="304"/>
      <c r="D144" s="304"/>
      <c r="E144" s="304"/>
      <c r="F144" s="305"/>
      <c r="G144" s="300"/>
      <c r="H144" s="301"/>
      <c r="I144" s="301"/>
      <c r="J144" s="301"/>
      <c r="K144" s="302"/>
      <c r="L144" s="306"/>
      <c r="M144" s="307"/>
      <c r="N144" s="307"/>
      <c r="O144" s="307"/>
      <c r="P144" s="294">
        <f>IF(OR(B144=Słowniki!A$46,B144=Słowniki!A$56,B144=Słowniki!A$58,B144=Słowniki!A$59),0.08,0.23)</f>
        <v>0.23</v>
      </c>
      <c r="Q144" s="295"/>
      <c r="R144" s="295"/>
      <c r="S144" s="295"/>
      <c r="T144" s="298">
        <v>1</v>
      </c>
      <c r="U144" s="298"/>
      <c r="V144" s="298"/>
      <c r="W144" s="298"/>
      <c r="X144" s="298"/>
      <c r="Y144" s="298"/>
      <c r="Z144" s="299"/>
      <c r="AA144" s="291">
        <f t="shared" si="0"/>
        <v>0</v>
      </c>
      <c r="AB144" s="292"/>
      <c r="AC144" s="292"/>
      <c r="AD144" s="292"/>
      <c r="AE144" s="292"/>
      <c r="AF144" s="292"/>
      <c r="AG144" s="293"/>
      <c r="AH144" s="329" t="e">
        <f>IF(OR(B144=Słowniki!A$57,B144=Słowniki!A$58),(AJ$119*AJ$120),AJ$119)</f>
        <v>#DIV/0!</v>
      </c>
      <c r="AI144" s="330"/>
      <c r="AJ144" s="331"/>
      <c r="AK144" s="291" t="e">
        <f t="shared" si="1"/>
        <v>#DIV/0!</v>
      </c>
      <c r="AL144" s="293"/>
      <c r="AN144" s="77"/>
    </row>
    <row r="145" spans="1:40" ht="36" customHeight="1" x14ac:dyDescent="0.25">
      <c r="A145" s="128">
        <v>20</v>
      </c>
      <c r="B145" s="303"/>
      <c r="C145" s="304"/>
      <c r="D145" s="304"/>
      <c r="E145" s="304"/>
      <c r="F145" s="305"/>
      <c r="G145" s="300"/>
      <c r="H145" s="301"/>
      <c r="I145" s="301"/>
      <c r="J145" s="301"/>
      <c r="K145" s="302"/>
      <c r="L145" s="306"/>
      <c r="M145" s="307"/>
      <c r="N145" s="307"/>
      <c r="O145" s="307"/>
      <c r="P145" s="294">
        <f>IF(OR(B145=Słowniki!A$46,B145=Słowniki!A$56,B145=Słowniki!A$58,B145=Słowniki!A$59),0.08,0.23)</f>
        <v>0.23</v>
      </c>
      <c r="Q145" s="295"/>
      <c r="R145" s="295"/>
      <c r="S145" s="295"/>
      <c r="T145" s="298">
        <v>1</v>
      </c>
      <c r="U145" s="298"/>
      <c r="V145" s="298"/>
      <c r="W145" s="298"/>
      <c r="X145" s="298"/>
      <c r="Y145" s="298"/>
      <c r="Z145" s="299"/>
      <c r="AA145" s="291">
        <f t="shared" si="0"/>
        <v>0</v>
      </c>
      <c r="AB145" s="292"/>
      <c r="AC145" s="292"/>
      <c r="AD145" s="292"/>
      <c r="AE145" s="292"/>
      <c r="AF145" s="292"/>
      <c r="AG145" s="293"/>
      <c r="AH145" s="329" t="e">
        <f>IF(OR(B145=Słowniki!A$57,B145=Słowniki!A$58),(AJ$119*AJ$120),AJ$119)</f>
        <v>#DIV/0!</v>
      </c>
      <c r="AI145" s="330"/>
      <c r="AJ145" s="331"/>
      <c r="AK145" s="291" t="e">
        <f t="shared" ref="AK145:AK147" si="2">ROUND(AA145*AH145,2)</f>
        <v>#DIV/0!</v>
      </c>
      <c r="AL145" s="293"/>
      <c r="AN145" s="77"/>
    </row>
    <row r="146" spans="1:40" ht="36" customHeight="1" x14ac:dyDescent="0.25">
      <c r="A146" s="128">
        <v>21</v>
      </c>
      <c r="B146" s="303"/>
      <c r="C146" s="304"/>
      <c r="D146" s="304"/>
      <c r="E146" s="304"/>
      <c r="F146" s="305"/>
      <c r="G146" s="300"/>
      <c r="H146" s="301"/>
      <c r="I146" s="301"/>
      <c r="J146" s="301"/>
      <c r="K146" s="302"/>
      <c r="L146" s="306"/>
      <c r="M146" s="307"/>
      <c r="N146" s="307"/>
      <c r="O146" s="307"/>
      <c r="P146" s="294">
        <f>IF(OR(B146=Słowniki!A$46,B146=Słowniki!A$56,B146=Słowniki!A$58,B146=Słowniki!A$59),0.08,0.23)</f>
        <v>0.23</v>
      </c>
      <c r="Q146" s="295"/>
      <c r="R146" s="295"/>
      <c r="S146" s="295"/>
      <c r="T146" s="298">
        <v>1</v>
      </c>
      <c r="U146" s="298"/>
      <c r="V146" s="298"/>
      <c r="W146" s="298"/>
      <c r="X146" s="298"/>
      <c r="Y146" s="298"/>
      <c r="Z146" s="299"/>
      <c r="AA146" s="291">
        <f t="shared" si="0"/>
        <v>0</v>
      </c>
      <c r="AB146" s="292"/>
      <c r="AC146" s="292"/>
      <c r="AD146" s="292"/>
      <c r="AE146" s="292"/>
      <c r="AF146" s="292"/>
      <c r="AG146" s="293"/>
      <c r="AH146" s="329" t="e">
        <f>IF(OR(B146=Słowniki!A$57,B146=Słowniki!A$58),(AJ$119*AJ$120),AJ$119)</f>
        <v>#DIV/0!</v>
      </c>
      <c r="AI146" s="330"/>
      <c r="AJ146" s="331"/>
      <c r="AK146" s="291" t="e">
        <f t="shared" si="2"/>
        <v>#DIV/0!</v>
      </c>
      <c r="AL146" s="293"/>
      <c r="AN146" s="77"/>
    </row>
    <row r="147" spans="1:40" ht="36" customHeight="1" x14ac:dyDescent="0.25">
      <c r="A147" s="128">
        <v>22</v>
      </c>
      <c r="B147" s="303"/>
      <c r="C147" s="304"/>
      <c r="D147" s="304"/>
      <c r="E147" s="304"/>
      <c r="F147" s="305"/>
      <c r="G147" s="300"/>
      <c r="H147" s="301"/>
      <c r="I147" s="301"/>
      <c r="J147" s="301"/>
      <c r="K147" s="302"/>
      <c r="L147" s="306"/>
      <c r="M147" s="307"/>
      <c r="N147" s="307"/>
      <c r="O147" s="307"/>
      <c r="P147" s="294">
        <f>IF(OR(B147=Słowniki!A$46,B147=Słowniki!A$56,B147=Słowniki!A$58,B147=Słowniki!A$59),0.08,0.23)</f>
        <v>0.23</v>
      </c>
      <c r="Q147" s="295"/>
      <c r="R147" s="295"/>
      <c r="S147" s="295"/>
      <c r="T147" s="298">
        <v>1</v>
      </c>
      <c r="U147" s="298"/>
      <c r="V147" s="298"/>
      <c r="W147" s="298"/>
      <c r="X147" s="298"/>
      <c r="Y147" s="298"/>
      <c r="Z147" s="299"/>
      <c r="AA147" s="291">
        <f t="shared" si="0"/>
        <v>0</v>
      </c>
      <c r="AB147" s="292"/>
      <c r="AC147" s="292"/>
      <c r="AD147" s="292"/>
      <c r="AE147" s="292"/>
      <c r="AF147" s="292"/>
      <c r="AG147" s="293"/>
      <c r="AH147" s="329" t="e">
        <f>IF(OR(B147=Słowniki!A$57,B147=Słowniki!A$58),(AJ$119*AJ$120),AJ$119)</f>
        <v>#DIV/0!</v>
      </c>
      <c r="AI147" s="330"/>
      <c r="AJ147" s="331"/>
      <c r="AK147" s="291" t="e">
        <f t="shared" si="2"/>
        <v>#DIV/0!</v>
      </c>
      <c r="AL147" s="293"/>
      <c r="AN147" s="77"/>
    </row>
    <row r="148" spans="1:40" ht="14.1" customHeight="1" x14ac:dyDescent="0.25">
      <c r="A148" s="128">
        <v>23</v>
      </c>
      <c r="B148" s="451" t="s">
        <v>128</v>
      </c>
      <c r="C148" s="452"/>
      <c r="D148" s="452"/>
      <c r="E148" s="452"/>
      <c r="F148" s="452"/>
      <c r="G148" s="452"/>
      <c r="H148" s="452"/>
      <c r="I148" s="452"/>
      <c r="J148" s="452"/>
      <c r="K148" s="452"/>
      <c r="L148" s="296">
        <f>SUM(L126:O147)</f>
        <v>0</v>
      </c>
      <c r="M148" s="296"/>
      <c r="N148" s="296"/>
      <c r="O148" s="297"/>
      <c r="P148" s="463" t="s">
        <v>129</v>
      </c>
      <c r="Q148" s="463"/>
      <c r="R148" s="463"/>
      <c r="S148" s="463"/>
      <c r="T148" s="462" t="s">
        <v>129</v>
      </c>
      <c r="U148" s="462"/>
      <c r="V148" s="462"/>
      <c r="W148" s="462"/>
      <c r="X148" s="462"/>
      <c r="Y148" s="462"/>
      <c r="Z148" s="462"/>
      <c r="AA148" s="457">
        <f>SUM(AA126:AG147)</f>
        <v>0</v>
      </c>
      <c r="AB148" s="457"/>
      <c r="AC148" s="457"/>
      <c r="AD148" s="457"/>
      <c r="AE148" s="457"/>
      <c r="AF148" s="457"/>
      <c r="AG148" s="457"/>
      <c r="AH148" s="461" t="s">
        <v>129</v>
      </c>
      <c r="AI148" s="461"/>
      <c r="AJ148" s="461"/>
      <c r="AK148" s="457" t="e">
        <f>ROUND(SUM(AK126:AL147),2)</f>
        <v>#DIV/0!</v>
      </c>
      <c r="AL148" s="457"/>
    </row>
    <row r="149" spans="1:40" ht="119.7" customHeight="1" x14ac:dyDescent="0.25">
      <c r="A149" s="334" t="s">
        <v>1111</v>
      </c>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row>
    <row r="150" spans="1:40" x14ac:dyDescent="0.25">
      <c r="A150" s="129"/>
      <c r="B150" s="453" t="s">
        <v>181</v>
      </c>
      <c r="C150" s="453"/>
      <c r="D150" s="453"/>
      <c r="E150" s="453"/>
      <c r="F150" s="453"/>
      <c r="G150" s="453"/>
      <c r="H150" s="453"/>
      <c r="I150" s="453"/>
      <c r="J150" s="453"/>
      <c r="K150" s="453"/>
      <c r="L150" s="453"/>
      <c r="M150" s="453"/>
      <c r="N150" s="453"/>
      <c r="O150" s="453"/>
      <c r="P150" s="453"/>
      <c r="Q150" s="453"/>
      <c r="R150" s="453"/>
      <c r="S150" s="453"/>
      <c r="T150" s="458">
        <v>0.8</v>
      </c>
      <c r="U150" s="458"/>
      <c r="V150" s="458"/>
      <c r="W150" s="458"/>
      <c r="X150" s="458"/>
      <c r="Y150" s="458"/>
      <c r="Z150" s="458"/>
      <c r="AA150" s="458"/>
      <c r="AB150" s="458"/>
      <c r="AC150" s="458"/>
      <c r="AD150" s="458"/>
      <c r="AE150" s="458"/>
      <c r="AF150" s="458"/>
      <c r="AG150" s="458"/>
      <c r="AH150" s="458"/>
      <c r="AI150" s="458"/>
      <c r="AJ150" s="458"/>
      <c r="AK150" s="130"/>
      <c r="AL150" s="131"/>
    </row>
    <row r="151" spans="1:40" x14ac:dyDescent="0.25">
      <c r="A151" s="129"/>
      <c r="B151" s="453" t="s">
        <v>183</v>
      </c>
      <c r="C151" s="453"/>
      <c r="D151" s="453"/>
      <c r="E151" s="453"/>
      <c r="F151" s="453"/>
      <c r="G151" s="453"/>
      <c r="H151" s="453"/>
      <c r="I151" s="453"/>
      <c r="J151" s="453"/>
      <c r="K151" s="453"/>
      <c r="L151" s="453"/>
      <c r="M151" s="453"/>
      <c r="N151" s="453"/>
      <c r="O151" s="453"/>
      <c r="P151" s="453"/>
      <c r="Q151" s="453"/>
      <c r="R151" s="453"/>
      <c r="S151" s="453"/>
      <c r="T151" s="459"/>
      <c r="U151" s="459"/>
      <c r="V151" s="459"/>
      <c r="W151" s="459"/>
      <c r="X151" s="459"/>
      <c r="Y151" s="459"/>
      <c r="Z151" s="459"/>
      <c r="AA151" s="459"/>
      <c r="AB151" s="459"/>
      <c r="AC151" s="459"/>
      <c r="AD151" s="459"/>
      <c r="AE151" s="459"/>
      <c r="AF151" s="459"/>
      <c r="AG151" s="459"/>
      <c r="AH151" s="459"/>
      <c r="AI151" s="459"/>
      <c r="AJ151" s="459"/>
      <c r="AK151" s="130"/>
      <c r="AL151" s="131"/>
    </row>
    <row r="152" spans="1:40" ht="14.4" x14ac:dyDescent="0.3">
      <c r="A152" s="129"/>
      <c r="B152" s="453" t="s">
        <v>182</v>
      </c>
      <c r="C152" s="453"/>
      <c r="D152" s="453"/>
      <c r="E152" s="453"/>
      <c r="F152" s="453"/>
      <c r="G152" s="453"/>
      <c r="H152" s="453"/>
      <c r="I152" s="453"/>
      <c r="J152" s="453"/>
      <c r="K152" s="453"/>
      <c r="L152" s="453"/>
      <c r="M152" s="453"/>
      <c r="N152" s="453"/>
      <c r="O152" s="453"/>
      <c r="P152" s="453"/>
      <c r="Q152" s="453"/>
      <c r="R152" s="453"/>
      <c r="S152" s="453"/>
      <c r="T152" s="466" t="e">
        <f>ROUNDDOWN(AK148*(T150+T151),2)</f>
        <v>#DIV/0!</v>
      </c>
      <c r="U152" s="466"/>
      <c r="V152" s="466"/>
      <c r="W152" s="466"/>
      <c r="X152" s="466"/>
      <c r="Y152" s="466"/>
      <c r="Z152" s="466"/>
      <c r="AA152" s="466"/>
      <c r="AB152" s="466"/>
      <c r="AC152" s="466"/>
      <c r="AD152" s="466"/>
      <c r="AE152" s="466"/>
      <c r="AF152" s="466"/>
      <c r="AG152" s="466"/>
      <c r="AH152" s="466"/>
      <c r="AI152" s="466"/>
      <c r="AJ152" s="466"/>
      <c r="AK152" s="130"/>
      <c r="AL152" s="131"/>
      <c r="AM152" s="100" t="s">
        <v>215</v>
      </c>
    </row>
    <row r="153" spans="1:40" ht="48" customHeight="1" x14ac:dyDescent="0.25">
      <c r="A153" s="332" t="s">
        <v>786</v>
      </c>
      <c r="B153" s="332"/>
      <c r="C153" s="332"/>
      <c r="D153" s="332"/>
      <c r="E153" s="332"/>
      <c r="F153" s="332"/>
      <c r="G153" s="332"/>
      <c r="H153" s="332"/>
      <c r="I153" s="332"/>
      <c r="J153" s="332"/>
      <c r="K153" s="332"/>
      <c r="L153" s="332"/>
      <c r="M153" s="332"/>
      <c r="N153" s="332"/>
      <c r="O153" s="332"/>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83"/>
    </row>
    <row r="154" spans="1:40" ht="45" customHeight="1" x14ac:dyDescent="0.25">
      <c r="A154" s="333" t="s">
        <v>827</v>
      </c>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83" t="s">
        <v>751</v>
      </c>
    </row>
    <row r="155" spans="1:40" ht="46.2" customHeight="1" x14ac:dyDescent="0.25">
      <c r="A155" s="332" t="s">
        <v>1115</v>
      </c>
      <c r="B155" s="332"/>
      <c r="C155" s="332"/>
      <c r="D155" s="332"/>
      <c r="E155" s="332"/>
      <c r="F155" s="332"/>
      <c r="G155" s="332"/>
      <c r="H155" s="332"/>
      <c r="I155" s="332"/>
      <c r="J155" s="332"/>
      <c r="K155" s="332"/>
      <c r="L155" s="332"/>
      <c r="M155" s="332"/>
      <c r="N155" s="332"/>
      <c r="O155" s="332"/>
      <c r="P155" s="332"/>
      <c r="Q155" s="332"/>
      <c r="R155" s="332"/>
      <c r="S155" s="332"/>
      <c r="T155" s="332"/>
      <c r="U155" s="332"/>
      <c r="V155" s="332"/>
      <c r="W155" s="332"/>
      <c r="X155" s="332"/>
      <c r="Y155" s="332"/>
      <c r="Z155" s="332"/>
      <c r="AA155" s="332"/>
      <c r="AB155" s="332"/>
      <c r="AC155" s="332"/>
      <c r="AD155" s="332"/>
      <c r="AE155" s="332"/>
      <c r="AF155" s="332"/>
      <c r="AG155" s="332"/>
      <c r="AH155" s="332"/>
      <c r="AI155" s="332"/>
      <c r="AJ155" s="332"/>
      <c r="AK155" s="332"/>
      <c r="AL155" s="332"/>
      <c r="AM155" s="83"/>
    </row>
    <row r="156" spans="1:40" ht="45" customHeight="1" x14ac:dyDescent="0.25">
      <c r="A156" s="333" t="s">
        <v>961</v>
      </c>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83" t="s">
        <v>751</v>
      </c>
    </row>
    <row r="157" spans="1:40" ht="51.75" customHeight="1" x14ac:dyDescent="0.25">
      <c r="A157" s="308" t="s">
        <v>1120</v>
      </c>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83"/>
    </row>
    <row r="158" spans="1:40" ht="45" customHeight="1" x14ac:dyDescent="0.25">
      <c r="A158" s="333" t="str">
        <f>IF(A87=Słowniki!AA3,Słowniki!W6,Słowniki!W5)</f>
        <v>Żaden lokal nie będzie przeznaczony dla rodzin z dziećmi posiadającymi zaświadczenie, o którym mowa w art. 4 ust. 3 ustawy z dnia 4 listopada 2016 r. o wsparciu kobiet w ciąży i rodzin „Za życiem” (Dz. U. z 2024 r. poz. 1829).</v>
      </c>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83" t="s">
        <v>751</v>
      </c>
    </row>
    <row r="159" spans="1:40" ht="127.2" customHeight="1" x14ac:dyDescent="0.25">
      <c r="A159" s="308" t="s">
        <v>1123</v>
      </c>
      <c r="B159" s="332"/>
      <c r="C159" s="332"/>
      <c r="D159" s="332"/>
      <c r="E159" s="332"/>
      <c r="F159" s="332"/>
      <c r="G159" s="332"/>
      <c r="H159" s="332"/>
      <c r="I159" s="332"/>
      <c r="J159" s="332"/>
      <c r="K159" s="332"/>
      <c r="L159" s="332"/>
      <c r="M159" s="332"/>
      <c r="N159" s="332"/>
      <c r="O159" s="332"/>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211" t="s">
        <v>746</v>
      </c>
    </row>
    <row r="160" spans="1:40" ht="76.95" customHeight="1" x14ac:dyDescent="0.25">
      <c r="A160" s="333" t="s">
        <v>784</v>
      </c>
      <c r="B160" s="333"/>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83" t="s">
        <v>751</v>
      </c>
    </row>
    <row r="161" spans="1:39" ht="52.5" customHeight="1" x14ac:dyDescent="0.25">
      <c r="A161" s="308" t="s">
        <v>1125</v>
      </c>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c r="AJ161" s="308"/>
      <c r="AK161" s="308"/>
      <c r="AL161" s="308"/>
      <c r="AM161" s="83"/>
    </row>
    <row r="162" spans="1:39" ht="57.45" customHeight="1" x14ac:dyDescent="0.25">
      <c r="A162" s="333" t="str">
        <f>IF(SUM(A83,T83)&gt;0,Słowniki!W$10,Słowniki!W$11)</f>
        <v>Nie dotyczy realizowanego przedsięwzięwzięcia</v>
      </c>
      <c r="B162" s="333"/>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83"/>
    </row>
    <row r="163" spans="1:39" ht="78.45" customHeight="1" x14ac:dyDescent="0.25">
      <c r="A163" s="308" t="s">
        <v>1126</v>
      </c>
      <c r="B163" s="332"/>
      <c r="C163" s="332"/>
      <c r="D163" s="332"/>
      <c r="E163" s="332"/>
      <c r="F163" s="332"/>
      <c r="G163" s="332"/>
      <c r="H163" s="332"/>
      <c r="I163" s="332"/>
      <c r="J163" s="332"/>
      <c r="K163" s="332"/>
      <c r="L163" s="332"/>
      <c r="M163" s="332"/>
      <c r="N163" s="332"/>
      <c r="O163" s="332"/>
      <c r="P163" s="332"/>
      <c r="Q163" s="332"/>
      <c r="R163" s="332"/>
      <c r="S163" s="332"/>
      <c r="T163" s="332"/>
      <c r="U163" s="332"/>
      <c r="V163" s="332"/>
      <c r="W163" s="332"/>
      <c r="X163" s="332"/>
      <c r="Y163" s="332"/>
      <c r="Z163" s="332"/>
      <c r="AA163" s="332"/>
      <c r="AB163" s="332"/>
      <c r="AC163" s="332"/>
      <c r="AD163" s="332"/>
      <c r="AE163" s="332"/>
      <c r="AF163" s="332"/>
      <c r="AG163" s="332"/>
      <c r="AH163" s="332"/>
      <c r="AI163" s="332"/>
      <c r="AJ163" s="332"/>
      <c r="AK163" s="332"/>
      <c r="AL163" s="332"/>
    </row>
    <row r="164" spans="1:39" ht="78" customHeight="1" x14ac:dyDescent="0.25">
      <c r="A164" s="333" t="str">
        <f>IF(AND(A89&gt;Słowniki!AA3,'Wniosek art 3 budowa'!A100:AL100&gt;Słowniki!AA3),Słowniki!Z$1,Słowniki!Z$2)</f>
        <v>NIE DOTYCZY</v>
      </c>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83" t="s">
        <v>751</v>
      </c>
    </row>
    <row r="165" spans="1:39" ht="57.6" customHeight="1" x14ac:dyDescent="0.25">
      <c r="A165" s="332" t="s">
        <v>1128</v>
      </c>
      <c r="B165" s="332"/>
      <c r="C165" s="332"/>
      <c r="D165" s="332"/>
      <c r="E165" s="332"/>
      <c r="F165" s="332"/>
      <c r="G165" s="332"/>
      <c r="H165" s="332"/>
      <c r="I165" s="332"/>
      <c r="J165" s="332"/>
      <c r="K165" s="332"/>
      <c r="L165" s="332"/>
      <c r="M165" s="332"/>
      <c r="N165" s="332"/>
      <c r="O165" s="332"/>
      <c r="P165" s="332"/>
      <c r="Q165" s="332"/>
      <c r="R165" s="332"/>
      <c r="S165" s="332"/>
      <c r="T165" s="332"/>
      <c r="U165" s="332"/>
      <c r="V165" s="332"/>
      <c r="W165" s="332"/>
      <c r="X165" s="332"/>
      <c r="Y165" s="332"/>
      <c r="Z165" s="332"/>
      <c r="AA165" s="332"/>
      <c r="AB165" s="332"/>
      <c r="AC165" s="332"/>
      <c r="AD165" s="332"/>
      <c r="AE165" s="332"/>
      <c r="AF165" s="332"/>
      <c r="AG165" s="332"/>
      <c r="AH165" s="332"/>
      <c r="AI165" s="332"/>
      <c r="AJ165" s="332"/>
      <c r="AK165" s="332"/>
      <c r="AL165" s="332"/>
    </row>
    <row r="166" spans="1:39" ht="66.45" customHeight="1" x14ac:dyDescent="0.25">
      <c r="A166" s="333" t="str">
        <f>IF(B17=Słowniki!A7,Słowniki!Z3,Słowniki!Z4)</f>
        <v>NIE DOTYCZY</v>
      </c>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83" t="s">
        <v>751</v>
      </c>
    </row>
    <row r="167" spans="1:39" ht="55.2" customHeight="1" x14ac:dyDescent="0.25">
      <c r="A167" s="332" t="s">
        <v>1129</v>
      </c>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83"/>
    </row>
    <row r="168" spans="1:39" ht="45" customHeight="1" x14ac:dyDescent="0.25">
      <c r="A168" s="332" t="s">
        <v>169</v>
      </c>
      <c r="B168" s="332"/>
      <c r="C168" s="332"/>
      <c r="D168" s="332"/>
      <c r="E168" s="332"/>
      <c r="F168" s="332"/>
      <c r="G168" s="332"/>
      <c r="H168" s="332"/>
      <c r="I168" s="332"/>
      <c r="J168" s="332"/>
      <c r="K168" s="332"/>
      <c r="L168" s="332"/>
      <c r="M168" s="332"/>
      <c r="N168" s="332"/>
      <c r="O168" s="332"/>
      <c r="P168" s="332"/>
      <c r="Q168" s="332"/>
      <c r="R168" s="332"/>
      <c r="S168" s="332"/>
      <c r="T168" s="332"/>
      <c r="U168" s="332"/>
      <c r="V168" s="332"/>
      <c r="W168" s="332"/>
      <c r="X168" s="332"/>
      <c r="Y168" s="332"/>
      <c r="Z168" s="332"/>
      <c r="AA168" s="332"/>
      <c r="AB168" s="332"/>
      <c r="AC168" s="332"/>
      <c r="AD168" s="332"/>
      <c r="AE168" s="332"/>
      <c r="AF168" s="332"/>
      <c r="AG168" s="332"/>
      <c r="AH168" s="332"/>
      <c r="AI168" s="332"/>
      <c r="AJ168" s="332"/>
      <c r="AK168" s="332"/>
      <c r="AL168" s="332"/>
    </row>
    <row r="169" spans="1:39" ht="45" customHeight="1" x14ac:dyDescent="0.25">
      <c r="A169" s="456"/>
      <c r="B169" s="456"/>
      <c r="C169" s="456"/>
      <c r="D169" s="456"/>
      <c r="E169" s="456"/>
      <c r="F169" s="456"/>
      <c r="G169" s="456"/>
      <c r="H169" s="456"/>
      <c r="I169" s="456"/>
      <c r="J169" s="456"/>
      <c r="K169" s="456"/>
      <c r="L169" s="456"/>
      <c r="M169" s="456"/>
      <c r="N169" s="456"/>
      <c r="O169" s="456"/>
      <c r="P169" s="456"/>
      <c r="Q169" s="456"/>
      <c r="R169" s="456"/>
      <c r="S169" s="456"/>
      <c r="T169" s="456"/>
      <c r="U169" s="456"/>
      <c r="V169" s="456"/>
      <c r="W169" s="456"/>
      <c r="X169" s="456"/>
      <c r="Y169" s="456"/>
      <c r="Z169" s="456"/>
      <c r="AA169" s="456"/>
      <c r="AB169" s="456"/>
      <c r="AC169" s="456"/>
      <c r="AD169" s="456"/>
      <c r="AE169" s="456"/>
      <c r="AF169" s="456"/>
      <c r="AG169" s="456"/>
      <c r="AH169" s="456"/>
      <c r="AI169" s="456"/>
      <c r="AJ169" s="456"/>
      <c r="AK169" s="456"/>
      <c r="AL169" s="456"/>
      <c r="AM169" s="83"/>
    </row>
    <row r="170" spans="1:39" ht="95.7" customHeight="1" x14ac:dyDescent="0.25">
      <c r="A170" s="332" t="s">
        <v>1130</v>
      </c>
      <c r="B170" s="332"/>
      <c r="C170" s="332"/>
      <c r="D170" s="332"/>
      <c r="E170" s="332"/>
      <c r="F170" s="332"/>
      <c r="G170" s="332"/>
      <c r="H170" s="332"/>
      <c r="I170" s="332"/>
      <c r="J170" s="332"/>
      <c r="K170" s="332"/>
      <c r="L170" s="332"/>
      <c r="M170" s="332"/>
      <c r="N170" s="332"/>
      <c r="O170" s="332"/>
      <c r="P170" s="332"/>
      <c r="Q170" s="332"/>
      <c r="R170" s="332"/>
      <c r="S170" s="332"/>
      <c r="T170" s="332"/>
      <c r="U170" s="332"/>
      <c r="V170" s="332"/>
      <c r="W170" s="332"/>
      <c r="X170" s="332"/>
      <c r="Y170" s="332"/>
      <c r="Z170" s="332"/>
      <c r="AA170" s="332"/>
      <c r="AB170" s="332"/>
      <c r="AC170" s="332"/>
      <c r="AD170" s="332"/>
      <c r="AE170" s="332"/>
      <c r="AF170" s="332"/>
      <c r="AG170" s="332"/>
      <c r="AH170" s="332"/>
      <c r="AI170" s="332"/>
      <c r="AJ170" s="332"/>
      <c r="AK170" s="332"/>
      <c r="AL170" s="332"/>
      <c r="AM170" s="83"/>
    </row>
    <row r="171" spans="1:39" ht="98.7" customHeight="1" x14ac:dyDescent="0.25">
      <c r="A171" s="333"/>
      <c r="B171" s="333"/>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c r="Z171" s="333"/>
      <c r="AA171" s="333"/>
      <c r="AB171" s="333"/>
      <c r="AC171" s="333"/>
      <c r="AD171" s="333"/>
      <c r="AE171" s="333"/>
      <c r="AF171" s="333"/>
      <c r="AG171" s="333"/>
      <c r="AH171" s="333"/>
      <c r="AI171" s="333"/>
      <c r="AJ171" s="333"/>
      <c r="AK171" s="333"/>
      <c r="AL171" s="333"/>
      <c r="AM171" s="83"/>
    </row>
    <row r="172" spans="1:39" ht="67.5" customHeight="1" x14ac:dyDescent="0.25">
      <c r="A172" s="315" t="s">
        <v>1135</v>
      </c>
      <c r="B172" s="315"/>
      <c r="C172" s="315"/>
      <c r="D172" s="315"/>
      <c r="E172" s="315"/>
      <c r="F172" s="315"/>
      <c r="G172" s="315"/>
      <c r="H172" s="315"/>
      <c r="I172" s="315"/>
      <c r="J172" s="315"/>
      <c r="K172" s="315"/>
      <c r="L172" s="315"/>
      <c r="M172" s="315"/>
      <c r="N172" s="315"/>
      <c r="O172" s="315"/>
      <c r="P172" s="315"/>
      <c r="Q172" s="315"/>
      <c r="R172" s="315"/>
      <c r="S172" s="315"/>
      <c r="T172" s="315"/>
      <c r="U172" s="315"/>
      <c r="V172" s="315"/>
      <c r="W172" s="315"/>
      <c r="X172" s="315"/>
      <c r="Y172" s="315"/>
      <c r="Z172" s="315"/>
      <c r="AA172" s="315"/>
      <c r="AB172" s="315"/>
      <c r="AC172" s="315"/>
      <c r="AD172" s="315"/>
      <c r="AE172" s="315"/>
      <c r="AF172" s="315"/>
      <c r="AG172" s="315"/>
      <c r="AH172" s="315"/>
      <c r="AI172" s="315"/>
      <c r="AJ172" s="315"/>
      <c r="AK172" s="315"/>
      <c r="AL172" s="315"/>
    </row>
    <row r="173" spans="1:39" ht="90" customHeight="1" x14ac:dyDescent="0.25">
      <c r="A173" s="333"/>
      <c r="B173" s="333"/>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c r="Z173" s="333"/>
      <c r="AA173" s="333"/>
      <c r="AB173" s="333"/>
      <c r="AC173" s="333"/>
      <c r="AD173" s="333"/>
      <c r="AE173" s="333"/>
      <c r="AF173" s="333"/>
      <c r="AG173" s="333"/>
      <c r="AH173" s="333"/>
      <c r="AI173" s="333"/>
      <c r="AJ173" s="333"/>
      <c r="AK173" s="333"/>
      <c r="AL173" s="333"/>
    </row>
    <row r="174" spans="1:39" ht="59.7" customHeight="1" x14ac:dyDescent="0.25">
      <c r="A174" s="332" t="s">
        <v>1136</v>
      </c>
      <c r="B174" s="332"/>
      <c r="C174" s="332"/>
      <c r="D174" s="332"/>
      <c r="E174" s="332"/>
      <c r="F174" s="332"/>
      <c r="G174" s="332"/>
      <c r="H174" s="332"/>
      <c r="I174" s="332"/>
      <c r="J174" s="332"/>
      <c r="K174" s="332"/>
      <c r="L174" s="332"/>
      <c r="M174" s="332"/>
      <c r="N174" s="332"/>
      <c r="O174" s="332"/>
      <c r="P174" s="332"/>
      <c r="Q174" s="332"/>
      <c r="R174" s="332"/>
      <c r="S174" s="332"/>
      <c r="T174" s="332"/>
      <c r="U174" s="332"/>
      <c r="V174" s="332"/>
      <c r="W174" s="332"/>
      <c r="X174" s="332"/>
      <c r="Y174" s="332"/>
      <c r="Z174" s="332"/>
      <c r="AA174" s="332"/>
      <c r="AB174" s="332"/>
      <c r="AC174" s="332"/>
      <c r="AD174" s="332"/>
      <c r="AE174" s="332"/>
      <c r="AF174" s="332"/>
      <c r="AG174" s="332"/>
      <c r="AH174" s="332"/>
      <c r="AI174" s="332"/>
      <c r="AJ174" s="332"/>
      <c r="AK174" s="332"/>
      <c r="AL174" s="332"/>
    </row>
    <row r="175" spans="1:39" ht="59.7" customHeight="1" x14ac:dyDescent="0.25">
      <c r="A175" s="333" t="s">
        <v>161</v>
      </c>
      <c r="B175" s="333"/>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row>
    <row r="176" spans="1:39" ht="52.5" customHeight="1" x14ac:dyDescent="0.25">
      <c r="A176" s="308" t="s">
        <v>1137</v>
      </c>
      <c r="B176" s="332"/>
      <c r="C176" s="332"/>
      <c r="D176" s="332"/>
      <c r="E176" s="332"/>
      <c r="F176" s="332"/>
      <c r="G176" s="332"/>
      <c r="H176" s="332"/>
      <c r="I176" s="332"/>
      <c r="J176" s="332"/>
      <c r="K176" s="332"/>
      <c r="L176" s="332"/>
      <c r="M176" s="332"/>
      <c r="N176" s="332"/>
      <c r="O176" s="332"/>
      <c r="P176" s="332"/>
      <c r="Q176" s="332"/>
      <c r="R176" s="332"/>
      <c r="S176" s="332"/>
      <c r="T176" s="332"/>
      <c r="U176" s="332"/>
      <c r="V176" s="332"/>
      <c r="W176" s="332"/>
      <c r="X176" s="332"/>
      <c r="Y176" s="332"/>
      <c r="Z176" s="332"/>
      <c r="AA176" s="332"/>
      <c r="AB176" s="332"/>
      <c r="AC176" s="332"/>
      <c r="AD176" s="332"/>
      <c r="AE176" s="332"/>
      <c r="AF176" s="332"/>
      <c r="AG176" s="332"/>
      <c r="AH176" s="332"/>
      <c r="AI176" s="332"/>
      <c r="AJ176" s="332"/>
      <c r="AK176" s="332"/>
      <c r="AL176" s="332"/>
    </row>
    <row r="177" spans="1:54" ht="55.5" customHeight="1" x14ac:dyDescent="0.25">
      <c r="A177" s="333" t="s">
        <v>1143</v>
      </c>
      <c r="B177" s="333"/>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row>
    <row r="178" spans="1:54" ht="48.45" customHeight="1" x14ac:dyDescent="0.25">
      <c r="A178" s="308" t="s">
        <v>1138</v>
      </c>
      <c r="B178" s="332"/>
      <c r="C178" s="332"/>
      <c r="D178" s="332"/>
      <c r="E178" s="332"/>
      <c r="F178" s="332"/>
      <c r="G178" s="332"/>
      <c r="H178" s="332"/>
      <c r="I178" s="332"/>
      <c r="J178" s="332"/>
      <c r="K178" s="332"/>
      <c r="L178" s="332"/>
      <c r="M178" s="332"/>
      <c r="N178" s="332"/>
      <c r="O178" s="332"/>
      <c r="P178" s="332"/>
      <c r="Q178" s="332"/>
      <c r="R178" s="332"/>
      <c r="S178" s="332"/>
      <c r="T178" s="332"/>
      <c r="U178" s="332"/>
      <c r="V178" s="332"/>
      <c r="W178" s="332"/>
      <c r="X178" s="332"/>
      <c r="Y178" s="332"/>
      <c r="Z178" s="332"/>
      <c r="AA178" s="332"/>
      <c r="AB178" s="332"/>
      <c r="AC178" s="332"/>
      <c r="AD178" s="332"/>
      <c r="AE178" s="332"/>
      <c r="AF178" s="332"/>
      <c r="AG178" s="332"/>
      <c r="AH178" s="332"/>
      <c r="AI178" s="332"/>
      <c r="AJ178" s="332"/>
      <c r="AK178" s="332"/>
      <c r="AL178" s="332"/>
    </row>
    <row r="179" spans="1:54" ht="40.200000000000003" customHeight="1" x14ac:dyDescent="0.25">
      <c r="A179" s="333" t="s">
        <v>1139</v>
      </c>
      <c r="B179" s="333"/>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row>
    <row r="180" spans="1:54" ht="24.75" customHeight="1" x14ac:dyDescent="0.25">
      <c r="A180" s="308" t="s">
        <v>752</v>
      </c>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c r="AJ180" s="308"/>
      <c r="AK180" s="308"/>
      <c r="AL180" s="308"/>
    </row>
    <row r="181" spans="1:54" ht="55.5" customHeight="1" x14ac:dyDescent="0.25">
      <c r="A181" s="308" t="s">
        <v>979</v>
      </c>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c r="AJ181" s="308"/>
      <c r="AK181" s="308"/>
      <c r="AL181" s="308"/>
    </row>
    <row r="182" spans="1:54" ht="35.700000000000003" customHeight="1" x14ac:dyDescent="0.25">
      <c r="A182" s="308" t="s">
        <v>1024</v>
      </c>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c r="AH182" s="308"/>
      <c r="AI182" s="308"/>
      <c r="AJ182" s="308"/>
      <c r="AK182" s="308"/>
      <c r="AL182" s="308"/>
    </row>
    <row r="183" spans="1:54" ht="82.2" customHeight="1" x14ac:dyDescent="0.25">
      <c r="A183" s="308" t="s">
        <v>1153</v>
      </c>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row>
    <row r="184" spans="1:54" ht="73.95" customHeight="1" x14ac:dyDescent="0.25">
      <c r="A184" s="308" t="s">
        <v>1002</v>
      </c>
      <c r="B184" s="328"/>
      <c r="C184" s="328"/>
      <c r="D184" s="328"/>
      <c r="E184" s="328"/>
      <c r="F184" s="328"/>
      <c r="G184" s="328"/>
      <c r="H184" s="328"/>
      <c r="I184" s="328"/>
      <c r="J184" s="328"/>
      <c r="K184" s="328"/>
      <c r="L184" s="328"/>
      <c r="M184" s="328"/>
      <c r="N184" s="328"/>
      <c r="O184" s="328"/>
      <c r="P184" s="328"/>
      <c r="Q184" s="328"/>
      <c r="R184" s="328"/>
      <c r="S184" s="328"/>
      <c r="T184" s="328"/>
      <c r="U184" s="328"/>
      <c r="V184" s="328"/>
      <c r="W184" s="328"/>
      <c r="X184" s="328"/>
      <c r="Y184" s="328"/>
      <c r="Z184" s="328"/>
      <c r="AA184" s="328"/>
      <c r="AB184" s="328"/>
      <c r="AC184" s="328"/>
      <c r="AD184" s="328"/>
      <c r="AE184" s="328"/>
      <c r="AF184" s="328"/>
      <c r="AG184" s="328"/>
      <c r="AH184" s="328"/>
      <c r="AI184" s="328"/>
      <c r="AJ184" s="328"/>
      <c r="AK184" s="328"/>
      <c r="AL184" s="328"/>
    </row>
    <row r="185" spans="1:54" ht="19.95" customHeight="1" x14ac:dyDescent="0.25">
      <c r="A185" s="308" t="s">
        <v>1051</v>
      </c>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c r="AH185" s="308"/>
      <c r="AI185" s="308"/>
      <c r="AJ185" s="308"/>
      <c r="AK185" s="308"/>
      <c r="AL185" s="308"/>
    </row>
    <row r="186" spans="1:54" ht="40.5" customHeight="1" x14ac:dyDescent="0.25">
      <c r="A186" s="289" t="str">
        <f>IF(B17="Gmina","1)  w przypadku gminy - wójta (burmistrza, prezydenta miasta)",IF(B17="Powiat","3)  w przypadku powiatu - starostę)",IF(B17="Związek międzygminny","2)  w przypadku związku międzygminnego - zarząd związku",IF(OR(B17="Organizacja pozarządowa",B17="Podmiot, o którym mowa w art. 3 ust. 3 ustawy z dnia 24 kwietnia 2003 r. o działalności pożytku publicznego i o wolontariacie"),"4)  w przypadku organizacji pozarządowej lub podmiotów, o których mowa w art. 3 ust. 3 ustawy o działalności pożytku publicznego i o wolontariacie - osobę lub osoby uprawnione do składania oświadczeń woli w imieniu  organizacji",IF(B17="Jednoosobowa spółka gminna","4)  w przypadku jednoosobowej spółki gminnej - osobę lub osoby uprawnione do składania oświadczeń woli w imieniu spółki",IF(B17="",""))))))</f>
        <v/>
      </c>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c r="AA186" s="289"/>
      <c r="AB186" s="289"/>
      <c r="AC186" s="289"/>
      <c r="AD186" s="289"/>
      <c r="AE186" s="289"/>
      <c r="AF186" s="289"/>
      <c r="AG186" s="289"/>
      <c r="AH186" s="289"/>
      <c r="AI186" s="289"/>
      <c r="AJ186" s="289"/>
      <c r="AK186" s="289"/>
      <c r="AL186" s="289"/>
      <c r="AM186" s="454" t="s">
        <v>974</v>
      </c>
    </row>
    <row r="187" spans="1:54" ht="50.7" customHeight="1" x14ac:dyDescent="0.3">
      <c r="A187" s="460" t="s">
        <v>753</v>
      </c>
      <c r="B187" s="460"/>
      <c r="C187" s="460"/>
      <c r="D187" s="460"/>
      <c r="E187" s="460"/>
      <c r="F187" s="460"/>
      <c r="G187" s="460"/>
      <c r="H187" s="460"/>
      <c r="I187" s="460"/>
      <c r="J187" s="460"/>
      <c r="K187" s="460"/>
      <c r="L187" s="460"/>
      <c r="M187" s="460"/>
      <c r="N187" s="460"/>
      <c r="O187" s="460"/>
      <c r="P187" s="460"/>
      <c r="Q187" s="460"/>
      <c r="R187" s="460"/>
      <c r="S187" s="460"/>
      <c r="T187" s="460"/>
      <c r="U187" s="460"/>
      <c r="V187" s="460"/>
      <c r="W187" s="460"/>
      <c r="X187" s="460"/>
      <c r="Y187" s="460"/>
      <c r="Z187" s="460"/>
      <c r="AA187" s="460"/>
      <c r="AB187" s="460"/>
      <c r="AC187" s="460"/>
      <c r="AD187" s="460"/>
      <c r="AE187" s="460"/>
      <c r="AF187" s="460"/>
      <c r="AG187" s="460"/>
      <c r="AH187" s="460"/>
      <c r="AI187" s="460"/>
      <c r="AJ187" s="460"/>
      <c r="AK187" s="460"/>
      <c r="AL187" s="460"/>
      <c r="AM187" s="455"/>
      <c r="AN187" s="132"/>
    </row>
    <row r="188" spans="1:54" ht="13.95" customHeight="1" x14ac:dyDescent="0.25">
      <c r="A188" s="449" t="s">
        <v>1158</v>
      </c>
      <c r="B188" s="449"/>
      <c r="C188" s="449"/>
      <c r="D188" s="449"/>
      <c r="E188" s="449"/>
      <c r="F188" s="449"/>
      <c r="G188" s="449"/>
      <c r="H188" s="449"/>
      <c r="I188" s="449"/>
      <c r="J188" s="449"/>
      <c r="K188" s="449"/>
      <c r="L188" s="449"/>
      <c r="M188" s="449"/>
      <c r="N188" s="449"/>
      <c r="O188" s="449"/>
      <c r="P188" s="449"/>
      <c r="Q188" s="449"/>
      <c r="R188" s="449"/>
      <c r="S188" s="449"/>
      <c r="T188" s="449"/>
      <c r="U188" s="449"/>
      <c r="V188" s="449"/>
      <c r="W188" s="449"/>
      <c r="X188" s="449"/>
      <c r="Y188" s="449"/>
      <c r="Z188" s="449"/>
      <c r="AA188" s="449"/>
      <c r="AB188" s="449"/>
      <c r="AC188" s="449"/>
      <c r="AD188" s="449"/>
      <c r="AE188" s="449"/>
      <c r="AF188" s="449"/>
      <c r="AG188" s="449"/>
      <c r="AH188" s="449"/>
      <c r="AI188" s="449"/>
      <c r="AJ188" s="449"/>
      <c r="AK188" s="449"/>
      <c r="AL188" s="449"/>
    </row>
    <row r="189" spans="1:54" ht="13.95" customHeight="1" x14ac:dyDescent="0.3">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c r="W189" s="450"/>
      <c r="X189" s="450"/>
      <c r="Y189" s="450"/>
      <c r="Z189" s="450"/>
      <c r="AA189" s="450"/>
      <c r="AB189" s="450"/>
      <c r="AC189" s="450"/>
      <c r="AD189" s="450"/>
      <c r="AE189" s="450"/>
      <c r="AF189" s="450"/>
      <c r="AG189" s="450"/>
      <c r="AH189" s="450"/>
      <c r="AI189" s="450"/>
      <c r="AJ189" s="450"/>
      <c r="AK189" s="450"/>
      <c r="AL189" s="450"/>
      <c r="AM189" s="256" t="s">
        <v>1155</v>
      </c>
    </row>
    <row r="190" spans="1:54" ht="13.95" customHeight="1" x14ac:dyDescent="0.3">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c r="W190" s="450"/>
      <c r="X190" s="450"/>
      <c r="Y190" s="450"/>
      <c r="Z190" s="450"/>
      <c r="AA190" s="450"/>
      <c r="AB190" s="450"/>
      <c r="AC190" s="450"/>
      <c r="AD190" s="450"/>
      <c r="AE190" s="450"/>
      <c r="AF190" s="450"/>
      <c r="AG190" s="450"/>
      <c r="AH190" s="450"/>
      <c r="AI190" s="450"/>
      <c r="AJ190" s="450"/>
      <c r="AK190" s="450"/>
      <c r="AL190" s="450"/>
      <c r="AM190" s="133" t="s">
        <v>1157</v>
      </c>
    </row>
    <row r="191" spans="1:54" ht="13.95" customHeight="1" x14ac:dyDescent="0.25">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c r="W191" s="450"/>
      <c r="X191" s="450"/>
      <c r="Y191" s="450"/>
      <c r="Z191" s="450"/>
      <c r="AA191" s="450"/>
      <c r="AB191" s="450"/>
      <c r="AC191" s="450"/>
      <c r="AD191" s="450"/>
      <c r="AE191" s="450"/>
      <c r="AF191" s="450"/>
      <c r="AG191" s="450"/>
      <c r="AH191" s="450"/>
      <c r="AI191" s="450"/>
      <c r="AJ191" s="450"/>
      <c r="AK191" s="450"/>
      <c r="AL191" s="450"/>
    </row>
    <row r="192" spans="1:54" ht="148.5" customHeight="1" x14ac:dyDescent="0.3">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c r="W192" s="450"/>
      <c r="X192" s="450"/>
      <c r="Y192" s="450"/>
      <c r="Z192" s="450"/>
      <c r="AA192" s="450"/>
      <c r="AB192" s="450"/>
      <c r="AC192" s="450"/>
      <c r="AD192" s="450"/>
      <c r="AE192" s="450"/>
      <c r="AF192" s="450"/>
      <c r="AG192" s="450"/>
      <c r="AH192" s="450"/>
      <c r="AI192" s="450"/>
      <c r="AJ192" s="450"/>
      <c r="AK192" s="450"/>
      <c r="AL192" s="450"/>
      <c r="AM192" s="145"/>
      <c r="AN192" s="145"/>
      <c r="AO192" s="145"/>
      <c r="AP192" s="145"/>
      <c r="AQ192" s="145"/>
      <c r="AR192" s="145"/>
      <c r="AS192" s="145"/>
      <c r="AT192" s="145"/>
      <c r="AU192" s="145"/>
      <c r="AV192" s="145"/>
      <c r="AW192" s="145"/>
      <c r="AX192" s="145"/>
      <c r="AY192" s="145"/>
      <c r="AZ192" s="145"/>
      <c r="BA192" s="145"/>
      <c r="BB192" s="145"/>
    </row>
    <row r="193" spans="1:54" x14ac:dyDescent="0.25">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c r="AA193" s="146"/>
      <c r="AB193" s="146"/>
      <c r="AC193" s="146"/>
      <c r="AD193" s="146"/>
      <c r="AE193" s="146"/>
      <c r="AF193" s="146"/>
      <c r="AG193" s="146"/>
      <c r="AH193" s="146"/>
      <c r="AI193" s="146"/>
      <c r="AJ193" s="146"/>
      <c r="AK193" s="146"/>
      <c r="AL193" s="146"/>
      <c r="AM193" s="146"/>
      <c r="AN193" s="146"/>
      <c r="AO193" s="146"/>
      <c r="AP193" s="146"/>
      <c r="AQ193" s="146"/>
      <c r="AR193" s="146"/>
      <c r="AS193" s="146"/>
      <c r="AT193" s="146"/>
      <c r="AU193" s="146"/>
      <c r="AV193" s="146"/>
      <c r="AW193" s="146"/>
      <c r="AX193" s="146"/>
      <c r="AY193" s="146"/>
      <c r="AZ193" s="146"/>
      <c r="BA193" s="146"/>
      <c r="BB193" s="146"/>
    </row>
  </sheetData>
  <sheetProtection algorithmName="SHA-512" hashValue="HC9EHtQplzH7bK+Y8SowR6FXlR+6hKzUB3nxj9f4vXM4utzrtL6Cy0bl+UE51fXbalnCJ9LIACOEyu9HU2nLAg==" saltValue="2Cro/EV4wzw9H5pgcDmIuQ==" spinCount="100000" sheet="1" formatCells="0" formatRows="0" insertRows="0"/>
  <mergeCells count="441">
    <mergeCell ref="A1:AL1"/>
    <mergeCell ref="A185:AL185"/>
    <mergeCell ref="A8:P8"/>
    <mergeCell ref="Q8:AL8"/>
    <mergeCell ref="B20:AL20"/>
    <mergeCell ref="B21:AL21"/>
    <mergeCell ref="B59:AL59"/>
    <mergeCell ref="S54:AL54"/>
    <mergeCell ref="T152:AJ152"/>
    <mergeCell ref="G142:K142"/>
    <mergeCell ref="L142:O142"/>
    <mergeCell ref="G146:K146"/>
    <mergeCell ref="AK147:AL147"/>
    <mergeCell ref="AH142:AJ142"/>
    <mergeCell ref="B142:F142"/>
    <mergeCell ref="A176:AL176"/>
    <mergeCell ref="A177:AL177"/>
    <mergeCell ref="A178:AL178"/>
    <mergeCell ref="A179:AL179"/>
    <mergeCell ref="L130:O130"/>
    <mergeCell ref="L136:O136"/>
    <mergeCell ref="L134:O134"/>
    <mergeCell ref="L135:O135"/>
    <mergeCell ref="AA135:AG135"/>
    <mergeCell ref="AH131:AJ131"/>
    <mergeCell ref="T142:Z142"/>
    <mergeCell ref="AH139:AJ139"/>
    <mergeCell ref="P137:S137"/>
    <mergeCell ref="AA141:AG141"/>
    <mergeCell ref="T138:Z138"/>
    <mergeCell ref="AK142:AL142"/>
    <mergeCell ref="P143:S143"/>
    <mergeCell ref="T143:Z143"/>
    <mergeCell ref="AH143:AJ143"/>
    <mergeCell ref="P139:S139"/>
    <mergeCell ref="P140:S140"/>
    <mergeCell ref="AA136:AG136"/>
    <mergeCell ref="AH137:AJ137"/>
    <mergeCell ref="T139:Z139"/>
    <mergeCell ref="P142:S142"/>
    <mergeCell ref="AA133:AG133"/>
    <mergeCell ref="AK135:AL135"/>
    <mergeCell ref="AH140:AJ140"/>
    <mergeCell ref="AK140:AL140"/>
    <mergeCell ref="T140:Z140"/>
    <mergeCell ref="AA139:AG139"/>
    <mergeCell ref="T141:Z141"/>
    <mergeCell ref="AH134:AJ134"/>
    <mergeCell ref="L138:O138"/>
    <mergeCell ref="G141:K141"/>
    <mergeCell ref="L141:O141"/>
    <mergeCell ref="B137:F137"/>
    <mergeCell ref="A165:AL165"/>
    <mergeCell ref="T147:Z147"/>
    <mergeCell ref="B145:F145"/>
    <mergeCell ref="G136:K136"/>
    <mergeCell ref="AK146:AL146"/>
    <mergeCell ref="AH148:AJ148"/>
    <mergeCell ref="T148:Z148"/>
    <mergeCell ref="A156:AL156"/>
    <mergeCell ref="A157:AL157"/>
    <mergeCell ref="A162:AL162"/>
    <mergeCell ref="A161:AL161"/>
    <mergeCell ref="A163:AL163"/>
    <mergeCell ref="P144:S144"/>
    <mergeCell ref="AK144:AL144"/>
    <mergeCell ref="P148:S148"/>
    <mergeCell ref="L143:O143"/>
    <mergeCell ref="AA148:AG148"/>
    <mergeCell ref="AK143:AL143"/>
    <mergeCell ref="B140:F140"/>
    <mergeCell ref="P141:S141"/>
    <mergeCell ref="AM186:AM187"/>
    <mergeCell ref="T144:Z144"/>
    <mergeCell ref="AA143:AG143"/>
    <mergeCell ref="L147:O147"/>
    <mergeCell ref="A167:AL167"/>
    <mergeCell ref="A175:AL175"/>
    <mergeCell ref="A182:AL182"/>
    <mergeCell ref="A172:AL172"/>
    <mergeCell ref="A173:AL173"/>
    <mergeCell ref="A174:AL174"/>
    <mergeCell ref="A168:AL168"/>
    <mergeCell ref="A169:AL169"/>
    <mergeCell ref="B143:F143"/>
    <mergeCell ref="G143:K143"/>
    <mergeCell ref="AK148:AL148"/>
    <mergeCell ref="AA144:AG144"/>
    <mergeCell ref="T150:AJ150"/>
    <mergeCell ref="T151:AJ151"/>
    <mergeCell ref="AH144:AJ144"/>
    <mergeCell ref="A187:AL187"/>
    <mergeCell ref="A155:AL155"/>
    <mergeCell ref="A160:AL160"/>
    <mergeCell ref="A159:AL159"/>
    <mergeCell ref="L146:O146"/>
    <mergeCell ref="G140:K140"/>
    <mergeCell ref="L140:O140"/>
    <mergeCell ref="L139:O139"/>
    <mergeCell ref="AK141:AL141"/>
    <mergeCell ref="AK126:AL126"/>
    <mergeCell ref="L126:O126"/>
    <mergeCell ref="AK130:AL130"/>
    <mergeCell ref="B134:F134"/>
    <mergeCell ref="AA130:AG130"/>
    <mergeCell ref="AH132:AJ132"/>
    <mergeCell ref="AK138:AL138"/>
    <mergeCell ref="AK139:AL139"/>
    <mergeCell ref="AH138:AJ138"/>
    <mergeCell ref="AK131:AL131"/>
    <mergeCell ref="AK132:AL132"/>
    <mergeCell ref="AK133:AL133"/>
    <mergeCell ref="L133:O133"/>
    <mergeCell ref="AA132:AG132"/>
    <mergeCell ref="G135:K135"/>
    <mergeCell ref="B135:F135"/>
    <mergeCell ref="B133:F133"/>
    <mergeCell ref="G133:K133"/>
    <mergeCell ref="P136:S136"/>
    <mergeCell ref="AH133:AJ133"/>
    <mergeCell ref="AH135:AJ135"/>
    <mergeCell ref="AH136:AJ136"/>
    <mergeCell ref="AK134:AL134"/>
    <mergeCell ref="A154:AL154"/>
    <mergeCell ref="B150:S150"/>
    <mergeCell ref="B151:S151"/>
    <mergeCell ref="B152:S152"/>
    <mergeCell ref="B127:F127"/>
    <mergeCell ref="B126:F126"/>
    <mergeCell ref="AH126:AJ126"/>
    <mergeCell ref="P127:S127"/>
    <mergeCell ref="T127:Z127"/>
    <mergeCell ref="AA127:AG127"/>
    <mergeCell ref="AK136:AL136"/>
    <mergeCell ref="AK137:AL137"/>
    <mergeCell ref="T136:Z136"/>
    <mergeCell ref="B136:F136"/>
    <mergeCell ref="G130:K130"/>
    <mergeCell ref="P135:S135"/>
    <mergeCell ref="B130:F130"/>
    <mergeCell ref="T131:Z131"/>
    <mergeCell ref="P132:S132"/>
    <mergeCell ref="T135:Z135"/>
    <mergeCell ref="T132:Z132"/>
    <mergeCell ref="T133:Z133"/>
    <mergeCell ref="AH130:AJ130"/>
    <mergeCell ref="T130:Z130"/>
    <mergeCell ref="AA128:AG128"/>
    <mergeCell ref="A75:AL75"/>
    <mergeCell ref="B62:R62"/>
    <mergeCell ref="S62:AL62"/>
    <mergeCell ref="A188:AL192"/>
    <mergeCell ref="B144:F144"/>
    <mergeCell ref="G144:K144"/>
    <mergeCell ref="L144:O144"/>
    <mergeCell ref="P145:S145"/>
    <mergeCell ref="T145:Z145"/>
    <mergeCell ref="AA145:AG145"/>
    <mergeCell ref="AH145:AJ145"/>
    <mergeCell ref="AK145:AL145"/>
    <mergeCell ref="P146:S146"/>
    <mergeCell ref="B148:K148"/>
    <mergeCell ref="AA147:AG147"/>
    <mergeCell ref="AH147:AJ147"/>
    <mergeCell ref="A181:AL181"/>
    <mergeCell ref="A180:AL180"/>
    <mergeCell ref="A158:AL158"/>
    <mergeCell ref="A153:AL153"/>
    <mergeCell ref="B147:F147"/>
    <mergeCell ref="G147:K147"/>
    <mergeCell ref="A37:A38"/>
    <mergeCell ref="B44:AL44"/>
    <mergeCell ref="A42:A43"/>
    <mergeCell ref="B42:AL42"/>
    <mergeCell ref="P128:S128"/>
    <mergeCell ref="B57:R57"/>
    <mergeCell ref="A92:AL92"/>
    <mergeCell ref="AA114:AI114"/>
    <mergeCell ref="AJ114:AL114"/>
    <mergeCell ref="AA115:AI115"/>
    <mergeCell ref="B63:R63"/>
    <mergeCell ref="S63:AL63"/>
    <mergeCell ref="B58:R58"/>
    <mergeCell ref="A81:S81"/>
    <mergeCell ref="A80:S80"/>
    <mergeCell ref="T80:AL80"/>
    <mergeCell ref="T81:AL81"/>
    <mergeCell ref="S58:AL58"/>
    <mergeCell ref="I94:S94"/>
    <mergeCell ref="AK93:AL93"/>
    <mergeCell ref="S60:AL60"/>
    <mergeCell ref="B60:R60"/>
    <mergeCell ref="A40:A41"/>
    <mergeCell ref="Z49:AJ49"/>
    <mergeCell ref="Z50:AJ50"/>
    <mergeCell ref="B45:AL45"/>
    <mergeCell ref="P129:S129"/>
    <mergeCell ref="P130:S130"/>
    <mergeCell ref="AM5:AR5"/>
    <mergeCell ref="L124:O124"/>
    <mergeCell ref="AE94:AJ94"/>
    <mergeCell ref="AK94:AL94"/>
    <mergeCell ref="T124:Z124"/>
    <mergeCell ref="AA124:AG124"/>
    <mergeCell ref="A101:AL101"/>
    <mergeCell ref="A95:AL95"/>
    <mergeCell ref="A52:A64"/>
    <mergeCell ref="B64:R64"/>
    <mergeCell ref="A84:AL84"/>
    <mergeCell ref="A85:AL85"/>
    <mergeCell ref="B68:AA68"/>
    <mergeCell ref="A82:S82"/>
    <mergeCell ref="A94:H94"/>
    <mergeCell ref="B55:R55"/>
    <mergeCell ref="B67:AA67"/>
    <mergeCell ref="B66:AA66"/>
    <mergeCell ref="AB67:AL67"/>
    <mergeCell ref="AB66:AL66"/>
    <mergeCell ref="T94:AD94"/>
    <mergeCell ref="A79:AL79"/>
    <mergeCell ref="A46:A51"/>
    <mergeCell ref="B46:AL46"/>
    <mergeCell ref="AK48:AL48"/>
    <mergeCell ref="B51:Y51"/>
    <mergeCell ref="AK51:AL51"/>
    <mergeCell ref="Z51:AJ51"/>
    <mergeCell ref="B61:R61"/>
    <mergeCell ref="B70:AL70"/>
    <mergeCell ref="AB71:AL71"/>
    <mergeCell ref="B71:AA71"/>
    <mergeCell ref="AK50:AL50"/>
    <mergeCell ref="AK47:AL47"/>
    <mergeCell ref="Z47:AJ47"/>
    <mergeCell ref="B47:Y47"/>
    <mergeCell ref="B48:Y48"/>
    <mergeCell ref="B49:Y49"/>
    <mergeCell ref="B50:Y50"/>
    <mergeCell ref="S64:AL64"/>
    <mergeCell ref="B69:AA69"/>
    <mergeCell ref="A116:Z117"/>
    <mergeCell ref="AA116:AI116"/>
    <mergeCell ref="AJ116:AL116"/>
    <mergeCell ref="AA117:AI117"/>
    <mergeCell ref="AJ117:AL117"/>
    <mergeCell ref="Z48:AJ48"/>
    <mergeCell ref="S61:AL61"/>
    <mergeCell ref="A118:AL118"/>
    <mergeCell ref="A108:AL108"/>
    <mergeCell ref="A109:Z109"/>
    <mergeCell ref="AA109:AL109"/>
    <mergeCell ref="A110:Z110"/>
    <mergeCell ref="AA110:AL110"/>
    <mergeCell ref="A111:Z112"/>
    <mergeCell ref="AA111:AI111"/>
    <mergeCell ref="A65:A69"/>
    <mergeCell ref="A83:S83"/>
    <mergeCell ref="T83:AL83"/>
    <mergeCell ref="AJ111:AL111"/>
    <mergeCell ref="AA112:AI112"/>
    <mergeCell ref="AJ112:AL112"/>
    <mergeCell ref="B73:AL73"/>
    <mergeCell ref="A100:AL100"/>
    <mergeCell ref="AJ115:AL115"/>
    <mergeCell ref="A114:Z115"/>
    <mergeCell ref="A105:AL105"/>
    <mergeCell ref="A106:AL106"/>
    <mergeCell ref="B90:AL90"/>
    <mergeCell ref="A104:AL104"/>
    <mergeCell ref="A113:Z113"/>
    <mergeCell ref="AA113:AL113"/>
    <mergeCell ref="B28:AL28"/>
    <mergeCell ref="S55:AL55"/>
    <mergeCell ref="B52:AL52"/>
    <mergeCell ref="B53:AL53"/>
    <mergeCell ref="B54:R54"/>
    <mergeCell ref="S56:AL56"/>
    <mergeCell ref="A102:AL102"/>
    <mergeCell ref="A103:AL103"/>
    <mergeCell ref="B56:R56"/>
    <mergeCell ref="B65:AL65"/>
    <mergeCell ref="S57:AL57"/>
    <mergeCell ref="A96:AL96"/>
    <mergeCell ref="AB68:AL68"/>
    <mergeCell ref="AB69:AL69"/>
    <mergeCell ref="A76:AL76"/>
    <mergeCell ref="B72:AL72"/>
    <mergeCell ref="B74:AL74"/>
    <mergeCell ref="A4:F4"/>
    <mergeCell ref="H4:L4"/>
    <mergeCell ref="A5:F5"/>
    <mergeCell ref="H5:L5"/>
    <mergeCell ref="A18:A19"/>
    <mergeCell ref="B18:AL18"/>
    <mergeCell ref="B19:AL19"/>
    <mergeCell ref="A11:AL11"/>
    <mergeCell ref="A12:AL12"/>
    <mergeCell ref="A13:AL13"/>
    <mergeCell ref="A15:AK15"/>
    <mergeCell ref="A16:A17"/>
    <mergeCell ref="B16:AL16"/>
    <mergeCell ref="A7:F7"/>
    <mergeCell ref="A9:AL9"/>
    <mergeCell ref="B17:AL17"/>
    <mergeCell ref="G7:L7"/>
    <mergeCell ref="N7:P7"/>
    <mergeCell ref="R7:AA7"/>
    <mergeCell ref="AB7:AE7"/>
    <mergeCell ref="AM95:AT95"/>
    <mergeCell ref="B77:AL77"/>
    <mergeCell ref="A78:AL78"/>
    <mergeCell ref="A86:AL86"/>
    <mergeCell ref="A87:AL87"/>
    <mergeCell ref="A89:AL89"/>
    <mergeCell ref="A88:AL88"/>
    <mergeCell ref="A93:H93"/>
    <mergeCell ref="I93:S93"/>
    <mergeCell ref="T93:AD93"/>
    <mergeCell ref="AE93:AJ93"/>
    <mergeCell ref="AM90:AU91"/>
    <mergeCell ref="A91:AL91"/>
    <mergeCell ref="T82:AL82"/>
    <mergeCell ref="A28:A36"/>
    <mergeCell ref="B26:AL26"/>
    <mergeCell ref="B36:AL36"/>
    <mergeCell ref="AK49:AL49"/>
    <mergeCell ref="A24:A27"/>
    <mergeCell ref="B37:AL37"/>
    <mergeCell ref="A44:A45"/>
    <mergeCell ref="B34:AL34"/>
    <mergeCell ref="B29:AL29"/>
    <mergeCell ref="B30:AL30"/>
    <mergeCell ref="B31:AL31"/>
    <mergeCell ref="B32:AL32"/>
    <mergeCell ref="B33:AL33"/>
    <mergeCell ref="B35:AL35"/>
    <mergeCell ref="B24:V24"/>
    <mergeCell ref="B43:AL43"/>
    <mergeCell ref="T38:AL38"/>
    <mergeCell ref="W24:AL24"/>
    <mergeCell ref="B25:V25"/>
    <mergeCell ref="W25:AL25"/>
    <mergeCell ref="B39:AL39"/>
    <mergeCell ref="B38:S38"/>
    <mergeCell ref="B40:AL40"/>
    <mergeCell ref="B41:AL41"/>
    <mergeCell ref="AM97:AV97"/>
    <mergeCell ref="A98:AL98"/>
    <mergeCell ref="A99:AL99"/>
    <mergeCell ref="AM100:AV100"/>
    <mergeCell ref="A97:AL97"/>
    <mergeCell ref="T129:Z129"/>
    <mergeCell ref="AA129:AG129"/>
    <mergeCell ref="AH127:AJ127"/>
    <mergeCell ref="B128:F128"/>
    <mergeCell ref="AK129:AL129"/>
    <mergeCell ref="AH129:AJ129"/>
    <mergeCell ref="B129:F129"/>
    <mergeCell ref="G129:K129"/>
    <mergeCell ref="L129:O129"/>
    <mergeCell ref="A107:AL107"/>
    <mergeCell ref="G126:K126"/>
    <mergeCell ref="AK127:AL127"/>
    <mergeCell ref="AH128:AJ128"/>
    <mergeCell ref="T128:Z128"/>
    <mergeCell ref="AK128:AL128"/>
    <mergeCell ref="G128:K128"/>
    <mergeCell ref="L128:O128"/>
    <mergeCell ref="P124:S124"/>
    <mergeCell ref="B124:F124"/>
    <mergeCell ref="A184:AL184"/>
    <mergeCell ref="AH141:AJ141"/>
    <mergeCell ref="AA146:AG146"/>
    <mergeCell ref="AH146:AJ146"/>
    <mergeCell ref="T137:Z137"/>
    <mergeCell ref="G137:K137"/>
    <mergeCell ref="B141:F141"/>
    <mergeCell ref="AA142:AG142"/>
    <mergeCell ref="G138:K138"/>
    <mergeCell ref="B138:F138"/>
    <mergeCell ref="AA137:AG137"/>
    <mergeCell ref="T146:Z146"/>
    <mergeCell ref="A170:AL170"/>
    <mergeCell ref="A166:AL166"/>
    <mergeCell ref="A171:AL171"/>
    <mergeCell ref="A164:AL164"/>
    <mergeCell ref="G145:K145"/>
    <mergeCell ref="L145:O145"/>
    <mergeCell ref="B146:F146"/>
    <mergeCell ref="P147:S147"/>
    <mergeCell ref="A149:AL149"/>
    <mergeCell ref="AA140:AG140"/>
    <mergeCell ref="B139:F139"/>
    <mergeCell ref="G139:K139"/>
    <mergeCell ref="L137:O137"/>
    <mergeCell ref="A183:AL183"/>
    <mergeCell ref="B22:AL22"/>
    <mergeCell ref="B23:AL23"/>
    <mergeCell ref="L125:O125"/>
    <mergeCell ref="AH125:AJ125"/>
    <mergeCell ref="AK125:AL125"/>
    <mergeCell ref="T125:Z125"/>
    <mergeCell ref="G125:K125"/>
    <mergeCell ref="A121:AL121"/>
    <mergeCell ref="A122:AL122"/>
    <mergeCell ref="A119:AI119"/>
    <mergeCell ref="AJ119:AL119"/>
    <mergeCell ref="P125:S125"/>
    <mergeCell ref="AA125:AG125"/>
    <mergeCell ref="B125:F125"/>
    <mergeCell ref="A120:AI120"/>
    <mergeCell ref="AJ120:AL120"/>
    <mergeCell ref="G124:K124"/>
    <mergeCell ref="AH124:AJ124"/>
    <mergeCell ref="A123:AL123"/>
    <mergeCell ref="AK124:AL124"/>
    <mergeCell ref="A20:A23"/>
    <mergeCell ref="B27:AL27"/>
    <mergeCell ref="A186:AL186"/>
    <mergeCell ref="AM78:AM83"/>
    <mergeCell ref="AM84:AM85"/>
    <mergeCell ref="AA134:AG134"/>
    <mergeCell ref="AA131:AG131"/>
    <mergeCell ref="P131:S131"/>
    <mergeCell ref="P138:S138"/>
    <mergeCell ref="L148:O148"/>
    <mergeCell ref="T134:Z134"/>
    <mergeCell ref="G134:K134"/>
    <mergeCell ref="B131:F131"/>
    <mergeCell ref="G131:K131"/>
    <mergeCell ref="L131:O131"/>
    <mergeCell ref="B132:F132"/>
    <mergeCell ref="G132:K132"/>
    <mergeCell ref="L132:O132"/>
    <mergeCell ref="P133:S133"/>
    <mergeCell ref="P134:S134"/>
    <mergeCell ref="AA138:AG138"/>
    <mergeCell ref="AA126:AG126"/>
    <mergeCell ref="P126:S126"/>
    <mergeCell ref="T126:Z126"/>
    <mergeCell ref="G127:K127"/>
    <mergeCell ref="L127:O127"/>
  </mergeCells>
  <conditionalFormatting sqref="A4 H4 B17:AL17 B19 W25 B25:B27 A75:A76 A91 A96 A98 AJ114:AJ117 A153:A167">
    <cfRule type="expression" dxfId="810" priority="256">
      <formula>IF(A4="",1,0)</formula>
    </cfRule>
  </conditionalFormatting>
  <conditionalFormatting sqref="A78:A79">
    <cfRule type="expression" dxfId="809" priority="182">
      <formula>IF(A78="",1,0)</formula>
    </cfRule>
  </conditionalFormatting>
  <conditionalFormatting sqref="A80:A81">
    <cfRule type="expression" dxfId="807" priority="12">
      <formula>IF(A80="",1,0)</formula>
    </cfRule>
  </conditionalFormatting>
  <conditionalFormatting sqref="A82:A89">
    <cfRule type="expression" dxfId="806" priority="186">
      <formula>IF(A82="",1,0)</formula>
    </cfRule>
  </conditionalFormatting>
  <conditionalFormatting sqref="A93:A94">
    <cfRule type="expression" dxfId="804" priority="61">
      <formula>IF(A93="",1,0)</formula>
    </cfRule>
  </conditionalFormatting>
  <conditionalFormatting sqref="A100">
    <cfRule type="expression" dxfId="803" priority="83">
      <formula>IF(A100="",1,0)</formula>
    </cfRule>
  </conditionalFormatting>
  <conditionalFormatting sqref="A103:A105">
    <cfRule type="expression" dxfId="802" priority="140">
      <formula>IF(A103="",1,0)</formula>
    </cfRule>
  </conditionalFormatting>
  <conditionalFormatting sqref="A107:A111">
    <cfRule type="expression" dxfId="801" priority="34">
      <formula>IF(A107="",1,0)</formula>
    </cfRule>
  </conditionalFormatting>
  <conditionalFormatting sqref="A113:A114">
    <cfRule type="expression" dxfId="800" priority="37">
      <formula>IF(A113="",1,0)</formula>
    </cfRule>
  </conditionalFormatting>
  <conditionalFormatting sqref="A116">
    <cfRule type="expression" dxfId="799" priority="36">
      <formula>IF(A116="",1,0)</formula>
    </cfRule>
  </conditionalFormatting>
  <conditionalFormatting sqref="A119:A122">
    <cfRule type="expression" dxfId="798" priority="9">
      <formula>IF(A119="",1,0)</formula>
    </cfRule>
  </conditionalFormatting>
  <conditionalFormatting sqref="A169:A179">
    <cfRule type="expression" dxfId="797" priority="2">
      <formula>IF(A169="",1,0)</formula>
    </cfRule>
  </conditionalFormatting>
  <conditionalFormatting sqref="A181:A183">
    <cfRule type="expression" dxfId="796" priority="1">
      <formula>IF(A181="",1,0)</formula>
    </cfRule>
  </conditionalFormatting>
  <conditionalFormatting sqref="A186:A187">
    <cfRule type="expression" dxfId="795" priority="192">
      <formula>IF(A186="",1,0)</formula>
    </cfRule>
  </conditionalFormatting>
  <conditionalFormatting sqref="B21">
    <cfRule type="expression" dxfId="788" priority="166">
      <formula>IF(B21="",1,0)</formula>
    </cfRule>
  </conditionalFormatting>
  <conditionalFormatting sqref="B23">
    <cfRule type="expression" dxfId="787" priority="6">
      <formula>IF(B23="",1,0)</formula>
    </cfRule>
  </conditionalFormatting>
  <conditionalFormatting sqref="B30">
    <cfRule type="expression" dxfId="786" priority="231">
      <formula>IF(B30="",1,0)</formula>
    </cfRule>
  </conditionalFormatting>
  <conditionalFormatting sqref="B32">
    <cfRule type="expression" dxfId="785" priority="229">
      <formula>IF(B32="",1,0)</formula>
    </cfRule>
  </conditionalFormatting>
  <conditionalFormatting sqref="B34">
    <cfRule type="expression" dxfId="784" priority="230">
      <formula>IF(B34="",1,0)</formula>
    </cfRule>
  </conditionalFormatting>
  <conditionalFormatting sqref="B36">
    <cfRule type="expression" dxfId="783" priority="228">
      <formula>IF(B36="",1,0)</formula>
    </cfRule>
  </conditionalFormatting>
  <conditionalFormatting sqref="B38">
    <cfRule type="expression" dxfId="782" priority="162">
      <formula>IF(B38="",1,0)</formula>
    </cfRule>
  </conditionalFormatting>
  <conditionalFormatting sqref="B42:B43">
    <cfRule type="expression" dxfId="781" priority="204">
      <formula>IF(B42="",1,0)</formula>
    </cfRule>
  </conditionalFormatting>
  <conditionalFormatting sqref="B45">
    <cfRule type="expression" dxfId="780" priority="53">
      <formula>IF(B45="",1,0)</formula>
    </cfRule>
  </conditionalFormatting>
  <conditionalFormatting sqref="B53:B73">
    <cfRule type="expression" dxfId="779" priority="4">
      <formula>IF(B53="",1,0)</formula>
    </cfRule>
  </conditionalFormatting>
  <conditionalFormatting sqref="B126:B147">
    <cfRule type="expression" dxfId="778" priority="75">
      <formula>IF(B126="",1,0)</formula>
    </cfRule>
  </conditionalFormatting>
  <conditionalFormatting sqref="G126:G147">
    <cfRule type="expression" dxfId="777" priority="74">
      <formula>IF(G126="",1,0)</formula>
    </cfRule>
  </conditionalFormatting>
  <conditionalFormatting sqref="I94">
    <cfRule type="expression" dxfId="776" priority="60">
      <formula>IF(I94="",1,0)</formula>
    </cfRule>
  </conditionalFormatting>
  <conditionalFormatting sqref="L126:L147">
    <cfRule type="expression" dxfId="775" priority="73">
      <formula>IF(L126="",1,0)</formula>
    </cfRule>
  </conditionalFormatting>
  <conditionalFormatting sqref="N7">
    <cfRule type="expression" dxfId="774" priority="42">
      <formula>IF(N7="",1,0)</formula>
    </cfRule>
  </conditionalFormatting>
  <conditionalFormatting sqref="P126:P147">
    <cfRule type="expression" dxfId="773" priority="71">
      <formula>IF(P126="",1,0)</formula>
    </cfRule>
  </conditionalFormatting>
  <conditionalFormatting sqref="Q8:AL8">
    <cfRule type="expression" dxfId="772" priority="40">
      <formula>IF(Q8="",1,0)</formula>
    </cfRule>
  </conditionalFormatting>
  <conditionalFormatting sqref="S54:S58">
    <cfRule type="expression" dxfId="771" priority="97">
      <formula>IF(S54="",1,0)</formula>
    </cfRule>
  </conditionalFormatting>
  <conditionalFormatting sqref="S60:S64">
    <cfRule type="expression" dxfId="770" priority="67">
      <formula>IF(S60="",1,0)</formula>
    </cfRule>
  </conditionalFormatting>
  <conditionalFormatting sqref="T81">
    <cfRule type="expression" dxfId="769" priority="11">
      <formula>IF(T81="",1,0)</formula>
    </cfRule>
  </conditionalFormatting>
  <conditionalFormatting sqref="T82:T83">
    <cfRule type="expression" dxfId="768" priority="51">
      <formula>IF(T82="",1,0)</formula>
    </cfRule>
  </conditionalFormatting>
  <conditionalFormatting sqref="T94">
    <cfRule type="expression" dxfId="766" priority="59">
      <formula>IF(T94="",1,0)</formula>
    </cfRule>
  </conditionalFormatting>
  <conditionalFormatting sqref="T150:T151">
    <cfRule type="expression" dxfId="765" priority="224">
      <formula>IF(T150="",1,0)</formula>
    </cfRule>
  </conditionalFormatting>
  <conditionalFormatting sqref="Z48">
    <cfRule type="expression" dxfId="764" priority="123">
      <formula>IF(Z48="",1,0)</formula>
    </cfRule>
  </conditionalFormatting>
  <conditionalFormatting sqref="Z50">
    <cfRule type="expression" dxfId="763" priority="121">
      <formula>IF(Z50="",1,0)</formula>
    </cfRule>
  </conditionalFormatting>
  <conditionalFormatting sqref="Z51">
    <cfRule type="expression" dxfId="762" priority="7388">
      <formula>IF($Z$51&lt;&gt;$AK$148,1,0)</formula>
    </cfRule>
  </conditionalFormatting>
  <conditionalFormatting sqref="AA109:AA110 AA113">
    <cfRule type="expression" dxfId="761" priority="35">
      <formula>IF(AA109="",1,0)</formula>
    </cfRule>
  </conditionalFormatting>
  <conditionalFormatting sqref="AB7">
    <cfRule type="expression" dxfId="760" priority="41">
      <formula>IF(AB7="",1,0)</formula>
    </cfRule>
  </conditionalFormatting>
  <conditionalFormatting sqref="AB66:AB69 AB71">
    <cfRule type="expression" dxfId="759" priority="86">
      <formula>IF(AB66="",1,0)</formula>
    </cfRule>
  </conditionalFormatting>
  <conditionalFormatting sqref="AE94">
    <cfRule type="expression" dxfId="758" priority="58">
      <formula>IF(AE94="",1,0)</formula>
    </cfRule>
  </conditionalFormatting>
  <conditionalFormatting sqref="AH126:AH147">
    <cfRule type="expression" dxfId="756" priority="167">
      <formula>IF(AH126="",1,0)</formula>
    </cfRule>
  </conditionalFormatting>
  <conditionalFormatting sqref="AJ111:AJ112">
    <cfRule type="expression" dxfId="755" priority="33">
      <formula>IF(AJ111="",1,0)</formula>
    </cfRule>
  </conditionalFormatting>
  <conditionalFormatting sqref="AJ119:AJ120">
    <cfRule type="expression" dxfId="754" priority="15">
      <formula>IF(AJ119="",1,0)</formula>
    </cfRule>
  </conditionalFormatting>
  <conditionalFormatting sqref="AK94">
    <cfRule type="expression" dxfId="753" priority="57">
      <formula>IF(AK94="",1,0)</formula>
    </cfRule>
  </conditionalFormatting>
  <dataValidations xWindow="738" yWindow="662" count="35">
    <dataValidation allowBlank="1" showErrorMessage="1" promptTitle="Wybierz" prompt="właściwe" sqref="A157:AL157 A187:AL187 A163 A167:AL167 A159:AL159" xr:uid="{00000000-0002-0000-0100-000000000000}"/>
    <dataValidation type="whole" allowBlank="1" showInputMessage="1" showErrorMessage="1" promptTitle="Wprowadź " prompt="ilość" sqref="A89:AL89 A87:AL87 A81" xr:uid="{00000000-0002-0000-0100-000001000000}">
      <formula1>0</formula1>
      <formula2>1000000</formula2>
    </dataValidation>
    <dataValidation allowBlank="1" showErrorMessage="1" promptTitle="Wprowadź" prompt="kwotę" sqref="B41" xr:uid="{00000000-0002-0000-0100-000002000000}"/>
    <dataValidation type="textLength" operator="greaterThan" allowBlank="1" showInputMessage="1" showErrorMessage="1" promptTitle="Wprowadź" prompt="nazwę beneficjenta" sqref="B19:AL19" xr:uid="{00000000-0002-0000-0100-000003000000}">
      <formula1>3</formula1>
    </dataValidation>
    <dataValidation type="decimal" allowBlank="1" showInputMessage="1" showErrorMessage="1" promptTitle="Wprowadź " prompt="wielkość" sqref="A98:AL98 A100" xr:uid="{00000000-0002-0000-0100-000004000000}">
      <formula1>0</formula1>
      <formula2>1E+31</formula2>
    </dataValidation>
    <dataValidation type="decimal" allowBlank="1" showInputMessage="1" showErrorMessage="1" promptTitle="Wprowadź" prompt="kwotę" sqref="Z50" xr:uid="{00000000-0002-0000-0100-000005000000}">
      <formula1>0</formula1>
      <formula2>10000000000000000000</formula2>
    </dataValidation>
    <dataValidation type="decimal" allowBlank="1" showInputMessage="1" showErrorMessage="1" promptTitle="Wprowadź" prompt="kwotę" sqref="Z49" xr:uid="{00000000-0002-0000-0100-000006000000}">
      <formula1>0</formula1>
      <formula2>100000000000000000</formula2>
    </dataValidation>
    <dataValidation type="textLength" operator="equal" allowBlank="1" showInputMessage="1" showErrorMessage="1" errorTitle="NIP" error="NIP to ciąg dziesięciu cyfr np. 5719611245" promptTitle="Wprowadź" prompt="NIP" sqref="B25:V25" xr:uid="{00000000-0002-0000-0100-000007000000}">
      <formula1>10</formula1>
    </dataValidation>
    <dataValidation allowBlank="1" showInputMessage="1" showErrorMessage="1" promptTitle="Wprowadź" prompt="nr księgi wieczystej - nr działki ewidencyjnej" sqref="A169:AL169" xr:uid="{00000000-0002-0000-0100-000008000000}"/>
    <dataValidation type="textLength" operator="equal" allowBlank="1" showInputMessage="1" showErrorMessage="1" errorTitle="REGON" error="REGON to ciąg dziewięciu cyfr np. 571961124" promptTitle="Wprowadź" prompt="nr REGON" sqref="W25:AL25" xr:uid="{00000000-0002-0000-0100-00000A000000}">
      <formula1>9</formula1>
    </dataValidation>
    <dataValidation allowBlank="1" showInputMessage="1" showErrorMessage="1" promptTitle="Wprowadź" prompt="adres przedsięwzięcia" sqref="A93:A94" xr:uid="{00000000-0002-0000-0100-00000B000000}"/>
    <dataValidation allowBlank="1" showInputMessage="1" showErrorMessage="1" promptTitle="Wprowadź" prompt="dane" sqref="B30:AL30 B32:AL32 AJ111:AL112 AJ114:AL117 AJ119:AL120" xr:uid="{00000000-0002-0000-0100-00000C000000}"/>
    <dataValidation allowBlank="1" showInputMessage="1" showErrorMessage="1" promptTitle="Wprowadź" prompt="adres beneficjenta" sqref="B21" xr:uid="{00000000-0002-0000-0100-00000D000000}"/>
    <dataValidation type="decimal" allowBlank="1" showInputMessage="1" showErrorMessage="1" sqref="AH126:AJ147" xr:uid="{00000000-0002-0000-0100-00000E000000}">
      <formula1>0</formula1>
      <formula2>1</formula2>
    </dataValidation>
    <dataValidation allowBlank="1" showInputMessage="1" showErrorMessage="1" promptTitle="Wybierz" prompt="właściwe" sqref="A165:AL165 A80" xr:uid="{00000000-0002-0000-0100-00000F000000}"/>
    <dataValidation type="whole" allowBlank="1" showInputMessage="1" showErrorMessage="1" promptTitle="Wprowadź" prompt="opcjonalni ilość" sqref="T83 A83 A85" xr:uid="{00000000-0002-0000-0100-000010000000}">
      <formula1>0</formula1>
      <formula2>10000000</formula2>
    </dataValidation>
    <dataValidation errorStyle="information" allowBlank="1" showInputMessage="1" showErrorMessage="1" promptTitle="Wybierz" prompt="właściwe" sqref="A186:AL186" xr:uid="{00000000-0002-0000-0100-000011000000}"/>
    <dataValidation type="whole" allowBlank="1" showInputMessage="1" showErrorMessage="1" promptTitle="Wprowadź" prompt="ilość" sqref="A79:AL79" xr:uid="{00000000-0002-0000-0100-000012000000}">
      <formula1>0</formula1>
      <formula2>1E+25</formula2>
    </dataValidation>
    <dataValidation type="decimal" allowBlank="1" showInputMessage="1" promptTitle="Wybierz" prompt="właściwą wysokość wsparcia lub wpiszmniejszą wartość" sqref="T150:AJ150" xr:uid="{00000000-0002-0000-0100-000013000000}">
      <formula1>0</formula1>
      <formula2>0.8</formula2>
    </dataValidation>
    <dataValidation type="textLength" operator="equal" allowBlank="1" showInputMessage="1" errorTitle="KRS" promptTitle="Wprowadź" prompt="numer KRS" sqref="B27:AL27" xr:uid="{00000000-0002-0000-0100-000014000000}">
      <formula1>10</formula1>
    </dataValidation>
    <dataValidation allowBlank="1" showInputMessage="1" showErrorMessage="1" promptTitle="Wprowadź" prompt="adres ePUAP beneficjenta" sqref="B22" xr:uid="{60BD8BA3-2EEB-4A42-BF56-C09D363BE14A}"/>
    <dataValidation allowBlank="1" showErrorMessage="1" promptTitle="Wybierz" prompt="właściwe oświadczenie" sqref="A155:AL155 A104:AL104 A153:AL153" xr:uid="{00000000-0002-0000-0100-000017000000}"/>
    <dataValidation allowBlank="1" promptTitle="Wprowadź" sqref="B53:AL53" xr:uid="{37FB860F-6551-418E-94C0-8FCEDEFA470B}"/>
    <dataValidation allowBlank="1" promptTitle="Wprowadź" prompt="numer rachunku bankowego" sqref="C54:R57 C60:R63 B54:B72" xr:uid="{00000000-0002-0000-0100-000019000000}"/>
    <dataValidation allowBlank="1" showInputMessage="1" showErrorMessage="1" promptTitle="Wprowadź" prompt="wartość_x000a_" sqref="AB68 T54:AL57 S54:S58 S60:AL63 S64" xr:uid="{00000000-0002-0000-0100-00001A000000}"/>
    <dataValidation type="decimal" allowBlank="1" showInputMessage="1" showErrorMessage="1" promptTitle="Wprowadź" prompt="wielkość" sqref="A96:AL96" xr:uid="{00000000-0002-0000-0100-00001B000000}">
      <formula1>0</formula1>
      <formula2>1.111E+32</formula2>
    </dataValidation>
    <dataValidation allowBlank="1" showErrorMessage="1" promptTitle="Wprowadź" prompt="nr księgi wieczystej - nr działki ewidencyjnej" sqref="A170:AL170 B181:AL181 A181:A183" xr:uid="{00000000-0002-0000-0100-00001C000000}"/>
    <dataValidation errorStyle="information" allowBlank="1" showInputMessage="1" showErrorMessage="1" promptTitle="Wprowadź" prompt="wartość" sqref="AA109:AL109" xr:uid="{00000000-0002-0000-0100-00001D000000}"/>
    <dataValidation type="whole" errorStyle="warning" allowBlank="1" showInputMessage="1" showErrorMessage="1" errorTitle="Uwaga" error="Prawidłowa wartość to liczba całkowita, zweryfikuj wprowadzane modyfikacje." promptTitle="Wprowadź" prompt="wartość" sqref="AA110:AL110" xr:uid="{00000000-0002-0000-0100-00001E000000}">
      <formula1>1</formula1>
      <formula2>1.11111111111111E+21</formula2>
    </dataValidation>
    <dataValidation operator="greaterThanOrEqual" allowBlank="1" showInputMessage="1" showErrorMessage="1" promptTitle="Wprowadź" prompt="datę w formacie rrrr-mm-dd_x000a_" sqref="B45:AL45" xr:uid="{00000000-0002-0000-0100-000020000000}"/>
    <dataValidation allowBlank="1" showInputMessage="1" showErrorMessage="1" promptTitle="Wprowadź" prompt="opcjonalni ilość" sqref="A84:AL84" xr:uid="{00000000-0002-0000-0100-000021000000}"/>
    <dataValidation type="textLength" operator="equal" showInputMessage="1" promptTitle="Wprowadź" prompt="numer rachunku bankowego tj. 26 cyfr" sqref="B38:S38" xr:uid="{346C1892-9597-47F0-8345-90E8F1D33E4F}">
      <formula1>26</formula1>
    </dataValidation>
    <dataValidation type="textLength" operator="equal" allowBlank="1" showInputMessage="1" promptTitle="Wprowadź" prompt="numer rachunku bankowego" sqref="T38:AL38" xr:uid="{83A5BDF2-4D8C-4A31-8D66-7FB29C87FF41}">
      <formula1>26</formula1>
    </dataValidation>
    <dataValidation allowBlank="1" showInputMessage="1" showErrorMessage="1" promptTitle="Wprowadź" prompt="wartość" sqref="AB71:AL71" xr:uid="{8810272D-3E19-4218-955D-041EFE6BEA7F}"/>
    <dataValidation allowBlank="1" showInputMessage="1" showErrorMessage="1" promptTitle="Wprowadź" prompt="Adres do doręczeń elektronicznych" sqref="B23:AL23" xr:uid="{897DEE57-DFFC-48F2-9B55-5F04B5C236EF}"/>
  </dataValidations>
  <hyperlinks>
    <hyperlink ref="AM41" location="'Wniosek art 3 budowa'!B109" display="Kliknij &quot;tutaj&quot; i przejdź do wypełnienia zestawienia kosztów" xr:uid="{00000000-0004-0000-0100-000000000000}"/>
    <hyperlink ref="B41:AL41" location="'Wniosek art 3 budowa'!B106" display="'Wniosek art 3 budowa'!B106" xr:uid="{00000000-0004-0000-0100-000001000000}"/>
    <hyperlink ref="AM152" location="'Wniosek art 3 budowa'!B42" display="Wróć do wypełniania wniosku" xr:uid="{00000000-0004-0000-0100-000002000000}"/>
    <hyperlink ref="AM20" r:id="rId1" display="Weryfikocji można dokonać na stronie internetowej -&gt; https://eteryt.stat.gov.pl/eTeryt/rejestr_teryt/udostepnianie_danych/baza_teryt/uzytkownicy_indywidualni/wyszukiwanie/wyszukiwanie.aspx?contrast=default" xr:uid="{00000000-0004-0000-0100-000003000000}"/>
    <hyperlink ref="AM22" r:id="rId2" xr:uid="{00000000-0004-0000-0100-000004000000}"/>
    <hyperlink ref="AM18" r:id="rId3" xr:uid="{00000000-0004-0000-0100-000005000000}"/>
    <hyperlink ref="AM24" r:id="rId4" xr:uid="{00000000-0004-0000-0100-000006000000}"/>
    <hyperlink ref="AM26" r:id="rId5" xr:uid="{00000000-0004-0000-0100-000007000000}"/>
    <hyperlink ref="AM190" r:id="rId6" display=" tutaj" xr:uid="{2001B68B-9A2C-4E36-ACCA-C138C80CF2A5}"/>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181" id="{3E0F9105-DE3F-4178-BC42-E4CFDF5D35D1}">
            <xm:f>IF($A$80=Słowniki!$F$19,1,0)</xm:f>
            <x14:dxf>
              <fill>
                <patternFill>
                  <bgColor theme="0"/>
                </patternFill>
              </fill>
            </x14:dxf>
          </x14:cfRule>
          <xm:sqref>A79</xm:sqref>
        </x14:conditionalFormatting>
        <x14:conditionalFormatting xmlns:xm="http://schemas.microsoft.com/office/excel/2006/main">
          <x14:cfRule type="expression" priority="185" id="{F23721A9-C9EA-4277-A2EE-A69849C8C788}">
            <xm:f>IF($A$80=Słowniki!$F$19,1,0)</xm:f>
            <x14:dxf>
              <fill>
                <patternFill>
                  <bgColor theme="0"/>
                </patternFill>
              </fill>
            </x14:dxf>
          </x14:cfRule>
          <xm:sqref>A83:A85</xm:sqref>
        </x14:conditionalFormatting>
        <x14:conditionalFormatting xmlns:xm="http://schemas.microsoft.com/office/excel/2006/main">
          <x14:cfRule type="expression" priority="176" id="{4FDAF4B3-56CA-46BE-90F6-C1FC62D576D8}">
            <xm:f>IF($A$102=Słowniki!$P$2,1,0)</xm:f>
            <x14:dxf>
              <font>
                <b/>
                <i val="0"/>
                <strike/>
                <color theme="1"/>
              </font>
            </x14:dxf>
          </x14:cfRule>
          <xm:sqref>A102:AL102</xm:sqref>
        </x14:conditionalFormatting>
        <x14:conditionalFormatting xmlns:xm="http://schemas.microsoft.com/office/excel/2006/main">
          <x14:cfRule type="expression" priority="3" id="{E328BD40-00CC-42F5-B9E4-0AB67739F1C3}">
            <xm:f>IF($A$107=Słowniki!$P$2,1,0)</xm:f>
            <x14:dxf>
              <font>
                <strike/>
              </font>
            </x14:dxf>
          </x14:cfRule>
          <xm:sqref>A106:AL106</xm:sqref>
        </x14:conditionalFormatting>
        <x14:conditionalFormatting xmlns:xm="http://schemas.microsoft.com/office/excel/2006/main">
          <x14:cfRule type="expression" priority="39" id="{E99E2697-20AE-46B2-BFBD-6669D86D3613}">
            <xm:f>IF('Wniosek art 5 budowa'!$A$151=Słowniki!$P$2,1,0)</xm:f>
            <x14:dxf>
              <font>
                <strike/>
              </font>
            </x14:dxf>
          </x14:cfRule>
          <xm:sqref>A118:AL118</xm:sqref>
        </x14:conditionalFormatting>
        <x14:conditionalFormatting xmlns:xm="http://schemas.microsoft.com/office/excel/2006/main">
          <x14:cfRule type="expression" priority="171" id="{3662BEFE-17AE-478C-B72B-7FB8612C918F}">
            <xm:f>IF($A$158=Słowniki!$P$2,1,0)</xm:f>
            <x14:dxf>
              <font>
                <strike/>
              </font>
            </x14:dxf>
          </x14:cfRule>
          <xm:sqref>A157:AL157</xm:sqref>
        </x14:conditionalFormatting>
        <x14:conditionalFormatting xmlns:xm="http://schemas.microsoft.com/office/excel/2006/main">
          <x14:cfRule type="expression" priority="189" id="{20B09CC5-9F42-4600-8376-7576A54F26E5}">
            <xm:f>IF($A$164=Słowniki!$P$2,1,0)</xm:f>
            <x14:dxf>
              <font>
                <strike/>
              </font>
            </x14:dxf>
          </x14:cfRule>
          <xm:sqref>A163:AL163</xm:sqref>
        </x14:conditionalFormatting>
        <x14:conditionalFormatting xmlns:xm="http://schemas.microsoft.com/office/excel/2006/main">
          <x14:cfRule type="expression" priority="49" id="{1D3311C0-12C8-4678-A5C0-F2A172C88209}">
            <xm:f>IF(#REF!=Słowniki!$Q$2,1,0)</xm:f>
            <x14:dxf>
              <font>
                <strike/>
              </font>
            </x14:dxf>
          </x14:cfRule>
          <xm:sqref>A165:AL165</xm:sqref>
        </x14:conditionalFormatting>
        <x14:conditionalFormatting xmlns:xm="http://schemas.microsoft.com/office/excel/2006/main">
          <x14:cfRule type="expression" priority="50" id="{24DC908C-E0D4-43A5-B384-A2662294CC5B}">
            <xm:f>IF($A$80=Słowniki!$F$19,1,0)</xm:f>
            <x14:dxf>
              <fill>
                <patternFill>
                  <bgColor theme="0"/>
                </patternFill>
              </fill>
            </x14:dxf>
          </x14:cfRule>
          <xm:sqref>T83</xm:sqref>
        </x14:conditionalFormatting>
        <x14:conditionalFormatting xmlns:xm="http://schemas.microsoft.com/office/excel/2006/main">
          <x14:cfRule type="expression" priority="85" id="{ACB36526-A53C-4B04-9B0F-74BD217943EA}">
            <xm:f>IF(AB66=Słowniki!C1048575,Słowniki!C1,0)</xm:f>
            <x14:dxf/>
          </x14:cfRule>
          <xm:sqref>AB68:AL68</xm:sqref>
        </x14:conditionalFormatting>
        <x14:conditionalFormatting xmlns:xm="http://schemas.microsoft.com/office/excel/2006/main">
          <x14:cfRule type="expression" priority="56" id="{BE7E5B8F-12BC-4253-9AFC-FB3EC53DC931}">
            <xm:f>IF($T$94&lt;&gt;Słowniki!$A$73,1,0)</xm:f>
            <x14:dxf>
              <fill>
                <patternFill patternType="none">
                  <bgColor auto="1"/>
                </patternFill>
              </fill>
            </x14:dxf>
          </x14:cfRule>
          <xm:sqref>AE94:AL94</xm:sqref>
        </x14:conditionalFormatting>
      </x14:conditionalFormattings>
    </ext>
    <ext xmlns:x14="http://schemas.microsoft.com/office/spreadsheetml/2009/9/main" uri="{CCE6A557-97BC-4b89-ADB6-D9C93CAAB3DF}">
      <x14:dataValidations xmlns:xm="http://schemas.microsoft.com/office/excel/2006/main" xWindow="738" yWindow="662" count="33">
        <x14:dataValidation type="list" allowBlank="1" showInputMessage="1" showErrorMessage="1" promptTitle="Wybierz" prompt="właściwe" xr:uid="{00000000-0002-0000-0100-000023000000}">
          <x14:formula1>
            <xm:f>Słowniki!$W$5:$W$6</xm:f>
          </x14:formula1>
          <xm:sqref>A158:AL158</xm:sqref>
        </x14:dataValidation>
        <x14:dataValidation type="list" allowBlank="1" showInputMessage="1" showErrorMessage="1" promptTitle="Wybierz" prompt="beneficjenta" xr:uid="{00000000-0002-0000-0100-000024000000}">
          <x14:formula1>
            <xm:f>Słowniki!$A$3:$A$7</xm:f>
          </x14:formula1>
          <xm:sqref>B17:AL17</xm:sqref>
        </x14:dataValidation>
        <x14:dataValidation type="list" allowBlank="1" showInputMessage="1" showErrorMessage="1" promptTitle="Wybierz" prompt="właściwe" xr:uid="{00000000-0002-0000-0100-000025000000}">
          <x14:formula1>
            <xm:f>Słowniki!$H$2:$H$5</xm:f>
          </x14:formula1>
          <xm:sqref>B90:AL90</xm:sqref>
        </x14:dataValidation>
        <x14:dataValidation type="list" allowBlank="1" showInputMessage="1" promptTitle="Wprowadź" prompt="dane lub wybierz nie dotyczy" xr:uid="{00000000-0002-0000-0100-000026000000}">
          <x14:formula1>
            <xm:f>Słowniki!$F$26</xm:f>
          </x14:formula1>
          <xm:sqref>B34:AL34 B36:AL36</xm:sqref>
        </x14:dataValidation>
        <x14:dataValidation type="list" allowBlank="1" showInputMessage="1" showErrorMessage="1" promptTitle="Wybierz" prompt="właściwe" xr:uid="{00000000-0002-0000-0100-000027000000}">
          <x14:formula1>
            <xm:f>Słowniki!$E$169:$E$170</xm:f>
          </x14:formula1>
          <xm:sqref>T151:AJ151</xm:sqref>
        </x14:dataValidation>
        <x14:dataValidation type="list" allowBlank="1" showInputMessage="1" showErrorMessage="1" promptTitle="Wybierz" prompt="właściwe" xr:uid="{00000000-0002-0000-0100-000028000000}">
          <x14:formula1>
            <xm:f>Słowniki!$AO$1:$AO$2</xm:f>
          </x14:formula1>
          <xm:sqref>B42:AL42</xm:sqref>
        </x14:dataValidation>
        <x14:dataValidation type="list" allowBlank="1" showInputMessage="1" showErrorMessage="1" promptTitle="Wprowadź" prompt="opcjonalnie dla przedsięwźięć mieszanych" xr:uid="{00000000-0002-0000-0100-000029000000}">
          <x14:formula1>
            <xm:f>Słowniki!$F$3:$F$5</xm:f>
          </x14:formula1>
          <xm:sqref>A82 T82</xm:sqref>
        </x14:dataValidation>
        <x14:dataValidation type="list" allowBlank="1" showInputMessage="1" showErrorMessage="1" promptTitle="Wybierz" prompt="właściwe" xr:uid="{00000000-0002-0000-0100-00002C000000}">
          <x14:formula1>
            <xm:f>Słowniki!$Z$3:$Z$4</xm:f>
          </x14:formula1>
          <xm:sqref>A166:AL166</xm:sqref>
        </x14:dataValidation>
        <x14:dataValidation type="list" allowBlank="1" showInputMessage="1" showErrorMessage="1" promptTitle="Wybierz" prompt="właściwe" xr:uid="{00000000-0002-0000-0100-00002D000000}">
          <x14:formula1>
            <xm:f>Słowniki!$C$3:$C$4</xm:f>
          </x14:formula1>
          <xm:sqref>AB66:AL67 AB7:AE7 N7:P7</xm:sqref>
        </x14:dataValidation>
        <x14:dataValidation type="list" allowBlank="1" showInputMessage="1" showErrorMessage="1" promptTitle="Wybierz" prompt="właściwe" xr:uid="{00000000-0002-0000-0100-00002E000000}">
          <x14:formula1>
            <xm:f>Słowniki!$D$2</xm:f>
          </x14:formula1>
          <xm:sqref>A75:AL75</xm:sqref>
        </x14:dataValidation>
        <x14:dataValidation type="list" allowBlank="1" showInputMessage="1" showErrorMessage="1" promptTitle="Wybierz" prompt="właściwe" xr:uid="{00000000-0002-0000-0100-00002F000000}">
          <x14:formula1>
            <xm:f>Słowniki!$U$1:$U$2</xm:f>
          </x14:formula1>
          <xm:sqref>A103:AL103</xm:sqref>
        </x14:dataValidation>
        <x14:dataValidation type="list" allowBlank="1" showInputMessage="1" showErrorMessage="1" promptTitle="Wybierz" prompt="właściwe" xr:uid="{00000000-0002-0000-0100-000030000000}">
          <x14:formula1>
            <xm:f>Słowniki!$U$3:$U$4</xm:f>
          </x14:formula1>
          <xm:sqref>A105:AL105</xm:sqref>
        </x14:dataValidation>
        <x14:dataValidation type="list" allowBlank="1" showInputMessage="1" showErrorMessage="1" promptTitle="Wybierz" prompt="właściwe" xr:uid="{00000000-0002-0000-0100-000031000000}">
          <x14:formula1>
            <xm:f>Słowniki!$U$5:$U$6</xm:f>
          </x14:formula1>
          <xm:sqref>A107:AL107</xm:sqref>
        </x14:dataValidation>
        <x14:dataValidation type="list" allowBlank="1" showInputMessage="1" showErrorMessage="1" promptTitle="Wybierz" prompt="właściwe" xr:uid="{00000000-0002-0000-0100-000032000000}">
          <x14:formula1>
            <xm:f>Słowniki!$W$1:$W$2</xm:f>
          </x14:formula1>
          <xm:sqref>A154:AL154</xm:sqref>
        </x14:dataValidation>
        <x14:dataValidation type="list" allowBlank="1" showInputMessage="1" showErrorMessage="1" promptTitle="Wybierz" prompt="właściwe" xr:uid="{00000000-0002-0000-0100-000033000000}">
          <x14:formula1>
            <xm:f>Słowniki!$W$3:$W$4</xm:f>
          </x14:formula1>
          <xm:sqref>A156:AL156</xm:sqref>
        </x14:dataValidation>
        <x14:dataValidation type="list" allowBlank="1" showInputMessage="1" showErrorMessage="1" promptTitle="Wybierz" prompt="właściwe" xr:uid="{00000000-0002-0000-0100-000034000000}">
          <x14:formula1>
            <xm:f>Słowniki!$Y$1:$Y$5</xm:f>
          </x14:formula1>
          <xm:sqref>A160:AL160</xm:sqref>
        </x14:dataValidation>
        <x14:dataValidation type="list" allowBlank="1" showInputMessage="1" showErrorMessage="1" promptTitle="Wybierz" prompt="właściwe" xr:uid="{00000000-0002-0000-0100-000035000000}">
          <x14:formula1>
            <xm:f>Słowniki!$Z$1:$Z$2</xm:f>
          </x14:formula1>
          <xm:sqref>A164:AL164</xm:sqref>
        </x14:dataValidation>
        <x14:dataValidation type="list" allowBlank="1" showInputMessage="1" showErrorMessage="1" promptTitle="Wybierz" prompt="właściwe" xr:uid="{00000000-0002-0000-0100-000036000000}">
          <x14:formula1>
            <xm:f>Słowniki!$AC$4:$AC$7</xm:f>
          </x14:formula1>
          <xm:sqref>A171:AL171</xm:sqref>
        </x14:dataValidation>
        <x14:dataValidation type="list" errorStyle="information" allowBlank="1" showInputMessage="1" showErrorMessage="1" xr:uid="{00000000-0002-0000-0100-000037000000}">
          <x14:formula1>
            <xm:f>Słowniki!$A$34:$A$39</xm:f>
          </x14:formula1>
          <xm:sqref>G126:K147</xm:sqref>
        </x14:dataValidation>
        <x14:dataValidation type="list" errorStyle="information" allowBlank="1" showInputMessage="1" showErrorMessage="1" promptTitle="Wprowadź" prompt="dane" xr:uid="{00000000-0002-0000-0100-000038000000}">
          <x14:formula1>
            <xm:f>Słowniki!$A$41:$A$43</xm:f>
          </x14:formula1>
          <xm:sqref>AA113:AL113</xm:sqref>
        </x14:dataValidation>
        <x14:dataValidation type="list" errorStyle="information" allowBlank="1" showInputMessage="1" showErrorMessage="1" promptTitle="Wprowadź" xr:uid="{00000000-0002-0000-0100-00003A000000}">
          <x14:formula1>
            <xm:f>Słowniki!$A$73</xm:f>
          </x14:formula1>
          <xm:sqref>T94:AD94</xm:sqref>
        </x14:dataValidation>
        <x14:dataValidation type="list" errorStyle="information" allowBlank="1" showInputMessage="1" showErrorMessage="1" promptTitle="Wprowadź " xr:uid="{00000000-0002-0000-0100-00003B000000}">
          <x14:formula1>
            <xm:f>Słowniki!$A$71</xm:f>
          </x14:formula1>
          <xm:sqref>I94:S94</xm:sqref>
        </x14:dataValidation>
        <x14:dataValidation type="list" allowBlank="1" showErrorMessage="1" promptTitle="Wybierz" prompt="właściwe" xr:uid="{00000000-0002-0000-0100-00003C000000}">
          <x14:formula1>
            <xm:f>Słowniki!$C$7:$C$10</xm:f>
          </x14:formula1>
          <xm:sqref>A76:AL76</xm:sqref>
        </x14:dataValidation>
        <x14:dataValidation type="list" allowBlank="1" showInputMessage="1" showErrorMessage="1" promptTitle="Wybierz" prompt="właściwe" xr:uid="{00000000-0002-0000-0100-00003D000000}">
          <x14:formula1>
            <xm:f>Słowniki!$F$2:$F$3</xm:f>
          </x14:formula1>
          <xm:sqref>A78:AL78</xm:sqref>
        </x14:dataValidation>
        <x14:dataValidation type="list" allowBlank="1" showErrorMessage="1" promptTitle="Wybierz" prompt="właściwy rodzaj" xr:uid="{00000000-0002-0000-0100-00003E000000}">
          <x14:formula1>
            <xm:f>Słowniki!$J$2:$J$2</xm:f>
          </x14:formula1>
          <xm:sqref>A91:AL91</xm:sqref>
        </x14:dataValidation>
        <x14:dataValidation type="list" allowBlank="1" showInputMessage="1" showErrorMessage="1" promptTitle="Wybierz" prompt="właściwe" xr:uid="{00000000-0002-0000-0100-00003F000000}">
          <x14:formula1>
            <xm:f>Słowniki!$W$10:$W$11</xm:f>
          </x14:formula1>
          <xm:sqref>A162:AL162</xm:sqref>
        </x14:dataValidation>
        <x14:dataValidation type="list" allowBlank="1" showInputMessage="1" showErrorMessage="1" promptTitle="Wybierz" prompt="właściwe" xr:uid="{00000000-0002-0000-0100-000040000000}">
          <x14:formula1>
            <xm:f>Słowniki!$W$12:$W$14</xm:f>
          </x14:formula1>
          <xm:sqref>A173:AL173</xm:sqref>
        </x14:dataValidation>
        <x14:dataValidation type="list" allowBlank="1" showInputMessage="1" showErrorMessage="1" promptTitle="Wybierz" prompt="właściwe" xr:uid="{00000000-0002-0000-0100-000041000000}">
          <x14:formula1>
            <xm:f>Słowniki!$W$15:$W$16</xm:f>
          </x14:formula1>
          <xm:sqref>A175:AL175</xm:sqref>
        </x14:dataValidation>
        <x14:dataValidation type="list" errorStyle="information" allowBlank="1" showInputMessage="1" showErrorMessage="1" promptTitle="Wybierz" prompt="właściwe" xr:uid="{36F60D7A-2BFC-448E-AA0F-6177B94E217A}">
          <x14:formula1>
            <xm:f>Słowniki!$A$46:$A$60</xm:f>
          </x14:formula1>
          <xm:sqref>B126:F147</xm:sqref>
        </x14:dataValidation>
        <x14:dataValidation type="list" allowBlank="1" showInputMessage="1" promptTitle="Wybierz" prompt="właściwe oświadczenie" xr:uid="{CA7FF7AB-4DC5-4AEE-B67B-F231AECFB61D}">
          <x14:formula1>
            <xm:f>Słowniki!$C$54:$C$58</xm:f>
          </x14:formula1>
          <xm:sqref>B73:AL73</xm:sqref>
        </x14:dataValidation>
        <x14:dataValidation type="list" allowBlank="1" showInputMessage="1" showErrorMessage="1" xr:uid="{67CD936E-A73B-42CF-9D8A-DEDC2B566A28}">
          <x14:formula1>
            <xm:f>Słowniki!$Y$9:$Y$10</xm:f>
          </x14:formula1>
          <xm:sqref>A179:AL179</xm:sqref>
        </x14:dataValidation>
        <x14:dataValidation type="list" allowBlank="1" showInputMessage="1" showErrorMessage="1" xr:uid="{F7C7C748-4FB7-4993-BA3E-7BB0DD94D853}">
          <x14:formula1>
            <xm:f>Słowniki!$Y$7:$Y$8</xm:f>
          </x14:formula1>
          <xm:sqref>A177:AL177</xm:sqref>
        </x14:dataValidation>
        <x14:dataValidation type="date" operator="greaterThan" allowBlank="1" showInputMessage="1" showErrorMessage="1" promptTitle="Wprowadź" prompt="datę w formacie rrrr-mm-dd_x000a_" xr:uid="{00000000-0002-0000-0100-000042000000}">
          <x14:formula1>
            <xm:f>Słowniki!AQ1</xm:f>
          </x14:formula1>
          <xm:sqref>B43:AL43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10"/>
  <dimension ref="A1:BB207"/>
  <sheetViews>
    <sheetView showGridLines="0" tabSelected="1" topLeftCell="A39" zoomScaleNormal="100" workbookViewId="0">
      <selection activeCell="AM43" sqref="AM43"/>
    </sheetView>
  </sheetViews>
  <sheetFormatPr defaultColWidth="9.33203125" defaultRowHeight="13.8" x14ac:dyDescent="0.25"/>
  <cols>
    <col min="1" max="1" width="3" style="60" customWidth="1"/>
    <col min="2" max="2" width="4" style="60" customWidth="1"/>
    <col min="3" max="3" width="2.33203125" style="60" customWidth="1"/>
    <col min="4" max="4" width="2.5546875" style="60" customWidth="1"/>
    <col min="5" max="5" width="2" style="60" customWidth="1"/>
    <col min="6" max="6" width="1.6640625" style="60" customWidth="1"/>
    <col min="7" max="7" width="1.44140625" style="60" customWidth="1"/>
    <col min="8" max="8" width="2.33203125" style="60" customWidth="1"/>
    <col min="9" max="9" width="2.44140625" style="60" customWidth="1"/>
    <col min="10" max="10" width="1.5546875" style="60" customWidth="1"/>
    <col min="11" max="11" width="1.6640625" style="60" customWidth="1"/>
    <col min="12" max="12" width="3.6640625" style="60" customWidth="1"/>
    <col min="13" max="13" width="0.6640625" style="60" customWidth="1"/>
    <col min="14" max="14" width="1.6640625" style="60" customWidth="1"/>
    <col min="15" max="15" width="2.33203125" style="60" customWidth="1"/>
    <col min="16" max="16" width="1.5546875" style="60" customWidth="1"/>
    <col min="17" max="17" width="2.44140625" style="60" customWidth="1"/>
    <col min="18" max="18" width="1.33203125" style="60" customWidth="1"/>
    <col min="19" max="19" width="1.5546875" style="60" customWidth="1"/>
    <col min="20" max="20" width="1.33203125" style="60" customWidth="1"/>
    <col min="21" max="21" width="1" style="60" customWidth="1"/>
    <col min="22" max="22" width="0.6640625" style="60" customWidth="1"/>
    <col min="23" max="23" width="3" style="60" customWidth="1"/>
    <col min="24" max="24" width="1.33203125" style="60" customWidth="1"/>
    <col min="25" max="25" width="1.44140625" style="60" customWidth="1"/>
    <col min="26" max="27" width="1.33203125" style="60" customWidth="1"/>
    <col min="28" max="28" width="2" style="60" customWidth="1"/>
    <col min="29" max="29" width="1" style="60" customWidth="1"/>
    <col min="30" max="31" width="1.6640625" style="60" customWidth="1"/>
    <col min="32" max="32" width="1.33203125" style="60" customWidth="1"/>
    <col min="33" max="33" width="1.6640625" style="60" customWidth="1"/>
    <col min="34" max="34" width="2.33203125" style="60" customWidth="1"/>
    <col min="35" max="35" width="1.6640625" style="60" customWidth="1"/>
    <col min="36" max="36" width="3.6640625" style="60" customWidth="1"/>
    <col min="37" max="37" width="9.33203125" style="60" customWidth="1"/>
    <col min="38" max="38" width="9.33203125" style="60"/>
    <col min="39" max="39" width="115.6640625" style="77" customWidth="1"/>
    <col min="40" max="41" width="10.6640625" style="61" bestFit="1" customWidth="1"/>
    <col min="42" max="42" width="10.44140625" style="60" bestFit="1" customWidth="1"/>
    <col min="43" max="16384" width="9.33203125" style="60"/>
  </cols>
  <sheetData>
    <row r="1" spans="1:54" ht="31.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75"/>
      <c r="AN1" s="70"/>
      <c r="AO1" s="70"/>
      <c r="AP1" s="70"/>
      <c r="AQ1" s="70"/>
      <c r="AR1" s="70"/>
      <c r="AS1" s="70"/>
      <c r="AT1" s="70"/>
      <c r="AU1" s="70"/>
      <c r="AV1" s="70"/>
      <c r="AW1" s="70"/>
      <c r="AX1" s="70"/>
      <c r="AY1" s="70"/>
      <c r="AZ1" s="70"/>
      <c r="BA1" s="70"/>
      <c r="BB1" s="70"/>
    </row>
    <row r="2" spans="1:54" x14ac:dyDescent="0.25">
      <c r="A2" s="69" t="s">
        <v>123</v>
      </c>
      <c r="B2" s="69"/>
      <c r="C2" s="69"/>
      <c r="D2" s="69"/>
      <c r="E2" s="69"/>
      <c r="F2" s="69"/>
      <c r="G2" s="69"/>
      <c r="H2" s="69"/>
      <c r="I2" s="69"/>
      <c r="J2" s="69"/>
      <c r="K2" s="69"/>
      <c r="L2" s="69"/>
      <c r="M2" s="69"/>
      <c r="N2" s="69"/>
      <c r="O2" s="69"/>
      <c r="P2" s="69"/>
      <c r="Q2" s="70"/>
      <c r="R2" s="70"/>
      <c r="S2" s="70"/>
      <c r="T2" s="70"/>
      <c r="U2" s="71"/>
      <c r="V2" s="71"/>
      <c r="W2" s="71"/>
      <c r="X2" s="71"/>
      <c r="Y2" s="72"/>
      <c r="Z2" s="71"/>
      <c r="AB2" s="71"/>
      <c r="AC2" s="71"/>
      <c r="AD2" s="71"/>
      <c r="AE2" s="71"/>
      <c r="AF2" s="71"/>
      <c r="AG2" s="71"/>
      <c r="AH2" s="71"/>
      <c r="AI2" s="71"/>
      <c r="AJ2" s="71"/>
      <c r="AK2" s="71"/>
      <c r="AL2" s="71"/>
      <c r="AM2" s="75"/>
      <c r="AN2" s="70"/>
      <c r="AO2" s="70"/>
      <c r="AP2" s="70"/>
      <c r="AQ2" s="70"/>
      <c r="AR2" s="70"/>
      <c r="AS2" s="70"/>
      <c r="AT2" s="70"/>
      <c r="AU2" s="70"/>
      <c r="AV2" s="70"/>
      <c r="AW2" s="70"/>
      <c r="AX2" s="70"/>
      <c r="AY2" s="70"/>
      <c r="AZ2" s="70"/>
      <c r="BA2" s="70"/>
      <c r="BB2" s="70"/>
    </row>
    <row r="3" spans="1:54" x14ac:dyDescent="0.25">
      <c r="AM3" s="82" t="s">
        <v>160</v>
      </c>
    </row>
    <row r="4" spans="1:54" ht="14.4" x14ac:dyDescent="0.3">
      <c r="A4" s="512"/>
      <c r="B4" s="513"/>
      <c r="C4" s="513"/>
      <c r="D4" s="513"/>
      <c r="E4" s="513"/>
      <c r="F4" s="513"/>
      <c r="G4" s="89"/>
      <c r="H4" s="514">
        <f ca="1">TODAY()</f>
        <v>46184</v>
      </c>
      <c r="I4" s="514"/>
      <c r="J4" s="514"/>
      <c r="K4" s="514"/>
      <c r="L4" s="514"/>
      <c r="M4" s="88"/>
      <c r="N4"/>
      <c r="O4"/>
      <c r="P4"/>
      <c r="Q4"/>
      <c r="R4"/>
      <c r="S4"/>
      <c r="T4"/>
      <c r="U4"/>
      <c r="V4"/>
      <c r="W4"/>
      <c r="X4"/>
      <c r="Y4"/>
      <c r="Z4"/>
      <c r="AA4"/>
      <c r="AB4"/>
      <c r="AC4" s="88"/>
      <c r="AD4" s="88"/>
      <c r="AE4" s="88"/>
      <c r="AF4" s="88"/>
      <c r="AG4" s="88"/>
      <c r="AH4" s="88"/>
      <c r="AI4" s="88"/>
      <c r="AJ4" s="88"/>
      <c r="AK4" s="88"/>
      <c r="AL4" s="88"/>
      <c r="AM4" s="76"/>
    </row>
    <row r="5" spans="1:54" ht="14.4" x14ac:dyDescent="0.3">
      <c r="A5" s="515" t="s">
        <v>125</v>
      </c>
      <c r="B5" s="515"/>
      <c r="C5" s="515"/>
      <c r="D5" s="515"/>
      <c r="E5" s="515"/>
      <c r="F5" s="515"/>
      <c r="G5" s="151"/>
      <c r="H5" s="515" t="s">
        <v>124</v>
      </c>
      <c r="I5" s="515"/>
      <c r="J5" s="515"/>
      <c r="K5" s="515"/>
      <c r="L5" s="515"/>
      <c r="M5" s="148"/>
      <c r="N5"/>
      <c r="O5"/>
      <c r="P5"/>
      <c r="Q5"/>
      <c r="R5"/>
      <c r="S5"/>
      <c r="T5"/>
      <c r="U5"/>
      <c r="V5"/>
      <c r="W5"/>
      <c r="X5"/>
      <c r="Y5"/>
      <c r="Z5"/>
      <c r="AA5"/>
      <c r="AB5"/>
      <c r="AC5" s="148"/>
      <c r="AD5" s="148"/>
      <c r="AE5" s="148"/>
      <c r="AF5" s="148"/>
      <c r="AG5" s="148"/>
      <c r="AH5" s="148"/>
      <c r="AI5" s="148"/>
      <c r="AJ5" s="148"/>
      <c r="AK5" s="148"/>
      <c r="AL5" s="148"/>
      <c r="AM5" s="76"/>
    </row>
    <row r="6" spans="1:54" ht="14.4" x14ac:dyDescent="0.3">
      <c r="A6" s="153"/>
      <c r="B6" s="153"/>
      <c r="C6" s="153"/>
      <c r="D6" s="153"/>
      <c r="E6" s="153"/>
      <c r="F6" s="153"/>
      <c r="G6" s="151"/>
      <c r="H6" s="148"/>
      <c r="I6" s="148"/>
      <c r="J6" s="148"/>
      <c r="K6" s="148"/>
      <c r="L6" s="148"/>
      <c r="M6" s="148"/>
      <c r="N6"/>
      <c r="O6"/>
      <c r="P6"/>
      <c r="Q6"/>
      <c r="R6"/>
      <c r="S6"/>
      <c r="T6"/>
      <c r="U6"/>
      <c r="V6"/>
      <c r="W6"/>
      <c r="X6"/>
      <c r="Y6"/>
      <c r="Z6"/>
      <c r="AA6"/>
      <c r="AB6"/>
      <c r="AC6" s="148"/>
      <c r="AD6" s="148"/>
      <c r="AE6" s="148"/>
      <c r="AF6" s="148"/>
      <c r="AG6" s="148"/>
      <c r="AH6" s="148"/>
      <c r="AI6" s="148"/>
      <c r="AJ6" s="148"/>
      <c r="AK6" s="148"/>
      <c r="AL6" s="148"/>
      <c r="AM6" s="76"/>
    </row>
    <row r="7" spans="1:54" ht="19.5"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row>
    <row r="8" spans="1:54" ht="40.200000000000003"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ht="115.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row>
    <row r="10" spans="1:54" ht="14.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76"/>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76"/>
    </row>
    <row r="12" spans="1:54" ht="14.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c r="AM12" s="7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76"/>
    </row>
    <row r="14" spans="1:54"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76"/>
    </row>
    <row r="15" spans="1:54" ht="14.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c r="AM15" s="76"/>
    </row>
    <row r="16" spans="1:54" ht="14.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76"/>
    </row>
    <row r="17" spans="1:39" ht="26.1" customHeight="1" x14ac:dyDescent="0.25">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row>
    <row r="18" spans="1:39" ht="14.4"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ht="14.4" x14ac:dyDescent="0.25">
      <c r="A19" s="326"/>
      <c r="B19" s="36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row>
    <row r="20" spans="1:39" ht="27"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ht="14.4"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46.95"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ht="14.4"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ht="14.4"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ht="14.4"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row>
    <row r="26" spans="1:39" ht="14.4"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row>
    <row r="27" spans="1:39" ht="14.4"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row>
    <row r="28" spans="1:39" ht="14.4" x14ac:dyDescent="0.25">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row>
    <row r="29" spans="1:39" ht="14.4" x14ac:dyDescent="0.25">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row>
    <row r="30" spans="1:39" ht="14.4" x14ac:dyDescent="0.25">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row>
    <row r="31" spans="1:39" ht="14.4" x14ac:dyDescent="0.25">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row>
    <row r="32" spans="1:39" ht="14.4" x14ac:dyDescent="0.25">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101" t="s">
        <v>174</v>
      </c>
    </row>
    <row r="33" spans="1:43" ht="14.4" x14ac:dyDescent="0.25">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101"/>
    </row>
    <row r="34" spans="1:43" ht="14.4" x14ac:dyDescent="0.25">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row>
    <row r="35" spans="1:43" ht="14.4" x14ac:dyDescent="0.25">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76"/>
    </row>
    <row r="36" spans="1:43" ht="14.4" x14ac:dyDescent="0.25">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76"/>
    </row>
    <row r="37" spans="1:43" ht="37.200000000000003" customHeight="1" x14ac:dyDescent="0.25">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60"/>
    </row>
    <row r="38" spans="1:43" ht="14.4"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60"/>
    </row>
    <row r="39" spans="1:43" ht="14.4" x14ac:dyDescent="0.25">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c r="AM39" s="60"/>
    </row>
    <row r="40" spans="1:43" ht="14.4" x14ac:dyDescent="0.25">
      <c r="A40" s="326" t="s">
        <v>1</v>
      </c>
      <c r="B40" s="519" t="s">
        <v>176</v>
      </c>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c r="AM40" s="60"/>
    </row>
    <row r="41" spans="1:43" ht="14.4" x14ac:dyDescent="0.3">
      <c r="A41" s="326"/>
      <c r="B41" s="353">
        <f>T174</f>
        <v>0</v>
      </c>
      <c r="C41" s="353"/>
      <c r="D41" s="353"/>
      <c r="E41" s="353"/>
      <c r="F41" s="353"/>
      <c r="G41" s="353"/>
      <c r="H41" s="353"/>
      <c r="I41" s="353"/>
      <c r="J41" s="353"/>
      <c r="K41" s="353"/>
      <c r="L41" s="353"/>
      <c r="M41" s="353"/>
      <c r="N41" s="353"/>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100" t="s">
        <v>213</v>
      </c>
    </row>
    <row r="42" spans="1:43" ht="28.5" customHeight="1" x14ac:dyDescent="0.25">
      <c r="A42" s="521" t="s">
        <v>6</v>
      </c>
      <c r="B42" s="520" t="s">
        <v>1021</v>
      </c>
      <c r="C42" s="520"/>
      <c r="D42" s="520"/>
      <c r="E42" s="520"/>
      <c r="F42" s="520"/>
      <c r="G42" s="520"/>
      <c r="H42" s="520"/>
      <c r="I42" s="520"/>
      <c r="J42" s="520"/>
      <c r="K42" s="520"/>
      <c r="L42" s="520"/>
      <c r="M42" s="520"/>
      <c r="N42" s="520"/>
      <c r="O42" s="520"/>
      <c r="P42" s="520"/>
      <c r="Q42" s="520"/>
      <c r="R42" s="520"/>
      <c r="S42" s="520"/>
      <c r="T42" s="520"/>
      <c r="U42" s="520"/>
      <c r="V42" s="520"/>
      <c r="W42" s="520"/>
      <c r="X42" s="520"/>
      <c r="Y42" s="520"/>
      <c r="Z42" s="520"/>
      <c r="AA42" s="520"/>
      <c r="AB42" s="520"/>
      <c r="AC42" s="520"/>
      <c r="AD42" s="520"/>
      <c r="AE42" s="520"/>
      <c r="AF42" s="520"/>
      <c r="AG42" s="520"/>
      <c r="AH42" s="520"/>
      <c r="AI42" s="520"/>
      <c r="AJ42" s="520"/>
      <c r="AK42" s="520"/>
      <c r="AL42" s="520"/>
      <c r="AM42" s="76"/>
    </row>
    <row r="43" spans="1:43" ht="14.7" customHeight="1" x14ac:dyDescent="0.25">
      <c r="A43" s="326"/>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row>
    <row r="44" spans="1:43" ht="52.5" customHeight="1" x14ac:dyDescent="0.25">
      <c r="A44" s="521" t="s">
        <v>7</v>
      </c>
      <c r="B44" s="522" t="s">
        <v>886</v>
      </c>
      <c r="C44" s="523"/>
      <c r="D44" s="523"/>
      <c r="E44" s="523"/>
      <c r="F44" s="523"/>
      <c r="G44" s="523"/>
      <c r="H44" s="523"/>
      <c r="I44" s="523"/>
      <c r="J44" s="523"/>
      <c r="K44" s="523"/>
      <c r="L44" s="523"/>
      <c r="M44" s="523"/>
      <c r="N44" s="523"/>
      <c r="O44" s="523"/>
      <c r="P44" s="523"/>
      <c r="Q44" s="523"/>
      <c r="R44" s="523"/>
      <c r="S44" s="523"/>
      <c r="T44" s="523"/>
      <c r="U44" s="523"/>
      <c r="V44" s="523"/>
      <c r="W44" s="523"/>
      <c r="X44" s="523"/>
      <c r="Y44" s="523"/>
      <c r="Z44" s="523"/>
      <c r="AA44" s="523"/>
      <c r="AB44" s="523"/>
      <c r="AC44" s="523"/>
      <c r="AD44" s="523"/>
      <c r="AE44" s="523"/>
      <c r="AF44" s="523"/>
      <c r="AG44" s="523"/>
      <c r="AH44" s="523"/>
      <c r="AI44" s="523"/>
      <c r="AJ44" s="523"/>
      <c r="AK44" s="523"/>
      <c r="AL44" s="524"/>
      <c r="AM44" s="76"/>
      <c r="AQ44" s="62"/>
    </row>
    <row r="45" spans="1:43" ht="14.4" x14ac:dyDescent="0.25">
      <c r="A45" s="32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c r="AQ45" s="62"/>
    </row>
    <row r="46" spans="1:43" ht="14.4" x14ac:dyDescent="0.25">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c r="AM46" s="76"/>
      <c r="AQ46" s="62"/>
    </row>
    <row r="47" spans="1:43" ht="14.7" customHeight="1" x14ac:dyDescent="0.25">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c r="AM47" s="76" t="s">
        <v>631</v>
      </c>
      <c r="AQ47" s="62"/>
    </row>
    <row r="48" spans="1:43" ht="14.7"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c r="AM48" s="76" t="s">
        <v>163</v>
      </c>
      <c r="AQ48" s="63"/>
    </row>
    <row r="49" spans="1:43" ht="31.95"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f>B$41</f>
        <v>0</v>
      </c>
      <c r="AA49" s="341"/>
      <c r="AB49" s="341"/>
      <c r="AC49" s="341"/>
      <c r="AD49" s="341"/>
      <c r="AE49" s="341"/>
      <c r="AF49" s="341"/>
      <c r="AG49" s="341"/>
      <c r="AH49" s="341"/>
      <c r="AI49" s="341"/>
      <c r="AJ49" s="341"/>
      <c r="AK49" s="341" t="e">
        <f>ROUND(Z49/Z$51,5)</f>
        <v>#DIV/0!</v>
      </c>
      <c r="AL49" s="341"/>
      <c r="AM49" s="76"/>
      <c r="AQ49" s="61"/>
    </row>
    <row r="50" spans="1:43"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M50" s="76"/>
      <c r="AQ50" s="61"/>
    </row>
    <row r="51" spans="1:43"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422">
        <f>SUM(Z48:AJ50)</f>
        <v>0</v>
      </c>
      <c r="AA51" s="422"/>
      <c r="AB51" s="422"/>
      <c r="AC51" s="422"/>
      <c r="AD51" s="422"/>
      <c r="AE51" s="422"/>
      <c r="AF51" s="422"/>
      <c r="AG51" s="422"/>
      <c r="AH51" s="422"/>
      <c r="AI51" s="422"/>
      <c r="AJ51" s="422"/>
      <c r="AK51" s="341" t="e">
        <f>SUM(AK48:AL50)</f>
        <v>#DIV/0!</v>
      </c>
      <c r="AL51" s="341"/>
      <c r="AM51" s="77" t="s">
        <v>1150</v>
      </c>
      <c r="AQ51" s="61"/>
    </row>
    <row r="52" spans="1:43" ht="14.4" x14ac:dyDescent="0.3">
      <c r="A52" s="150" t="s">
        <v>69</v>
      </c>
      <c r="B52" s="517" t="s">
        <v>70</v>
      </c>
      <c r="C52" s="517"/>
      <c r="D52" s="517"/>
      <c r="E52" s="517"/>
      <c r="F52" s="517"/>
      <c r="G52" s="517"/>
      <c r="H52" s="517"/>
      <c r="I52" s="517"/>
      <c r="J52" s="517"/>
      <c r="K52" s="517"/>
      <c r="L52" s="517"/>
      <c r="M52" s="517"/>
      <c r="N52" s="517"/>
      <c r="O52" s="517"/>
      <c r="P52" s="517"/>
      <c r="Q52" s="517"/>
      <c r="R52" s="517"/>
      <c r="S52" s="517"/>
      <c r="T52" s="517"/>
      <c r="U52" s="517"/>
      <c r="V52" s="517"/>
      <c r="W52" s="517"/>
      <c r="X52" s="517"/>
      <c r="Y52" s="517"/>
      <c r="Z52" s="517"/>
      <c r="AA52" s="517"/>
      <c r="AB52" s="517"/>
      <c r="AC52" s="517"/>
      <c r="AD52" s="517"/>
      <c r="AE52" s="517"/>
      <c r="AF52" s="517"/>
      <c r="AG52" s="517"/>
      <c r="AH52" s="517"/>
      <c r="AI52" s="517"/>
      <c r="AJ52" s="517"/>
      <c r="AK52" s="517"/>
      <c r="AL52" s="518"/>
      <c r="AM52" s="76"/>
    </row>
    <row r="53" spans="1:43" ht="67.8" customHeight="1" x14ac:dyDescent="0.25">
      <c r="A53" s="508" t="s">
        <v>1083</v>
      </c>
      <c r="B53" s="508"/>
      <c r="C53" s="508"/>
      <c r="D53" s="508"/>
      <c r="E53" s="508"/>
      <c r="F53" s="508"/>
      <c r="G53" s="508"/>
      <c r="H53" s="508"/>
      <c r="I53" s="508"/>
      <c r="J53" s="508"/>
      <c r="K53" s="508"/>
      <c r="L53" s="508"/>
      <c r="M53" s="508"/>
      <c r="N53" s="508"/>
      <c r="O53" s="508"/>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08"/>
      <c r="AM53" s="258" t="s">
        <v>1160</v>
      </c>
    </row>
    <row r="54" spans="1:43" ht="48.45" customHeight="1" x14ac:dyDescent="0.25">
      <c r="A54" s="508" t="s">
        <v>1084</v>
      </c>
      <c r="B54" s="508"/>
      <c r="C54" s="508"/>
      <c r="D54" s="508"/>
      <c r="E54" s="508"/>
      <c r="F54" s="508"/>
      <c r="G54" s="508"/>
      <c r="H54" s="508"/>
      <c r="I54" s="508"/>
      <c r="J54" s="508"/>
      <c r="K54" s="508"/>
      <c r="L54" s="508"/>
      <c r="M54" s="508"/>
      <c r="N54" s="508"/>
      <c r="O54" s="508"/>
      <c r="P54" s="508"/>
      <c r="Q54" s="508"/>
      <c r="R54" s="508"/>
      <c r="S54" s="508"/>
      <c r="T54" s="508"/>
      <c r="U54" s="508"/>
      <c r="V54" s="508"/>
      <c r="W54" s="508"/>
      <c r="X54" s="508"/>
      <c r="Y54" s="508"/>
      <c r="Z54" s="508"/>
      <c r="AA54" s="508"/>
      <c r="AB54" s="508"/>
      <c r="AC54" s="508"/>
      <c r="AD54" s="508"/>
      <c r="AE54" s="508"/>
      <c r="AF54" s="508"/>
      <c r="AG54" s="508"/>
      <c r="AH54" s="508"/>
      <c r="AI54" s="508"/>
      <c r="AJ54" s="508"/>
      <c r="AK54" s="508"/>
      <c r="AL54" s="508"/>
    </row>
    <row r="55" spans="1:43" s="64" customFormat="1" ht="14.4" x14ac:dyDescent="0.3">
      <c r="A55" s="150" t="s">
        <v>90</v>
      </c>
      <c r="B55" s="328" t="s">
        <v>674</v>
      </c>
      <c r="C55" s="328"/>
      <c r="D55" s="328"/>
      <c r="E55" s="328"/>
      <c r="F55" s="328"/>
      <c r="G55" s="328"/>
      <c r="H55" s="328"/>
      <c r="I55" s="328"/>
      <c r="J55" s="328"/>
      <c r="K55" s="328"/>
      <c r="L55" s="328"/>
      <c r="M55" s="328"/>
      <c r="N55" s="328"/>
      <c r="O55" s="328"/>
      <c r="P55" s="328"/>
      <c r="Q55" s="328"/>
      <c r="R55" s="328"/>
      <c r="S55" s="328"/>
      <c r="T55" s="328"/>
      <c r="U55" s="328"/>
      <c r="V55" s="328"/>
      <c r="W55" s="328"/>
      <c r="X55" s="328"/>
      <c r="Y55" s="328"/>
      <c r="Z55" s="328"/>
      <c r="AA55" s="328"/>
      <c r="AB55" s="328"/>
      <c r="AC55" s="328"/>
      <c r="AD55" s="328"/>
      <c r="AE55" s="328"/>
      <c r="AF55" s="328"/>
      <c r="AG55" s="328"/>
      <c r="AH55" s="328"/>
      <c r="AI55" s="328"/>
      <c r="AJ55" s="328"/>
      <c r="AK55" s="328"/>
      <c r="AL55" s="328"/>
      <c r="AM55" s="78"/>
      <c r="AN55" s="65"/>
      <c r="AO55" s="65"/>
    </row>
    <row r="56" spans="1:43" ht="48" customHeight="1" x14ac:dyDescent="0.25">
      <c r="A56" s="508" t="s">
        <v>1025</v>
      </c>
      <c r="B56" s="508"/>
      <c r="C56" s="508"/>
      <c r="D56" s="508"/>
      <c r="E56" s="508"/>
      <c r="F56" s="508"/>
      <c r="G56" s="508"/>
      <c r="H56" s="508"/>
      <c r="I56" s="508"/>
      <c r="J56" s="508"/>
      <c r="K56" s="508"/>
      <c r="L56" s="508"/>
      <c r="M56" s="508"/>
      <c r="N56" s="508"/>
      <c r="O56" s="508"/>
      <c r="P56" s="508"/>
      <c r="Q56" s="508"/>
      <c r="R56" s="508"/>
      <c r="S56" s="508"/>
      <c r="T56" s="508"/>
      <c r="U56" s="508"/>
      <c r="V56" s="508"/>
      <c r="W56" s="508"/>
      <c r="X56" s="508"/>
      <c r="Y56" s="508"/>
      <c r="Z56" s="508"/>
      <c r="AA56" s="508"/>
      <c r="AB56" s="508"/>
      <c r="AC56" s="508"/>
      <c r="AD56" s="508"/>
      <c r="AE56" s="508"/>
      <c r="AF56" s="508"/>
      <c r="AG56" s="508"/>
      <c r="AH56" s="508"/>
      <c r="AI56" s="508"/>
      <c r="AJ56" s="508"/>
      <c r="AK56" s="508"/>
      <c r="AL56" s="508"/>
      <c r="AM56" s="290" t="s">
        <v>993</v>
      </c>
    </row>
    <row r="57" spans="1:43" ht="15" customHeight="1" x14ac:dyDescent="0.25">
      <c r="A57" s="509">
        <f>A59+T59</f>
        <v>0</v>
      </c>
      <c r="B57" s="510"/>
      <c r="C57" s="510"/>
      <c r="D57" s="510"/>
      <c r="E57" s="510"/>
      <c r="F57" s="510"/>
      <c r="G57" s="510"/>
      <c r="H57" s="510"/>
      <c r="I57" s="510"/>
      <c r="J57" s="510"/>
      <c r="K57" s="510"/>
      <c r="L57" s="510"/>
      <c r="M57" s="510"/>
      <c r="N57" s="510"/>
      <c r="O57" s="510"/>
      <c r="P57" s="510"/>
      <c r="Q57" s="510"/>
      <c r="R57" s="510"/>
      <c r="S57" s="510"/>
      <c r="T57" s="510"/>
      <c r="U57" s="510"/>
      <c r="V57" s="510"/>
      <c r="W57" s="510"/>
      <c r="X57" s="510"/>
      <c r="Y57" s="510"/>
      <c r="Z57" s="510"/>
      <c r="AA57" s="510"/>
      <c r="AB57" s="510"/>
      <c r="AC57" s="510"/>
      <c r="AD57" s="510"/>
      <c r="AE57" s="510"/>
      <c r="AF57" s="510"/>
      <c r="AG57" s="510"/>
      <c r="AH57" s="510"/>
      <c r="AI57" s="510"/>
      <c r="AJ57" s="510"/>
      <c r="AK57" s="510"/>
      <c r="AL57" s="511"/>
      <c r="AM57" s="290"/>
    </row>
    <row r="58" spans="1:43" ht="15" customHeight="1" x14ac:dyDescent="0.25">
      <c r="A58" s="446" t="s">
        <v>240</v>
      </c>
      <c r="B58" s="447"/>
      <c r="C58" s="447"/>
      <c r="D58" s="447"/>
      <c r="E58" s="447"/>
      <c r="F58" s="447"/>
      <c r="G58" s="447"/>
      <c r="H58" s="447"/>
      <c r="I58" s="447"/>
      <c r="J58" s="447"/>
      <c r="K58" s="447"/>
      <c r="L58" s="447"/>
      <c r="M58" s="447"/>
      <c r="N58" s="447"/>
      <c r="O58" s="447"/>
      <c r="P58" s="447"/>
      <c r="Q58" s="447"/>
      <c r="R58" s="447"/>
      <c r="S58" s="448"/>
      <c r="T58" s="446" t="s">
        <v>241</v>
      </c>
      <c r="U58" s="447"/>
      <c r="V58" s="447"/>
      <c r="W58" s="447"/>
      <c r="X58" s="447"/>
      <c r="Y58" s="447"/>
      <c r="Z58" s="447"/>
      <c r="AA58" s="447"/>
      <c r="AB58" s="447"/>
      <c r="AC58" s="447"/>
      <c r="AD58" s="447"/>
      <c r="AE58" s="447"/>
      <c r="AF58" s="447"/>
      <c r="AG58" s="447"/>
      <c r="AH58" s="447"/>
      <c r="AI58" s="447"/>
      <c r="AJ58" s="447"/>
      <c r="AK58" s="447"/>
      <c r="AL58" s="447"/>
      <c r="AM58" s="290"/>
    </row>
    <row r="59" spans="1:43" ht="14.4" x14ac:dyDescent="0.25">
      <c r="A59" s="416"/>
      <c r="B59" s="416"/>
      <c r="C59" s="416"/>
      <c r="D59" s="416"/>
      <c r="E59" s="416"/>
      <c r="F59" s="416"/>
      <c r="G59" s="416"/>
      <c r="H59" s="416"/>
      <c r="I59" s="416"/>
      <c r="J59" s="416"/>
      <c r="K59" s="416"/>
      <c r="L59" s="416"/>
      <c r="M59" s="416"/>
      <c r="N59" s="416"/>
      <c r="O59" s="416"/>
      <c r="P59" s="416"/>
      <c r="Q59" s="416"/>
      <c r="R59" s="416"/>
      <c r="S59" s="416"/>
      <c r="T59" s="416"/>
      <c r="U59" s="416"/>
      <c r="V59" s="416"/>
      <c r="W59" s="416"/>
      <c r="X59" s="416"/>
      <c r="Y59" s="416"/>
      <c r="Z59" s="416"/>
      <c r="AA59" s="416"/>
      <c r="AB59" s="416"/>
      <c r="AC59" s="416"/>
      <c r="AD59" s="416"/>
      <c r="AE59" s="416"/>
      <c r="AF59" s="416"/>
      <c r="AG59" s="416"/>
      <c r="AH59" s="416"/>
      <c r="AI59" s="416"/>
      <c r="AJ59" s="416"/>
      <c r="AK59" s="416"/>
      <c r="AL59" s="416"/>
      <c r="AM59" s="290"/>
    </row>
    <row r="60" spans="1:43" ht="14.4" x14ac:dyDescent="0.25">
      <c r="A60" s="525" t="s">
        <v>898</v>
      </c>
      <c r="B60" s="441"/>
      <c r="C60" s="441"/>
      <c r="D60" s="441"/>
      <c r="E60" s="441"/>
      <c r="F60" s="441"/>
      <c r="G60" s="441"/>
      <c r="H60" s="441"/>
      <c r="I60" s="441"/>
      <c r="J60" s="441"/>
      <c r="K60" s="441"/>
      <c r="L60" s="441"/>
      <c r="M60" s="441"/>
      <c r="N60" s="441"/>
      <c r="O60" s="441"/>
      <c r="P60" s="441"/>
      <c r="Q60" s="441"/>
      <c r="R60" s="441"/>
      <c r="S60" s="442"/>
      <c r="T60" s="361" t="s">
        <v>897</v>
      </c>
      <c r="U60" s="362"/>
      <c r="V60" s="362"/>
      <c r="W60" s="362"/>
      <c r="X60" s="362"/>
      <c r="Y60" s="362"/>
      <c r="Z60" s="362"/>
      <c r="AA60" s="362"/>
      <c r="AB60" s="362"/>
      <c r="AC60" s="362"/>
      <c r="AD60" s="362"/>
      <c r="AE60" s="362"/>
      <c r="AF60" s="362"/>
      <c r="AG60" s="362"/>
      <c r="AH60" s="362"/>
      <c r="AI60" s="362"/>
      <c r="AJ60" s="362"/>
      <c r="AK60" s="362"/>
      <c r="AL60" s="363"/>
      <c r="AM60" s="290"/>
    </row>
    <row r="61" spans="1:43" ht="14.4" x14ac:dyDescent="0.3">
      <c r="A61" s="410"/>
      <c r="B61" s="411"/>
      <c r="C61" s="411"/>
      <c r="D61" s="411"/>
      <c r="E61" s="411"/>
      <c r="F61" s="411"/>
      <c r="G61" s="411"/>
      <c r="H61" s="411"/>
      <c r="I61" s="411"/>
      <c r="J61" s="411"/>
      <c r="K61" s="411"/>
      <c r="L61" s="411"/>
      <c r="M61" s="411"/>
      <c r="N61" s="411"/>
      <c r="O61" s="411"/>
      <c r="P61" s="411"/>
      <c r="Q61" s="411"/>
      <c r="R61" s="411"/>
      <c r="S61" s="412"/>
      <c r="T61" s="410"/>
      <c r="U61" s="411"/>
      <c r="V61" s="411"/>
      <c r="W61" s="411"/>
      <c r="X61" s="411"/>
      <c r="Y61" s="411"/>
      <c r="Z61" s="411"/>
      <c r="AA61" s="411"/>
      <c r="AB61" s="411"/>
      <c r="AC61" s="411"/>
      <c r="AD61" s="411"/>
      <c r="AE61" s="411"/>
      <c r="AF61" s="411"/>
      <c r="AG61" s="411"/>
      <c r="AH61" s="411"/>
      <c r="AI61" s="411"/>
      <c r="AJ61" s="411"/>
      <c r="AK61" s="411"/>
      <c r="AL61" s="412"/>
      <c r="AM61" s="290"/>
    </row>
    <row r="62" spans="1:43" ht="28.5" customHeight="1" x14ac:dyDescent="0.25">
      <c r="A62" s="439" t="s">
        <v>995</v>
      </c>
      <c r="B62" s="439"/>
      <c r="C62" s="439"/>
      <c r="D62" s="439"/>
      <c r="E62" s="439"/>
      <c r="F62" s="439"/>
      <c r="G62" s="439"/>
      <c r="H62" s="439"/>
      <c r="I62" s="439"/>
      <c r="J62" s="439"/>
      <c r="K62" s="439"/>
      <c r="L62" s="439"/>
      <c r="M62" s="439"/>
      <c r="N62" s="439"/>
      <c r="O62" s="439"/>
      <c r="P62" s="439"/>
      <c r="Q62" s="439"/>
      <c r="R62" s="439"/>
      <c r="S62" s="439"/>
      <c r="T62" s="439"/>
      <c r="U62" s="439"/>
      <c r="V62" s="439"/>
      <c r="W62" s="439"/>
      <c r="X62" s="439"/>
      <c r="Y62" s="439"/>
      <c r="Z62" s="439"/>
      <c r="AA62" s="439"/>
      <c r="AB62" s="439"/>
      <c r="AC62" s="439"/>
      <c r="AD62" s="439"/>
      <c r="AE62" s="439"/>
      <c r="AF62" s="439"/>
      <c r="AG62" s="439"/>
      <c r="AH62" s="439"/>
      <c r="AI62" s="439"/>
      <c r="AJ62" s="439"/>
      <c r="AK62" s="439"/>
      <c r="AL62" s="439"/>
      <c r="AM62" s="290" t="s">
        <v>996</v>
      </c>
    </row>
    <row r="63" spans="1:43" ht="14.4" x14ac:dyDescent="0.3">
      <c r="A63" s="418">
        <f>A57+A61+T61</f>
        <v>0</v>
      </c>
      <c r="B63" s="418"/>
      <c r="C63" s="418"/>
      <c r="D63" s="418"/>
      <c r="E63" s="418"/>
      <c r="F63" s="418"/>
      <c r="G63" s="418"/>
      <c r="H63" s="418"/>
      <c r="I63" s="418"/>
      <c r="J63" s="418"/>
      <c r="K63" s="418"/>
      <c r="L63" s="418"/>
      <c r="M63" s="418"/>
      <c r="N63" s="418"/>
      <c r="O63" s="418"/>
      <c r="P63" s="418"/>
      <c r="Q63" s="418"/>
      <c r="R63" s="418"/>
      <c r="S63" s="418"/>
      <c r="T63" s="418"/>
      <c r="U63" s="418"/>
      <c r="V63" s="418"/>
      <c r="W63" s="418"/>
      <c r="X63" s="418"/>
      <c r="Y63" s="418"/>
      <c r="Z63" s="418"/>
      <c r="AA63" s="418"/>
      <c r="AB63" s="418"/>
      <c r="AC63" s="418"/>
      <c r="AD63" s="418"/>
      <c r="AE63" s="418"/>
      <c r="AF63" s="418"/>
      <c r="AG63" s="418"/>
      <c r="AH63" s="418"/>
      <c r="AI63" s="418"/>
      <c r="AJ63" s="418"/>
      <c r="AK63" s="418"/>
      <c r="AL63" s="418"/>
      <c r="AM63" s="290"/>
    </row>
    <row r="64" spans="1:43" ht="14.4" x14ac:dyDescent="0.25">
      <c r="A64" s="351" t="s">
        <v>899</v>
      </c>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c r="AH64" s="351"/>
      <c r="AI64" s="351"/>
      <c r="AJ64" s="351"/>
      <c r="AK64" s="351"/>
      <c r="AL64" s="351"/>
    </row>
    <row r="65" spans="1:47" ht="14.4" x14ac:dyDescent="0.25">
      <c r="A65" s="355"/>
      <c r="B65" s="355"/>
      <c r="C65" s="355"/>
      <c r="D65" s="355"/>
      <c r="E65" s="355"/>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c r="AH65" s="355"/>
      <c r="AI65" s="355"/>
      <c r="AJ65" s="355"/>
      <c r="AK65" s="355"/>
      <c r="AL65" s="355"/>
    </row>
    <row r="66" spans="1:47" ht="14.4" x14ac:dyDescent="0.25">
      <c r="A66" s="351" t="s">
        <v>900</v>
      </c>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c r="AH66" s="351"/>
      <c r="AI66" s="351"/>
      <c r="AJ66" s="351"/>
      <c r="AK66" s="351"/>
      <c r="AL66" s="351"/>
    </row>
    <row r="67" spans="1:47" ht="14.4" x14ac:dyDescent="0.25">
      <c r="A67" s="355"/>
      <c r="B67" s="355"/>
      <c r="C67" s="355"/>
      <c r="D67" s="355"/>
      <c r="E67" s="355"/>
      <c r="F67" s="355"/>
      <c r="G67" s="355"/>
      <c r="H67" s="355"/>
      <c r="I67" s="355"/>
      <c r="J67" s="355"/>
      <c r="K67" s="355"/>
      <c r="L67" s="355"/>
      <c r="M67" s="355"/>
      <c r="N67" s="355"/>
      <c r="O67" s="355"/>
      <c r="P67" s="355"/>
      <c r="Q67" s="355"/>
      <c r="R67" s="355"/>
      <c r="S67" s="355"/>
      <c r="T67" s="355"/>
      <c r="U67" s="355"/>
      <c r="V67" s="355"/>
      <c r="W67" s="355"/>
      <c r="X67" s="355"/>
      <c r="Y67" s="355"/>
      <c r="Z67" s="355"/>
      <c r="AA67" s="355"/>
      <c r="AB67" s="355"/>
      <c r="AC67" s="355"/>
      <c r="AD67" s="355"/>
      <c r="AE67" s="355"/>
      <c r="AF67" s="355"/>
      <c r="AG67" s="355"/>
      <c r="AH67" s="355"/>
      <c r="AI67" s="355"/>
      <c r="AJ67" s="355"/>
      <c r="AK67" s="355"/>
      <c r="AL67" s="355"/>
    </row>
    <row r="68" spans="1:47" ht="15" customHeight="1" x14ac:dyDescent="0.25">
      <c r="A68" s="149" t="s">
        <v>91</v>
      </c>
      <c r="B68" s="351" t="s">
        <v>97</v>
      </c>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c r="AH68" s="351"/>
      <c r="AI68" s="351"/>
      <c r="AJ68" s="351"/>
      <c r="AK68" s="351"/>
      <c r="AL68" s="351"/>
      <c r="AM68" s="335" t="s">
        <v>915</v>
      </c>
      <c r="AN68" s="335"/>
      <c r="AO68" s="335"/>
      <c r="AP68" s="335"/>
      <c r="AQ68" s="335"/>
      <c r="AR68" s="335"/>
      <c r="AS68" s="335"/>
      <c r="AT68" s="335"/>
      <c r="AU68" s="335"/>
    </row>
    <row r="69" spans="1:47" ht="34.950000000000003" customHeight="1" x14ac:dyDescent="0.25">
      <c r="A69" s="506" t="s">
        <v>909</v>
      </c>
      <c r="B69" s="507"/>
      <c r="C69" s="507"/>
      <c r="D69" s="507"/>
      <c r="E69" s="507"/>
      <c r="F69" s="507"/>
      <c r="G69" s="507"/>
      <c r="H69" s="507"/>
      <c r="I69" s="507"/>
      <c r="J69" s="507"/>
      <c r="K69" s="507"/>
      <c r="L69" s="507"/>
      <c r="M69" s="507"/>
      <c r="N69" s="507"/>
      <c r="O69" s="507"/>
      <c r="P69" s="507"/>
      <c r="Q69" s="507"/>
      <c r="R69" s="507"/>
      <c r="S69" s="507"/>
      <c r="T69" s="507"/>
      <c r="U69" s="507"/>
      <c r="V69" s="507"/>
      <c r="W69" s="507"/>
      <c r="X69" s="507"/>
      <c r="Y69" s="507"/>
      <c r="Z69" s="507"/>
      <c r="AA69" s="507"/>
      <c r="AB69" s="507"/>
      <c r="AC69" s="507"/>
      <c r="AD69" s="507"/>
      <c r="AE69" s="507"/>
      <c r="AF69" s="507"/>
      <c r="AG69" s="507"/>
      <c r="AH69" s="507"/>
      <c r="AI69" s="507"/>
      <c r="AJ69" s="507"/>
      <c r="AK69" s="507"/>
      <c r="AL69" s="507"/>
      <c r="AM69" s="335"/>
      <c r="AN69" s="335"/>
      <c r="AO69" s="335"/>
      <c r="AP69" s="335"/>
      <c r="AQ69" s="335"/>
      <c r="AR69" s="335"/>
      <c r="AS69" s="335"/>
      <c r="AT69" s="335"/>
      <c r="AU69" s="335"/>
    </row>
    <row r="70" spans="1:47" ht="104.7" customHeight="1" x14ac:dyDescent="0.25">
      <c r="A70" s="219" t="s">
        <v>127</v>
      </c>
      <c r="B70" s="494" t="s">
        <v>822</v>
      </c>
      <c r="C70" s="495"/>
      <c r="D70" s="495"/>
      <c r="E70" s="495"/>
      <c r="F70" s="495"/>
      <c r="G70" s="495"/>
      <c r="H70" s="495"/>
      <c r="I70" s="495"/>
      <c r="J70" s="496"/>
      <c r="K70" s="494" t="s">
        <v>825</v>
      </c>
      <c r="L70" s="495"/>
      <c r="M70" s="495"/>
      <c r="N70" s="495"/>
      <c r="O70" s="495"/>
      <c r="P70" s="496"/>
      <c r="Q70" s="497" t="s">
        <v>916</v>
      </c>
      <c r="R70" s="499"/>
      <c r="S70" s="499"/>
      <c r="T70" s="499"/>
      <c r="U70" s="499"/>
      <c r="V70" s="499"/>
      <c r="W70" s="499"/>
      <c r="X70" s="499"/>
      <c r="Y70" s="499"/>
      <c r="Z70" s="499"/>
      <c r="AA70" s="498"/>
      <c r="AB70" s="497" t="s">
        <v>917</v>
      </c>
      <c r="AC70" s="499"/>
      <c r="AD70" s="499"/>
      <c r="AE70" s="499"/>
      <c r="AF70" s="499"/>
      <c r="AG70" s="499"/>
      <c r="AH70" s="499"/>
      <c r="AI70" s="499"/>
      <c r="AJ70" s="498"/>
      <c r="AK70" s="497" t="s">
        <v>755</v>
      </c>
      <c r="AL70" s="498"/>
    </row>
    <row r="71" spans="1:47" ht="14.4" x14ac:dyDescent="0.3">
      <c r="A71" s="202">
        <v>1</v>
      </c>
      <c r="B71" s="477"/>
      <c r="C71" s="478"/>
      <c r="D71" s="478"/>
      <c r="E71" s="478"/>
      <c r="F71" s="478"/>
      <c r="G71" s="478"/>
      <c r="H71" s="478"/>
      <c r="I71" s="478"/>
      <c r="J71" s="479"/>
      <c r="K71" s="480"/>
      <c r="L71" s="481"/>
      <c r="M71" s="481"/>
      <c r="N71" s="481"/>
      <c r="O71" s="481"/>
      <c r="P71" s="482"/>
      <c r="Q71" s="483"/>
      <c r="R71" s="484"/>
      <c r="S71" s="484"/>
      <c r="T71" s="484"/>
      <c r="U71" s="484"/>
      <c r="V71" s="484"/>
      <c r="W71" s="484"/>
      <c r="X71" s="484"/>
      <c r="Y71" s="484"/>
      <c r="Z71" s="484"/>
      <c r="AA71" s="485"/>
      <c r="AB71" s="483"/>
      <c r="AC71" s="484"/>
      <c r="AD71" s="484"/>
      <c r="AE71" s="484"/>
      <c r="AF71" s="484"/>
      <c r="AG71" s="484"/>
      <c r="AH71" s="484"/>
      <c r="AI71" s="484"/>
      <c r="AJ71" s="485"/>
      <c r="AK71" s="483"/>
      <c r="AL71" s="485"/>
      <c r="AM71" s="77" t="s">
        <v>137</v>
      </c>
    </row>
    <row r="72" spans="1:47" ht="14.4" x14ac:dyDescent="0.3">
      <c r="A72" s="202">
        <v>2</v>
      </c>
      <c r="B72" s="477"/>
      <c r="C72" s="478"/>
      <c r="D72" s="478"/>
      <c r="E72" s="478"/>
      <c r="F72" s="478"/>
      <c r="G72" s="478"/>
      <c r="H72" s="478"/>
      <c r="I72" s="478"/>
      <c r="J72" s="479"/>
      <c r="K72" s="480"/>
      <c r="L72" s="481"/>
      <c r="M72" s="481"/>
      <c r="N72" s="481"/>
      <c r="O72" s="481"/>
      <c r="P72" s="482"/>
      <c r="Q72" s="483"/>
      <c r="R72" s="484"/>
      <c r="S72" s="484"/>
      <c r="T72" s="484"/>
      <c r="U72" s="484"/>
      <c r="V72" s="484"/>
      <c r="W72" s="484"/>
      <c r="X72" s="484"/>
      <c r="Y72" s="484"/>
      <c r="Z72" s="484"/>
      <c r="AA72" s="485"/>
      <c r="AB72" s="483"/>
      <c r="AC72" s="484"/>
      <c r="AD72" s="484"/>
      <c r="AE72" s="484"/>
      <c r="AF72" s="484"/>
      <c r="AG72" s="484"/>
      <c r="AH72" s="484"/>
      <c r="AI72" s="484"/>
      <c r="AJ72" s="485"/>
      <c r="AK72" s="483"/>
      <c r="AL72" s="485"/>
    </row>
    <row r="73" spans="1:47" ht="14.4" x14ac:dyDescent="0.3">
      <c r="A73" s="202">
        <v>3</v>
      </c>
      <c r="B73" s="477"/>
      <c r="C73" s="478"/>
      <c r="D73" s="478"/>
      <c r="E73" s="478"/>
      <c r="F73" s="478"/>
      <c r="G73" s="478"/>
      <c r="H73" s="478"/>
      <c r="I73" s="478"/>
      <c r="J73" s="479"/>
      <c r="K73" s="480"/>
      <c r="L73" s="481"/>
      <c r="M73" s="481"/>
      <c r="N73" s="481"/>
      <c r="O73" s="481"/>
      <c r="P73" s="482"/>
      <c r="Q73" s="483"/>
      <c r="R73" s="484"/>
      <c r="S73" s="484"/>
      <c r="T73" s="484"/>
      <c r="U73" s="484"/>
      <c r="V73" s="484"/>
      <c r="W73" s="484"/>
      <c r="X73" s="484"/>
      <c r="Y73" s="484"/>
      <c r="Z73" s="484"/>
      <c r="AA73" s="485"/>
      <c r="AB73" s="483"/>
      <c r="AC73" s="484"/>
      <c r="AD73" s="484"/>
      <c r="AE73" s="484"/>
      <c r="AF73" s="484"/>
      <c r="AG73" s="484"/>
      <c r="AH73" s="484"/>
      <c r="AI73" s="484"/>
      <c r="AJ73" s="485"/>
      <c r="AK73" s="483"/>
      <c r="AL73" s="485"/>
    </row>
    <row r="74" spans="1:47" ht="14.4" x14ac:dyDescent="0.3">
      <c r="A74" s="202">
        <v>4</v>
      </c>
      <c r="B74" s="477"/>
      <c r="C74" s="478"/>
      <c r="D74" s="478"/>
      <c r="E74" s="478"/>
      <c r="F74" s="478"/>
      <c r="G74" s="478"/>
      <c r="H74" s="478"/>
      <c r="I74" s="478"/>
      <c r="J74" s="479"/>
      <c r="K74" s="480"/>
      <c r="L74" s="481"/>
      <c r="M74" s="481"/>
      <c r="N74" s="481"/>
      <c r="O74" s="481"/>
      <c r="P74" s="482"/>
      <c r="Q74" s="483"/>
      <c r="R74" s="484"/>
      <c r="S74" s="484"/>
      <c r="T74" s="484"/>
      <c r="U74" s="484"/>
      <c r="V74" s="484"/>
      <c r="W74" s="484"/>
      <c r="X74" s="484"/>
      <c r="Y74" s="484"/>
      <c r="Z74" s="484"/>
      <c r="AA74" s="485"/>
      <c r="AB74" s="483"/>
      <c r="AC74" s="484"/>
      <c r="AD74" s="484"/>
      <c r="AE74" s="484"/>
      <c r="AF74" s="484"/>
      <c r="AG74" s="484"/>
      <c r="AH74" s="484"/>
      <c r="AI74" s="484"/>
      <c r="AJ74" s="485"/>
      <c r="AK74" s="483"/>
      <c r="AL74" s="485"/>
    </row>
    <row r="75" spans="1:47" ht="14.4" x14ac:dyDescent="0.3">
      <c r="A75" s="202">
        <v>5</v>
      </c>
      <c r="B75" s="477"/>
      <c r="C75" s="478"/>
      <c r="D75" s="478"/>
      <c r="E75" s="478"/>
      <c r="F75" s="478"/>
      <c r="G75" s="478"/>
      <c r="H75" s="478"/>
      <c r="I75" s="478"/>
      <c r="J75" s="479"/>
      <c r="K75" s="480"/>
      <c r="L75" s="481"/>
      <c r="M75" s="481"/>
      <c r="N75" s="481"/>
      <c r="O75" s="481"/>
      <c r="P75" s="482"/>
      <c r="Q75" s="483"/>
      <c r="R75" s="484"/>
      <c r="S75" s="484"/>
      <c r="T75" s="484"/>
      <c r="U75" s="484"/>
      <c r="V75" s="484"/>
      <c r="W75" s="484"/>
      <c r="X75" s="484"/>
      <c r="Y75" s="484"/>
      <c r="Z75" s="484"/>
      <c r="AA75" s="485"/>
      <c r="AB75" s="483"/>
      <c r="AC75" s="484"/>
      <c r="AD75" s="484"/>
      <c r="AE75" s="484"/>
      <c r="AF75" s="484"/>
      <c r="AG75" s="484"/>
      <c r="AH75" s="484"/>
      <c r="AI75" s="484"/>
      <c r="AJ75" s="485"/>
      <c r="AK75" s="483"/>
      <c r="AL75" s="485"/>
    </row>
    <row r="76" spans="1:47" ht="14.4" x14ac:dyDescent="0.3">
      <c r="A76" s="202">
        <v>6</v>
      </c>
      <c r="B76" s="477"/>
      <c r="C76" s="478"/>
      <c r="D76" s="478"/>
      <c r="E76" s="478"/>
      <c r="F76" s="478"/>
      <c r="G76" s="478"/>
      <c r="H76" s="478"/>
      <c r="I76" s="478"/>
      <c r="J76" s="479"/>
      <c r="K76" s="480"/>
      <c r="L76" s="481"/>
      <c r="M76" s="481"/>
      <c r="N76" s="481"/>
      <c r="O76" s="481"/>
      <c r="P76" s="482"/>
      <c r="Q76" s="483"/>
      <c r="R76" s="484"/>
      <c r="S76" s="484"/>
      <c r="T76" s="484"/>
      <c r="U76" s="484"/>
      <c r="V76" s="484"/>
      <c r="W76" s="484"/>
      <c r="X76" s="484"/>
      <c r="Y76" s="484"/>
      <c r="Z76" s="484"/>
      <c r="AA76" s="485"/>
      <c r="AB76" s="483"/>
      <c r="AC76" s="484"/>
      <c r="AD76" s="484"/>
      <c r="AE76" s="484"/>
      <c r="AF76" s="484"/>
      <c r="AG76" s="484"/>
      <c r="AH76" s="484"/>
      <c r="AI76" s="484"/>
      <c r="AJ76" s="485"/>
      <c r="AK76" s="483"/>
      <c r="AL76" s="485"/>
    </row>
    <row r="77" spans="1:47" ht="14.4" x14ac:dyDescent="0.3">
      <c r="A77" s="202">
        <v>7</v>
      </c>
      <c r="B77" s="477"/>
      <c r="C77" s="478"/>
      <c r="D77" s="478"/>
      <c r="E77" s="478"/>
      <c r="F77" s="478"/>
      <c r="G77" s="478"/>
      <c r="H77" s="478"/>
      <c r="I77" s="478"/>
      <c r="J77" s="479"/>
      <c r="K77" s="480"/>
      <c r="L77" s="481"/>
      <c r="M77" s="481"/>
      <c r="N77" s="481"/>
      <c r="O77" s="481"/>
      <c r="P77" s="482"/>
      <c r="Q77" s="483"/>
      <c r="R77" s="484"/>
      <c r="S77" s="484"/>
      <c r="T77" s="484"/>
      <c r="U77" s="484"/>
      <c r="V77" s="484"/>
      <c r="W77" s="484"/>
      <c r="X77" s="484"/>
      <c r="Y77" s="484"/>
      <c r="Z77" s="484"/>
      <c r="AA77" s="485"/>
      <c r="AB77" s="483"/>
      <c r="AC77" s="484"/>
      <c r="AD77" s="484"/>
      <c r="AE77" s="484"/>
      <c r="AF77" s="484"/>
      <c r="AG77" s="484"/>
      <c r="AH77" s="484"/>
      <c r="AI77" s="484"/>
      <c r="AJ77" s="485"/>
      <c r="AK77" s="483"/>
      <c r="AL77" s="485"/>
    </row>
    <row r="78" spans="1:47" ht="14.4" x14ac:dyDescent="0.3">
      <c r="A78" s="202">
        <v>8</v>
      </c>
      <c r="B78" s="477"/>
      <c r="C78" s="478"/>
      <c r="D78" s="478"/>
      <c r="E78" s="478"/>
      <c r="F78" s="478"/>
      <c r="G78" s="478"/>
      <c r="H78" s="478"/>
      <c r="I78" s="478"/>
      <c r="J78" s="479"/>
      <c r="K78" s="480"/>
      <c r="L78" s="481"/>
      <c r="M78" s="481"/>
      <c r="N78" s="481"/>
      <c r="O78" s="481"/>
      <c r="P78" s="482"/>
      <c r="Q78" s="483"/>
      <c r="R78" s="484"/>
      <c r="S78" s="484"/>
      <c r="T78" s="484"/>
      <c r="U78" s="484"/>
      <c r="V78" s="484"/>
      <c r="W78" s="484"/>
      <c r="X78" s="484"/>
      <c r="Y78" s="484"/>
      <c r="Z78" s="484"/>
      <c r="AA78" s="485"/>
      <c r="AB78" s="483"/>
      <c r="AC78" s="484"/>
      <c r="AD78" s="484"/>
      <c r="AE78" s="484"/>
      <c r="AF78" s="484"/>
      <c r="AG78" s="484"/>
      <c r="AH78" s="484"/>
      <c r="AI78" s="484"/>
      <c r="AJ78" s="485"/>
      <c r="AK78" s="483"/>
      <c r="AL78" s="485"/>
    </row>
    <row r="79" spans="1:47" ht="14.4" x14ac:dyDescent="0.3">
      <c r="A79" s="202">
        <v>9</v>
      </c>
      <c r="B79" s="477"/>
      <c r="C79" s="478"/>
      <c r="D79" s="478"/>
      <c r="E79" s="478"/>
      <c r="F79" s="478"/>
      <c r="G79" s="478"/>
      <c r="H79" s="478"/>
      <c r="I79" s="478"/>
      <c r="J79" s="479"/>
      <c r="K79" s="480"/>
      <c r="L79" s="481"/>
      <c r="M79" s="481"/>
      <c r="N79" s="481"/>
      <c r="O79" s="481"/>
      <c r="P79" s="482"/>
      <c r="Q79" s="483"/>
      <c r="R79" s="484"/>
      <c r="S79" s="484"/>
      <c r="T79" s="484"/>
      <c r="U79" s="484"/>
      <c r="V79" s="484"/>
      <c r="W79" s="484"/>
      <c r="X79" s="484"/>
      <c r="Y79" s="484"/>
      <c r="Z79" s="484"/>
      <c r="AA79" s="485"/>
      <c r="AB79" s="483"/>
      <c r="AC79" s="484"/>
      <c r="AD79" s="484"/>
      <c r="AE79" s="484"/>
      <c r="AF79" s="484"/>
      <c r="AG79" s="484"/>
      <c r="AH79" s="484"/>
      <c r="AI79" s="484"/>
      <c r="AJ79" s="485"/>
      <c r="AK79" s="483"/>
      <c r="AL79" s="485"/>
    </row>
    <row r="80" spans="1:47" ht="14.4" x14ac:dyDescent="0.3">
      <c r="A80" s="202">
        <v>10</v>
      </c>
      <c r="B80" s="477"/>
      <c r="C80" s="478"/>
      <c r="D80" s="478"/>
      <c r="E80" s="478"/>
      <c r="F80" s="478"/>
      <c r="G80" s="478"/>
      <c r="H80" s="478"/>
      <c r="I80" s="478"/>
      <c r="J80" s="479"/>
      <c r="K80" s="480"/>
      <c r="L80" s="481"/>
      <c r="M80" s="481"/>
      <c r="N80" s="481"/>
      <c r="O80" s="481"/>
      <c r="P80" s="482"/>
      <c r="Q80" s="483"/>
      <c r="R80" s="484"/>
      <c r="S80" s="484"/>
      <c r="T80" s="484"/>
      <c r="U80" s="484"/>
      <c r="V80" s="484"/>
      <c r="W80" s="484"/>
      <c r="X80" s="484"/>
      <c r="Y80" s="484"/>
      <c r="Z80" s="484"/>
      <c r="AA80" s="485"/>
      <c r="AB80" s="483"/>
      <c r="AC80" s="484"/>
      <c r="AD80" s="484"/>
      <c r="AE80" s="484"/>
      <c r="AF80" s="484"/>
      <c r="AG80" s="484"/>
      <c r="AH80" s="484"/>
      <c r="AI80" s="484"/>
      <c r="AJ80" s="485"/>
      <c r="AK80" s="483"/>
      <c r="AL80" s="485"/>
    </row>
    <row r="81" spans="1:38" ht="14.4" x14ac:dyDescent="0.3">
      <c r="A81" s="202">
        <v>11</v>
      </c>
      <c r="B81" s="477"/>
      <c r="C81" s="478"/>
      <c r="D81" s="478"/>
      <c r="E81" s="478"/>
      <c r="F81" s="478"/>
      <c r="G81" s="478"/>
      <c r="H81" s="478"/>
      <c r="I81" s="478"/>
      <c r="J81" s="479"/>
      <c r="K81" s="480"/>
      <c r="L81" s="481"/>
      <c r="M81" s="481"/>
      <c r="N81" s="481"/>
      <c r="O81" s="481"/>
      <c r="P81" s="482"/>
      <c r="Q81" s="483"/>
      <c r="R81" s="484"/>
      <c r="S81" s="484"/>
      <c r="T81" s="484"/>
      <c r="U81" s="484"/>
      <c r="V81" s="484"/>
      <c r="W81" s="484"/>
      <c r="X81" s="484"/>
      <c r="Y81" s="484"/>
      <c r="Z81" s="484"/>
      <c r="AA81" s="485"/>
      <c r="AB81" s="483"/>
      <c r="AC81" s="484"/>
      <c r="AD81" s="484"/>
      <c r="AE81" s="484"/>
      <c r="AF81" s="484"/>
      <c r="AG81" s="484"/>
      <c r="AH81" s="484"/>
      <c r="AI81" s="484"/>
      <c r="AJ81" s="485"/>
      <c r="AK81" s="483"/>
      <c r="AL81" s="485"/>
    </row>
    <row r="82" spans="1:38" ht="14.4" x14ac:dyDescent="0.3">
      <c r="A82" s="202">
        <v>12</v>
      </c>
      <c r="B82" s="477"/>
      <c r="C82" s="478"/>
      <c r="D82" s="478"/>
      <c r="E82" s="478"/>
      <c r="F82" s="478"/>
      <c r="G82" s="478"/>
      <c r="H82" s="478"/>
      <c r="I82" s="478"/>
      <c r="J82" s="479"/>
      <c r="K82" s="480"/>
      <c r="L82" s="481"/>
      <c r="M82" s="481"/>
      <c r="N82" s="481"/>
      <c r="O82" s="481"/>
      <c r="P82" s="482"/>
      <c r="Q82" s="483"/>
      <c r="R82" s="484"/>
      <c r="S82" s="484"/>
      <c r="T82" s="484"/>
      <c r="U82" s="484"/>
      <c r="V82" s="484"/>
      <c r="W82" s="484"/>
      <c r="X82" s="484"/>
      <c r="Y82" s="484"/>
      <c r="Z82" s="484"/>
      <c r="AA82" s="485"/>
      <c r="AB82" s="483"/>
      <c r="AC82" s="484"/>
      <c r="AD82" s="484"/>
      <c r="AE82" s="484"/>
      <c r="AF82" s="484"/>
      <c r="AG82" s="484"/>
      <c r="AH82" s="484"/>
      <c r="AI82" s="484"/>
      <c r="AJ82" s="485"/>
      <c r="AK82" s="483"/>
      <c r="AL82" s="485"/>
    </row>
    <row r="83" spans="1:38" ht="14.4" x14ac:dyDescent="0.3">
      <c r="A83" s="202">
        <v>13</v>
      </c>
      <c r="B83" s="477"/>
      <c r="C83" s="478"/>
      <c r="D83" s="478"/>
      <c r="E83" s="478"/>
      <c r="F83" s="478"/>
      <c r="G83" s="478"/>
      <c r="H83" s="478"/>
      <c r="I83" s="478"/>
      <c r="J83" s="479"/>
      <c r="K83" s="480"/>
      <c r="L83" s="481"/>
      <c r="M83" s="481"/>
      <c r="N83" s="481"/>
      <c r="O83" s="481"/>
      <c r="P83" s="482"/>
      <c r="Q83" s="483"/>
      <c r="R83" s="484"/>
      <c r="S83" s="484"/>
      <c r="T83" s="484"/>
      <c r="U83" s="484"/>
      <c r="V83" s="484"/>
      <c r="W83" s="484"/>
      <c r="X83" s="484"/>
      <c r="Y83" s="484"/>
      <c r="Z83" s="484"/>
      <c r="AA83" s="485"/>
      <c r="AB83" s="483"/>
      <c r="AC83" s="484"/>
      <c r="AD83" s="484"/>
      <c r="AE83" s="484"/>
      <c r="AF83" s="484"/>
      <c r="AG83" s="484"/>
      <c r="AH83" s="484"/>
      <c r="AI83" s="484"/>
      <c r="AJ83" s="485"/>
      <c r="AK83" s="483"/>
      <c r="AL83" s="485"/>
    </row>
    <row r="84" spans="1:38" ht="14.4" x14ac:dyDescent="0.3">
      <c r="A84" s="202">
        <v>14</v>
      </c>
      <c r="B84" s="477"/>
      <c r="C84" s="478"/>
      <c r="D84" s="478"/>
      <c r="E84" s="478"/>
      <c r="F84" s="478"/>
      <c r="G84" s="478"/>
      <c r="H84" s="478"/>
      <c r="I84" s="478"/>
      <c r="J84" s="479"/>
      <c r="K84" s="480"/>
      <c r="L84" s="481"/>
      <c r="M84" s="481"/>
      <c r="N84" s="481"/>
      <c r="O84" s="481"/>
      <c r="P84" s="482"/>
      <c r="Q84" s="483"/>
      <c r="R84" s="484"/>
      <c r="S84" s="484"/>
      <c r="T84" s="484"/>
      <c r="U84" s="484"/>
      <c r="V84" s="484"/>
      <c r="W84" s="484"/>
      <c r="X84" s="484"/>
      <c r="Y84" s="484"/>
      <c r="Z84" s="484"/>
      <c r="AA84" s="485"/>
      <c r="AB84" s="483"/>
      <c r="AC84" s="484"/>
      <c r="AD84" s="484"/>
      <c r="AE84" s="484"/>
      <c r="AF84" s="484"/>
      <c r="AG84" s="484"/>
      <c r="AH84" s="484"/>
      <c r="AI84" s="484"/>
      <c r="AJ84" s="485"/>
      <c r="AK84" s="483"/>
      <c r="AL84" s="485"/>
    </row>
    <row r="85" spans="1:38" ht="14.4" x14ac:dyDescent="0.3">
      <c r="A85" s="202">
        <v>15</v>
      </c>
      <c r="B85" s="477"/>
      <c r="C85" s="478"/>
      <c r="D85" s="478"/>
      <c r="E85" s="478"/>
      <c r="F85" s="478"/>
      <c r="G85" s="478"/>
      <c r="H85" s="478"/>
      <c r="I85" s="478"/>
      <c r="J85" s="479"/>
      <c r="K85" s="480"/>
      <c r="L85" s="481"/>
      <c r="M85" s="481"/>
      <c r="N85" s="481"/>
      <c r="O85" s="481"/>
      <c r="P85" s="482"/>
      <c r="Q85" s="483"/>
      <c r="R85" s="484"/>
      <c r="S85" s="484"/>
      <c r="T85" s="484"/>
      <c r="U85" s="484"/>
      <c r="V85" s="484"/>
      <c r="W85" s="484"/>
      <c r="X85" s="484"/>
      <c r="Y85" s="484"/>
      <c r="Z85" s="484"/>
      <c r="AA85" s="485"/>
      <c r="AB85" s="483"/>
      <c r="AC85" s="484"/>
      <c r="AD85" s="484"/>
      <c r="AE85" s="484"/>
      <c r="AF85" s="484"/>
      <c r="AG85" s="484"/>
      <c r="AH85" s="484"/>
      <c r="AI85" s="484"/>
      <c r="AJ85" s="485"/>
      <c r="AK85" s="483"/>
      <c r="AL85" s="485"/>
    </row>
    <row r="86" spans="1:38" ht="14.4" x14ac:dyDescent="0.3">
      <c r="A86" s="202">
        <v>16</v>
      </c>
      <c r="B86" s="477"/>
      <c r="C86" s="478"/>
      <c r="D86" s="478"/>
      <c r="E86" s="478"/>
      <c r="F86" s="478"/>
      <c r="G86" s="478"/>
      <c r="H86" s="478"/>
      <c r="I86" s="478"/>
      <c r="J86" s="479"/>
      <c r="K86" s="480"/>
      <c r="L86" s="481"/>
      <c r="M86" s="481"/>
      <c r="N86" s="481"/>
      <c r="O86" s="481"/>
      <c r="P86" s="482"/>
      <c r="Q86" s="483"/>
      <c r="R86" s="484"/>
      <c r="S86" s="484"/>
      <c r="T86" s="484"/>
      <c r="U86" s="484"/>
      <c r="V86" s="484"/>
      <c r="W86" s="484"/>
      <c r="X86" s="484"/>
      <c r="Y86" s="484"/>
      <c r="Z86" s="484"/>
      <c r="AA86" s="485"/>
      <c r="AB86" s="483"/>
      <c r="AC86" s="484"/>
      <c r="AD86" s="484"/>
      <c r="AE86" s="484"/>
      <c r="AF86" s="484"/>
      <c r="AG86" s="484"/>
      <c r="AH86" s="484"/>
      <c r="AI86" s="484"/>
      <c r="AJ86" s="485"/>
      <c r="AK86" s="483"/>
      <c r="AL86" s="485"/>
    </row>
    <row r="87" spans="1:38" ht="14.4" x14ac:dyDescent="0.3">
      <c r="A87" s="202">
        <v>17</v>
      </c>
      <c r="B87" s="477"/>
      <c r="C87" s="478"/>
      <c r="D87" s="478"/>
      <c r="E87" s="478"/>
      <c r="F87" s="478"/>
      <c r="G87" s="478"/>
      <c r="H87" s="478"/>
      <c r="I87" s="478"/>
      <c r="J87" s="479"/>
      <c r="K87" s="480"/>
      <c r="L87" s="481"/>
      <c r="M87" s="481"/>
      <c r="N87" s="481"/>
      <c r="O87" s="481"/>
      <c r="P87" s="482"/>
      <c r="Q87" s="483"/>
      <c r="R87" s="484"/>
      <c r="S87" s="484"/>
      <c r="T87" s="484"/>
      <c r="U87" s="484"/>
      <c r="V87" s="484"/>
      <c r="W87" s="484"/>
      <c r="X87" s="484"/>
      <c r="Y87" s="484"/>
      <c r="Z87" s="484"/>
      <c r="AA87" s="485"/>
      <c r="AB87" s="483"/>
      <c r="AC87" s="484"/>
      <c r="AD87" s="484"/>
      <c r="AE87" s="484"/>
      <c r="AF87" s="484"/>
      <c r="AG87" s="484"/>
      <c r="AH87" s="484"/>
      <c r="AI87" s="484"/>
      <c r="AJ87" s="485"/>
      <c r="AK87" s="483"/>
      <c r="AL87" s="485"/>
    </row>
    <row r="88" spans="1:38" ht="14.4" x14ac:dyDescent="0.3">
      <c r="A88" s="202">
        <v>18</v>
      </c>
      <c r="B88" s="477"/>
      <c r="C88" s="478"/>
      <c r="D88" s="478"/>
      <c r="E88" s="478"/>
      <c r="F88" s="478"/>
      <c r="G88" s="478"/>
      <c r="H88" s="478"/>
      <c r="I88" s="478"/>
      <c r="J88" s="479"/>
      <c r="K88" s="480"/>
      <c r="L88" s="481"/>
      <c r="M88" s="481"/>
      <c r="N88" s="481"/>
      <c r="O88" s="481"/>
      <c r="P88" s="482"/>
      <c r="Q88" s="483"/>
      <c r="R88" s="484"/>
      <c r="S88" s="484"/>
      <c r="T88" s="484"/>
      <c r="U88" s="484"/>
      <c r="V88" s="484"/>
      <c r="W88" s="484"/>
      <c r="X88" s="484"/>
      <c r="Y88" s="484"/>
      <c r="Z88" s="484"/>
      <c r="AA88" s="485"/>
      <c r="AB88" s="483"/>
      <c r="AC88" s="484"/>
      <c r="AD88" s="484"/>
      <c r="AE88" s="484"/>
      <c r="AF88" s="484"/>
      <c r="AG88" s="484"/>
      <c r="AH88" s="484"/>
      <c r="AI88" s="484"/>
      <c r="AJ88" s="485"/>
      <c r="AK88" s="483"/>
      <c r="AL88" s="485"/>
    </row>
    <row r="89" spans="1:38" ht="14.4" x14ac:dyDescent="0.3">
      <c r="A89" s="202">
        <v>19</v>
      </c>
      <c r="B89" s="477"/>
      <c r="C89" s="478"/>
      <c r="D89" s="478"/>
      <c r="E89" s="478"/>
      <c r="F89" s="478"/>
      <c r="G89" s="478"/>
      <c r="H89" s="478"/>
      <c r="I89" s="478"/>
      <c r="J89" s="479"/>
      <c r="K89" s="480"/>
      <c r="L89" s="481"/>
      <c r="M89" s="481"/>
      <c r="N89" s="481"/>
      <c r="O89" s="481"/>
      <c r="P89" s="482"/>
      <c r="Q89" s="483"/>
      <c r="R89" s="484"/>
      <c r="S89" s="484"/>
      <c r="T89" s="484"/>
      <c r="U89" s="484"/>
      <c r="V89" s="484"/>
      <c r="W89" s="484"/>
      <c r="X89" s="484"/>
      <c r="Y89" s="484"/>
      <c r="Z89" s="484"/>
      <c r="AA89" s="485"/>
      <c r="AB89" s="483"/>
      <c r="AC89" s="484"/>
      <c r="AD89" s="484"/>
      <c r="AE89" s="484"/>
      <c r="AF89" s="484"/>
      <c r="AG89" s="484"/>
      <c r="AH89" s="484"/>
      <c r="AI89" s="484"/>
      <c r="AJ89" s="485"/>
      <c r="AK89" s="483"/>
      <c r="AL89" s="485"/>
    </row>
    <row r="90" spans="1:38" ht="14.4" x14ac:dyDescent="0.3">
      <c r="A90" s="202">
        <v>20</v>
      </c>
      <c r="B90" s="477"/>
      <c r="C90" s="478"/>
      <c r="D90" s="478"/>
      <c r="E90" s="478"/>
      <c r="F90" s="478"/>
      <c r="G90" s="478"/>
      <c r="H90" s="478"/>
      <c r="I90" s="478"/>
      <c r="J90" s="479"/>
      <c r="K90" s="480"/>
      <c r="L90" s="481"/>
      <c r="M90" s="481"/>
      <c r="N90" s="481"/>
      <c r="O90" s="481"/>
      <c r="P90" s="482"/>
      <c r="Q90" s="483"/>
      <c r="R90" s="484"/>
      <c r="S90" s="484"/>
      <c r="T90" s="484"/>
      <c r="U90" s="484"/>
      <c r="V90" s="484"/>
      <c r="W90" s="484"/>
      <c r="X90" s="484"/>
      <c r="Y90" s="484"/>
      <c r="Z90" s="484"/>
      <c r="AA90" s="485"/>
      <c r="AB90" s="483"/>
      <c r="AC90" s="484"/>
      <c r="AD90" s="484"/>
      <c r="AE90" s="484"/>
      <c r="AF90" s="484"/>
      <c r="AG90" s="484"/>
      <c r="AH90" s="484"/>
      <c r="AI90" s="484"/>
      <c r="AJ90" s="485"/>
      <c r="AK90" s="483"/>
      <c r="AL90" s="485"/>
    </row>
    <row r="91" spans="1:38" ht="14.4" x14ac:dyDescent="0.3">
      <c r="A91" s="202">
        <v>21</v>
      </c>
      <c r="B91" s="477"/>
      <c r="C91" s="478"/>
      <c r="D91" s="478"/>
      <c r="E91" s="478"/>
      <c r="F91" s="478"/>
      <c r="G91" s="478"/>
      <c r="H91" s="478"/>
      <c r="I91" s="478"/>
      <c r="J91" s="479"/>
      <c r="K91" s="480"/>
      <c r="L91" s="481"/>
      <c r="M91" s="481"/>
      <c r="N91" s="481"/>
      <c r="O91" s="481"/>
      <c r="P91" s="482"/>
      <c r="Q91" s="483"/>
      <c r="R91" s="484"/>
      <c r="S91" s="484"/>
      <c r="T91" s="484"/>
      <c r="U91" s="484"/>
      <c r="V91" s="484"/>
      <c r="W91" s="484"/>
      <c r="X91" s="484"/>
      <c r="Y91" s="484"/>
      <c r="Z91" s="484"/>
      <c r="AA91" s="485"/>
      <c r="AB91" s="483"/>
      <c r="AC91" s="484"/>
      <c r="AD91" s="484"/>
      <c r="AE91" s="484"/>
      <c r="AF91" s="484"/>
      <c r="AG91" s="484"/>
      <c r="AH91" s="484"/>
      <c r="AI91" s="484"/>
      <c r="AJ91" s="485"/>
      <c r="AK91" s="483"/>
      <c r="AL91" s="485"/>
    </row>
    <row r="92" spans="1:38" ht="14.4" x14ac:dyDescent="0.3">
      <c r="A92" s="202">
        <v>22</v>
      </c>
      <c r="B92" s="477"/>
      <c r="C92" s="478"/>
      <c r="D92" s="478"/>
      <c r="E92" s="478"/>
      <c r="F92" s="478"/>
      <c r="G92" s="478"/>
      <c r="H92" s="478"/>
      <c r="I92" s="478"/>
      <c r="J92" s="479"/>
      <c r="K92" s="480"/>
      <c r="L92" s="481"/>
      <c r="M92" s="481"/>
      <c r="N92" s="481"/>
      <c r="O92" s="481"/>
      <c r="P92" s="482"/>
      <c r="Q92" s="483"/>
      <c r="R92" s="484"/>
      <c r="S92" s="484"/>
      <c r="T92" s="484"/>
      <c r="U92" s="484"/>
      <c r="V92" s="484"/>
      <c r="W92" s="484"/>
      <c r="X92" s="484"/>
      <c r="Y92" s="484"/>
      <c r="Z92" s="484"/>
      <c r="AA92" s="485"/>
      <c r="AB92" s="483"/>
      <c r="AC92" s="484"/>
      <c r="AD92" s="484"/>
      <c r="AE92" s="484"/>
      <c r="AF92" s="484"/>
      <c r="AG92" s="484"/>
      <c r="AH92" s="484"/>
      <c r="AI92" s="484"/>
      <c r="AJ92" s="485"/>
      <c r="AK92" s="483"/>
      <c r="AL92" s="485"/>
    </row>
    <row r="93" spans="1:38" ht="14.4" x14ac:dyDescent="0.3">
      <c r="A93" s="202">
        <v>23</v>
      </c>
      <c r="B93" s="477"/>
      <c r="C93" s="478"/>
      <c r="D93" s="478"/>
      <c r="E93" s="478"/>
      <c r="F93" s="478"/>
      <c r="G93" s="478"/>
      <c r="H93" s="478"/>
      <c r="I93" s="478"/>
      <c r="J93" s="479"/>
      <c r="K93" s="480"/>
      <c r="L93" s="481"/>
      <c r="M93" s="481"/>
      <c r="N93" s="481"/>
      <c r="O93" s="481"/>
      <c r="P93" s="482"/>
      <c r="Q93" s="483"/>
      <c r="R93" s="484"/>
      <c r="S93" s="484"/>
      <c r="T93" s="484"/>
      <c r="U93" s="484"/>
      <c r="V93" s="484"/>
      <c r="W93" s="484"/>
      <c r="X93" s="484"/>
      <c r="Y93" s="484"/>
      <c r="Z93" s="484"/>
      <c r="AA93" s="485"/>
      <c r="AB93" s="483"/>
      <c r="AC93" s="484"/>
      <c r="AD93" s="484"/>
      <c r="AE93" s="484"/>
      <c r="AF93" s="484"/>
      <c r="AG93" s="484"/>
      <c r="AH93" s="484"/>
      <c r="AI93" s="484"/>
      <c r="AJ93" s="485"/>
      <c r="AK93" s="483"/>
      <c r="AL93" s="485"/>
    </row>
    <row r="94" spans="1:38" ht="14.4" x14ac:dyDescent="0.3">
      <c r="A94" s="202">
        <v>24</v>
      </c>
      <c r="B94" s="477"/>
      <c r="C94" s="478"/>
      <c r="D94" s="478"/>
      <c r="E94" s="478"/>
      <c r="F94" s="478"/>
      <c r="G94" s="478"/>
      <c r="H94" s="478"/>
      <c r="I94" s="478"/>
      <c r="J94" s="479"/>
      <c r="K94" s="480"/>
      <c r="L94" s="481"/>
      <c r="M94" s="481"/>
      <c r="N94" s="481"/>
      <c r="O94" s="481"/>
      <c r="P94" s="482"/>
      <c r="Q94" s="483"/>
      <c r="R94" s="484"/>
      <c r="S94" s="484"/>
      <c r="T94" s="484"/>
      <c r="U94" s="484"/>
      <c r="V94" s="484"/>
      <c r="W94" s="484"/>
      <c r="X94" s="484"/>
      <c r="Y94" s="484"/>
      <c r="Z94" s="484"/>
      <c r="AA94" s="485"/>
      <c r="AB94" s="483"/>
      <c r="AC94" s="484"/>
      <c r="AD94" s="484"/>
      <c r="AE94" s="484"/>
      <c r="AF94" s="484"/>
      <c r="AG94" s="484"/>
      <c r="AH94" s="484"/>
      <c r="AI94" s="484"/>
      <c r="AJ94" s="485"/>
      <c r="AK94" s="483"/>
      <c r="AL94" s="485"/>
    </row>
    <row r="95" spans="1:38" ht="14.4" x14ac:dyDescent="0.3">
      <c r="A95" s="202">
        <v>25</v>
      </c>
      <c r="B95" s="477"/>
      <c r="C95" s="478"/>
      <c r="D95" s="478"/>
      <c r="E95" s="478"/>
      <c r="F95" s="478"/>
      <c r="G95" s="478"/>
      <c r="H95" s="478"/>
      <c r="I95" s="478"/>
      <c r="J95" s="479"/>
      <c r="K95" s="480"/>
      <c r="L95" s="481"/>
      <c r="M95" s="481"/>
      <c r="N95" s="481"/>
      <c r="O95" s="481"/>
      <c r="P95" s="482"/>
      <c r="Q95" s="483"/>
      <c r="R95" s="484"/>
      <c r="S95" s="484"/>
      <c r="T95" s="484"/>
      <c r="U95" s="484"/>
      <c r="V95" s="484"/>
      <c r="W95" s="484"/>
      <c r="X95" s="484"/>
      <c r="Y95" s="484"/>
      <c r="Z95" s="484"/>
      <c r="AA95" s="485"/>
      <c r="AB95" s="483"/>
      <c r="AC95" s="484"/>
      <c r="AD95" s="484"/>
      <c r="AE95" s="484"/>
      <c r="AF95" s="484"/>
      <c r="AG95" s="484"/>
      <c r="AH95" s="484"/>
      <c r="AI95" s="484"/>
      <c r="AJ95" s="485"/>
      <c r="AK95" s="483"/>
      <c r="AL95" s="485"/>
    </row>
    <row r="96" spans="1:38" ht="14.4" x14ac:dyDescent="0.3">
      <c r="A96" s="202">
        <v>26</v>
      </c>
      <c r="B96" s="477"/>
      <c r="C96" s="478"/>
      <c r="D96" s="478"/>
      <c r="E96" s="478"/>
      <c r="F96" s="478"/>
      <c r="G96" s="478"/>
      <c r="H96" s="478"/>
      <c r="I96" s="478"/>
      <c r="J96" s="479"/>
      <c r="K96" s="480"/>
      <c r="L96" s="481"/>
      <c r="M96" s="481"/>
      <c r="N96" s="481"/>
      <c r="O96" s="481"/>
      <c r="P96" s="482"/>
      <c r="Q96" s="483"/>
      <c r="R96" s="484"/>
      <c r="S96" s="484"/>
      <c r="T96" s="484"/>
      <c r="U96" s="484"/>
      <c r="V96" s="484"/>
      <c r="W96" s="484"/>
      <c r="X96" s="484"/>
      <c r="Y96" s="484"/>
      <c r="Z96" s="484"/>
      <c r="AA96" s="485"/>
      <c r="AB96" s="483"/>
      <c r="AC96" s="484"/>
      <c r="AD96" s="484"/>
      <c r="AE96" s="484"/>
      <c r="AF96" s="484"/>
      <c r="AG96" s="484"/>
      <c r="AH96" s="484"/>
      <c r="AI96" s="484"/>
      <c r="AJ96" s="485"/>
      <c r="AK96" s="483"/>
      <c r="AL96" s="485"/>
    </row>
    <row r="97" spans="1:52" ht="14.4" x14ac:dyDescent="0.3">
      <c r="A97" s="202">
        <v>27</v>
      </c>
      <c r="B97" s="477"/>
      <c r="C97" s="478"/>
      <c r="D97" s="478"/>
      <c r="E97" s="478"/>
      <c r="F97" s="478"/>
      <c r="G97" s="478"/>
      <c r="H97" s="478"/>
      <c r="I97" s="478"/>
      <c r="J97" s="479"/>
      <c r="K97" s="480"/>
      <c r="L97" s="481"/>
      <c r="M97" s="481"/>
      <c r="N97" s="481"/>
      <c r="O97" s="481"/>
      <c r="P97" s="482"/>
      <c r="Q97" s="483"/>
      <c r="R97" s="484"/>
      <c r="S97" s="484"/>
      <c r="T97" s="484"/>
      <c r="U97" s="484"/>
      <c r="V97" s="484"/>
      <c r="W97" s="484"/>
      <c r="X97" s="484"/>
      <c r="Y97" s="484"/>
      <c r="Z97" s="484"/>
      <c r="AA97" s="485"/>
      <c r="AB97" s="483"/>
      <c r="AC97" s="484"/>
      <c r="AD97" s="484"/>
      <c r="AE97" s="484"/>
      <c r="AF97" s="484"/>
      <c r="AG97" s="484"/>
      <c r="AH97" s="484"/>
      <c r="AI97" s="484"/>
      <c r="AJ97" s="485"/>
      <c r="AK97" s="483"/>
      <c r="AL97" s="485"/>
    </row>
    <row r="98" spans="1:52" ht="14.4" x14ac:dyDescent="0.3">
      <c r="A98" s="202">
        <v>28</v>
      </c>
      <c r="B98" s="477"/>
      <c r="C98" s="478"/>
      <c r="D98" s="478"/>
      <c r="E98" s="478"/>
      <c r="F98" s="478"/>
      <c r="G98" s="478"/>
      <c r="H98" s="478"/>
      <c r="I98" s="478"/>
      <c r="J98" s="479"/>
      <c r="K98" s="480"/>
      <c r="L98" s="481"/>
      <c r="M98" s="481"/>
      <c r="N98" s="481"/>
      <c r="O98" s="481"/>
      <c r="P98" s="482"/>
      <c r="Q98" s="483"/>
      <c r="R98" s="484"/>
      <c r="S98" s="484"/>
      <c r="T98" s="484"/>
      <c r="U98" s="484"/>
      <c r="V98" s="484"/>
      <c r="W98" s="484"/>
      <c r="X98" s="484"/>
      <c r="Y98" s="484"/>
      <c r="Z98" s="484"/>
      <c r="AA98" s="485"/>
      <c r="AB98" s="483"/>
      <c r="AC98" s="484"/>
      <c r="AD98" s="484"/>
      <c r="AE98" s="484"/>
      <c r="AF98" s="484"/>
      <c r="AG98" s="484"/>
      <c r="AH98" s="484"/>
      <c r="AI98" s="484"/>
      <c r="AJ98" s="485"/>
      <c r="AK98" s="483"/>
      <c r="AL98" s="485"/>
    </row>
    <row r="99" spans="1:52" ht="14.4" x14ac:dyDescent="0.3">
      <c r="A99" s="202">
        <v>29</v>
      </c>
      <c r="B99" s="477"/>
      <c r="C99" s="478"/>
      <c r="D99" s="478"/>
      <c r="E99" s="478"/>
      <c r="F99" s="478"/>
      <c r="G99" s="478"/>
      <c r="H99" s="478"/>
      <c r="I99" s="478"/>
      <c r="J99" s="479"/>
      <c r="K99" s="480"/>
      <c r="L99" s="481"/>
      <c r="M99" s="481"/>
      <c r="N99" s="481"/>
      <c r="O99" s="481"/>
      <c r="P99" s="482"/>
      <c r="Q99" s="483"/>
      <c r="R99" s="484"/>
      <c r="S99" s="484"/>
      <c r="T99" s="484"/>
      <c r="U99" s="484"/>
      <c r="V99" s="484"/>
      <c r="W99" s="484"/>
      <c r="X99" s="484"/>
      <c r="Y99" s="484"/>
      <c r="Z99" s="484"/>
      <c r="AA99" s="485"/>
      <c r="AB99" s="483"/>
      <c r="AC99" s="484"/>
      <c r="AD99" s="484"/>
      <c r="AE99" s="484"/>
      <c r="AF99" s="484"/>
      <c r="AG99" s="484"/>
      <c r="AH99" s="484"/>
      <c r="AI99" s="484"/>
      <c r="AJ99" s="485"/>
      <c r="AK99" s="483"/>
      <c r="AL99" s="485"/>
    </row>
    <row r="100" spans="1:52" ht="14.4" x14ac:dyDescent="0.3">
      <c r="A100" s="202">
        <v>30</v>
      </c>
      <c r="B100" s="477"/>
      <c r="C100" s="478"/>
      <c r="D100" s="478"/>
      <c r="E100" s="478"/>
      <c r="F100" s="478"/>
      <c r="G100" s="478"/>
      <c r="H100" s="478"/>
      <c r="I100" s="478"/>
      <c r="J100" s="479"/>
      <c r="K100" s="480"/>
      <c r="L100" s="481"/>
      <c r="M100" s="481"/>
      <c r="N100" s="481"/>
      <c r="O100" s="481"/>
      <c r="P100" s="482"/>
      <c r="Q100" s="483"/>
      <c r="R100" s="484"/>
      <c r="S100" s="484"/>
      <c r="T100" s="484"/>
      <c r="U100" s="484"/>
      <c r="V100" s="484"/>
      <c r="W100" s="484"/>
      <c r="X100" s="484"/>
      <c r="Y100" s="484"/>
      <c r="Z100" s="484"/>
      <c r="AA100" s="485"/>
      <c r="AB100" s="483"/>
      <c r="AC100" s="484"/>
      <c r="AD100" s="484"/>
      <c r="AE100" s="484"/>
      <c r="AF100" s="484"/>
      <c r="AG100" s="484"/>
      <c r="AH100" s="484"/>
      <c r="AI100" s="484"/>
      <c r="AJ100" s="485"/>
      <c r="AK100" s="483"/>
      <c r="AL100" s="485"/>
    </row>
    <row r="101" spans="1:52" ht="14.4" x14ac:dyDescent="0.3">
      <c r="A101" s="202">
        <v>31</v>
      </c>
      <c r="B101" s="477"/>
      <c r="C101" s="478"/>
      <c r="D101" s="478"/>
      <c r="E101" s="478"/>
      <c r="F101" s="478"/>
      <c r="G101" s="478"/>
      <c r="H101" s="478"/>
      <c r="I101" s="478"/>
      <c r="J101" s="479"/>
      <c r="K101" s="480"/>
      <c r="L101" s="481"/>
      <c r="M101" s="481"/>
      <c r="N101" s="481"/>
      <c r="O101" s="481"/>
      <c r="P101" s="482"/>
      <c r="Q101" s="483"/>
      <c r="R101" s="484"/>
      <c r="S101" s="484"/>
      <c r="T101" s="484"/>
      <c r="U101" s="484"/>
      <c r="V101" s="484"/>
      <c r="W101" s="484"/>
      <c r="X101" s="484"/>
      <c r="Y101" s="484"/>
      <c r="Z101" s="484"/>
      <c r="AA101" s="485"/>
      <c r="AB101" s="483"/>
      <c r="AC101" s="484"/>
      <c r="AD101" s="484"/>
      <c r="AE101" s="484"/>
      <c r="AF101" s="484"/>
      <c r="AG101" s="484"/>
      <c r="AH101" s="484"/>
      <c r="AI101" s="484"/>
      <c r="AJ101" s="485"/>
      <c r="AK101" s="483"/>
      <c r="AL101" s="485"/>
    </row>
    <row r="102" spans="1:52" ht="14.4" x14ac:dyDescent="0.3">
      <c r="A102" s="202">
        <v>32</v>
      </c>
      <c r="B102" s="477"/>
      <c r="C102" s="478"/>
      <c r="D102" s="478"/>
      <c r="E102" s="478"/>
      <c r="F102" s="478"/>
      <c r="G102" s="478"/>
      <c r="H102" s="478"/>
      <c r="I102" s="478"/>
      <c r="J102" s="479"/>
      <c r="K102" s="480"/>
      <c r="L102" s="481"/>
      <c r="M102" s="481"/>
      <c r="N102" s="481"/>
      <c r="O102" s="481"/>
      <c r="P102" s="482"/>
      <c r="Q102" s="483"/>
      <c r="R102" s="484"/>
      <c r="S102" s="484"/>
      <c r="T102" s="484"/>
      <c r="U102" s="484"/>
      <c r="V102" s="484"/>
      <c r="W102" s="484"/>
      <c r="X102" s="484"/>
      <c r="Y102" s="484"/>
      <c r="Z102" s="484"/>
      <c r="AA102" s="485"/>
      <c r="AB102" s="483"/>
      <c r="AC102" s="484"/>
      <c r="AD102" s="484"/>
      <c r="AE102" s="484"/>
      <c r="AF102" s="484"/>
      <c r="AG102" s="484"/>
      <c r="AH102" s="484"/>
      <c r="AI102" s="484"/>
      <c r="AJ102" s="485"/>
      <c r="AK102" s="483"/>
      <c r="AL102" s="485"/>
    </row>
    <row r="103" spans="1:52" ht="14.4" x14ac:dyDescent="0.3">
      <c r="A103" s="202">
        <v>33</v>
      </c>
      <c r="B103" s="477"/>
      <c r="C103" s="478"/>
      <c r="D103" s="478"/>
      <c r="E103" s="478"/>
      <c r="F103" s="478"/>
      <c r="G103" s="478"/>
      <c r="H103" s="478"/>
      <c r="I103" s="478"/>
      <c r="J103" s="479"/>
      <c r="K103" s="480"/>
      <c r="L103" s="481"/>
      <c r="M103" s="481"/>
      <c r="N103" s="481"/>
      <c r="O103" s="481"/>
      <c r="P103" s="482"/>
      <c r="Q103" s="483"/>
      <c r="R103" s="484"/>
      <c r="S103" s="484"/>
      <c r="T103" s="484"/>
      <c r="U103" s="484"/>
      <c r="V103" s="484"/>
      <c r="W103" s="484"/>
      <c r="X103" s="484"/>
      <c r="Y103" s="484"/>
      <c r="Z103" s="484"/>
      <c r="AA103" s="485"/>
      <c r="AB103" s="483"/>
      <c r="AC103" s="484"/>
      <c r="AD103" s="484"/>
      <c r="AE103" s="484"/>
      <c r="AF103" s="484"/>
      <c r="AG103" s="484"/>
      <c r="AH103" s="484"/>
      <c r="AI103" s="484"/>
      <c r="AJ103" s="485"/>
      <c r="AK103" s="483"/>
      <c r="AL103" s="485"/>
    </row>
    <row r="104" spans="1:52" ht="14.4" x14ac:dyDescent="0.3">
      <c r="A104" s="202">
        <v>34</v>
      </c>
      <c r="B104" s="477"/>
      <c r="C104" s="478"/>
      <c r="D104" s="478"/>
      <c r="E104" s="478"/>
      <c r="F104" s="478"/>
      <c r="G104" s="478"/>
      <c r="H104" s="478"/>
      <c r="I104" s="478"/>
      <c r="J104" s="479"/>
      <c r="K104" s="480"/>
      <c r="L104" s="481"/>
      <c r="M104" s="481"/>
      <c r="N104" s="481"/>
      <c r="O104" s="481"/>
      <c r="P104" s="482"/>
      <c r="Q104" s="483"/>
      <c r="R104" s="484"/>
      <c r="S104" s="484"/>
      <c r="T104" s="484"/>
      <c r="U104" s="484"/>
      <c r="V104" s="484"/>
      <c r="W104" s="484"/>
      <c r="X104" s="484"/>
      <c r="Y104" s="484"/>
      <c r="Z104" s="484"/>
      <c r="AA104" s="485"/>
      <c r="AB104" s="483"/>
      <c r="AC104" s="484"/>
      <c r="AD104" s="484"/>
      <c r="AE104" s="484"/>
      <c r="AF104" s="484"/>
      <c r="AG104" s="484"/>
      <c r="AH104" s="484"/>
      <c r="AI104" s="484"/>
      <c r="AJ104" s="485"/>
      <c r="AK104" s="483"/>
      <c r="AL104" s="485"/>
    </row>
    <row r="105" spans="1:52" ht="14.4" x14ac:dyDescent="0.3">
      <c r="A105" s="202">
        <v>35</v>
      </c>
      <c r="B105" s="477"/>
      <c r="C105" s="478"/>
      <c r="D105" s="478"/>
      <c r="E105" s="478"/>
      <c r="F105" s="478"/>
      <c r="G105" s="478"/>
      <c r="H105" s="478"/>
      <c r="I105" s="478"/>
      <c r="J105" s="479"/>
      <c r="K105" s="480"/>
      <c r="L105" s="481"/>
      <c r="M105" s="481"/>
      <c r="N105" s="481"/>
      <c r="O105" s="481"/>
      <c r="P105" s="482"/>
      <c r="Q105" s="483"/>
      <c r="R105" s="484"/>
      <c r="S105" s="484"/>
      <c r="T105" s="484"/>
      <c r="U105" s="484"/>
      <c r="V105" s="484"/>
      <c r="W105" s="484"/>
      <c r="X105" s="484"/>
      <c r="Y105" s="484"/>
      <c r="Z105" s="484"/>
      <c r="AA105" s="485"/>
      <c r="AB105" s="483"/>
      <c r="AC105" s="484"/>
      <c r="AD105" s="484"/>
      <c r="AE105" s="484"/>
      <c r="AF105" s="484"/>
      <c r="AG105" s="484"/>
      <c r="AH105" s="484"/>
      <c r="AI105" s="484"/>
      <c r="AJ105" s="485"/>
      <c r="AK105" s="483"/>
      <c r="AL105" s="485"/>
    </row>
    <row r="106" spans="1:52" ht="14.4" x14ac:dyDescent="0.3">
      <c r="A106" s="202">
        <v>36</v>
      </c>
      <c r="B106" s="477"/>
      <c r="C106" s="478"/>
      <c r="D106" s="478"/>
      <c r="E106" s="478"/>
      <c r="F106" s="478"/>
      <c r="G106" s="478"/>
      <c r="H106" s="478"/>
      <c r="I106" s="478"/>
      <c r="J106" s="479"/>
      <c r="K106" s="480"/>
      <c r="L106" s="481"/>
      <c r="M106" s="481"/>
      <c r="N106" s="481"/>
      <c r="O106" s="481"/>
      <c r="P106" s="482"/>
      <c r="Q106" s="483"/>
      <c r="R106" s="484"/>
      <c r="S106" s="484"/>
      <c r="T106" s="484"/>
      <c r="U106" s="484"/>
      <c r="V106" s="484"/>
      <c r="W106" s="484"/>
      <c r="X106" s="484"/>
      <c r="Y106" s="484"/>
      <c r="Z106" s="484"/>
      <c r="AA106" s="485"/>
      <c r="AB106" s="483"/>
      <c r="AC106" s="484"/>
      <c r="AD106" s="484"/>
      <c r="AE106" s="484"/>
      <c r="AF106" s="484"/>
      <c r="AG106" s="484"/>
      <c r="AH106" s="484"/>
      <c r="AI106" s="484"/>
      <c r="AJ106" s="485"/>
      <c r="AK106" s="483"/>
      <c r="AL106" s="485"/>
    </row>
    <row r="107" spans="1:52" ht="14.4" x14ac:dyDescent="0.3">
      <c r="A107" s="202">
        <v>37</v>
      </c>
      <c r="B107" s="488" t="s">
        <v>756</v>
      </c>
      <c r="C107" s="489"/>
      <c r="D107" s="489"/>
      <c r="E107" s="489"/>
      <c r="F107" s="489"/>
      <c r="G107" s="489"/>
      <c r="H107" s="489"/>
      <c r="I107" s="489"/>
      <c r="J107" s="490"/>
      <c r="K107" s="491" t="s">
        <v>757</v>
      </c>
      <c r="L107" s="492"/>
      <c r="M107" s="492"/>
      <c r="N107" s="492"/>
      <c r="O107" s="492"/>
      <c r="P107" s="493"/>
      <c r="Q107" s="494">
        <f>SUM(Q71:AA106)</f>
        <v>0</v>
      </c>
      <c r="R107" s="495"/>
      <c r="S107" s="495"/>
      <c r="T107" s="495"/>
      <c r="U107" s="495"/>
      <c r="V107" s="495"/>
      <c r="W107" s="495"/>
      <c r="X107" s="495"/>
      <c r="Y107" s="495"/>
      <c r="Z107" s="495"/>
      <c r="AA107" s="496"/>
      <c r="AB107" s="494">
        <f>SUM(AB71:AJ106)</f>
        <v>0</v>
      </c>
      <c r="AC107" s="495"/>
      <c r="AD107" s="495"/>
      <c r="AE107" s="495"/>
      <c r="AF107" s="495"/>
      <c r="AG107" s="495"/>
      <c r="AH107" s="495"/>
      <c r="AI107" s="495"/>
      <c r="AJ107" s="496"/>
      <c r="AK107" s="494">
        <f>SUM(AK71:AL106)</f>
        <v>0</v>
      </c>
      <c r="AL107" s="496"/>
    </row>
    <row r="108" spans="1:52" ht="14.4" x14ac:dyDescent="0.25">
      <c r="A108" s="328" t="s">
        <v>687</v>
      </c>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c r="X108" s="328"/>
      <c r="Y108" s="328"/>
      <c r="Z108" s="328"/>
      <c r="AA108" s="328"/>
      <c r="AB108" s="328"/>
      <c r="AC108" s="328"/>
      <c r="AD108" s="328"/>
      <c r="AE108" s="328"/>
      <c r="AF108" s="328"/>
      <c r="AG108" s="328"/>
      <c r="AH108" s="328"/>
      <c r="AI108" s="328"/>
      <c r="AJ108" s="328"/>
      <c r="AK108" s="328"/>
      <c r="AL108" s="328"/>
      <c r="AM108" s="79"/>
      <c r="AN108" s="66"/>
      <c r="AO108" s="66"/>
      <c r="AP108" s="66"/>
      <c r="AQ108" s="66"/>
      <c r="AR108" s="66"/>
      <c r="AS108" s="66"/>
      <c r="AT108" s="66"/>
      <c r="AU108" s="66"/>
      <c r="AV108" s="66"/>
      <c r="AW108" s="66"/>
      <c r="AX108" s="66"/>
      <c r="AY108" s="66"/>
      <c r="AZ108" s="66"/>
    </row>
    <row r="109" spans="1:52" ht="34.5" customHeight="1" x14ac:dyDescent="0.25">
      <c r="A109" s="391" t="s">
        <v>735</v>
      </c>
      <c r="B109" s="391"/>
      <c r="C109" s="391"/>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c r="AA109" s="391"/>
      <c r="AB109" s="391"/>
      <c r="AC109" s="391"/>
      <c r="AD109" s="391"/>
      <c r="AE109" s="391"/>
      <c r="AF109" s="391"/>
      <c r="AG109" s="391"/>
      <c r="AH109" s="391"/>
      <c r="AI109" s="391"/>
      <c r="AJ109" s="391"/>
      <c r="AK109" s="391"/>
      <c r="AL109" s="391"/>
      <c r="AM109" s="76"/>
    </row>
    <row r="110" spans="1:52" ht="34.5" customHeight="1" x14ac:dyDescent="0.25">
      <c r="A110" s="392" t="s">
        <v>736</v>
      </c>
      <c r="B110" s="392"/>
      <c r="C110" s="392"/>
      <c r="D110" s="392"/>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c r="AA110" s="392"/>
      <c r="AB110" s="392"/>
      <c r="AC110" s="392"/>
      <c r="AD110" s="392"/>
      <c r="AE110" s="392"/>
      <c r="AF110" s="392"/>
      <c r="AG110" s="392"/>
      <c r="AH110" s="392"/>
      <c r="AI110" s="392"/>
      <c r="AJ110" s="392"/>
      <c r="AK110" s="392"/>
      <c r="AL110" s="392"/>
    </row>
    <row r="111" spans="1:52" ht="58.5" customHeight="1" x14ac:dyDescent="0.25">
      <c r="A111" s="332" t="s">
        <v>738</v>
      </c>
      <c r="B111" s="332"/>
      <c r="C111" s="332"/>
      <c r="D111" s="332"/>
      <c r="E111" s="332"/>
      <c r="F111" s="332"/>
      <c r="G111" s="332"/>
      <c r="H111" s="332"/>
      <c r="I111" s="332"/>
      <c r="J111" s="332"/>
      <c r="K111" s="332"/>
      <c r="L111" s="332"/>
      <c r="M111" s="332"/>
      <c r="N111" s="332"/>
      <c r="O111" s="332"/>
      <c r="P111" s="332"/>
      <c r="Q111" s="332"/>
      <c r="R111" s="332"/>
      <c r="S111" s="332"/>
      <c r="T111" s="332"/>
      <c r="U111" s="332"/>
      <c r="V111" s="332"/>
      <c r="W111" s="332"/>
      <c r="X111" s="332"/>
      <c r="Y111" s="332"/>
      <c r="Z111" s="332"/>
      <c r="AA111" s="332"/>
      <c r="AB111" s="332"/>
      <c r="AC111" s="332"/>
      <c r="AD111" s="332"/>
      <c r="AE111" s="332"/>
      <c r="AF111" s="332"/>
      <c r="AG111" s="332"/>
      <c r="AH111" s="332"/>
      <c r="AI111" s="332"/>
      <c r="AJ111" s="332"/>
      <c r="AK111" s="332"/>
      <c r="AL111" s="332"/>
    </row>
    <row r="112" spans="1:52" ht="51.45" customHeight="1" x14ac:dyDescent="0.25">
      <c r="A112" s="333" t="s">
        <v>739</v>
      </c>
      <c r="B112" s="333"/>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333"/>
      <c r="AH112" s="333"/>
      <c r="AI112" s="333"/>
      <c r="AJ112" s="333"/>
      <c r="AK112" s="333"/>
      <c r="AL112" s="333"/>
    </row>
    <row r="113" spans="1:40" ht="45" customHeight="1" x14ac:dyDescent="0.25">
      <c r="A113" s="486" t="s">
        <v>846</v>
      </c>
      <c r="B113" s="487"/>
      <c r="C113" s="487"/>
      <c r="D113" s="487"/>
      <c r="E113" s="487"/>
      <c r="F113" s="487"/>
      <c r="G113" s="487"/>
      <c r="H113" s="487"/>
      <c r="I113" s="487"/>
      <c r="J113" s="487"/>
      <c r="K113" s="487"/>
      <c r="L113" s="487"/>
      <c r="M113" s="487"/>
      <c r="N113" s="487"/>
      <c r="O113" s="487"/>
      <c r="P113" s="487"/>
      <c r="Q113" s="487"/>
      <c r="R113" s="487"/>
      <c r="S113" s="487"/>
      <c r="T113" s="487"/>
      <c r="U113" s="487"/>
      <c r="V113" s="487"/>
      <c r="W113" s="487"/>
      <c r="X113" s="487"/>
      <c r="Y113" s="487"/>
      <c r="Z113" s="487"/>
      <c r="AA113" s="487"/>
      <c r="AB113" s="487"/>
      <c r="AC113" s="487"/>
      <c r="AD113" s="487"/>
      <c r="AE113" s="487"/>
      <c r="AF113" s="487"/>
      <c r="AG113" s="487"/>
      <c r="AH113" s="487"/>
      <c r="AI113" s="487"/>
      <c r="AJ113" s="487"/>
      <c r="AK113" s="487"/>
      <c r="AL113" s="487"/>
      <c r="AM113" s="83"/>
    </row>
    <row r="114" spans="1:40" ht="44.7" customHeight="1" x14ac:dyDescent="0.25">
      <c r="A114" s="308" t="s">
        <v>1109</v>
      </c>
      <c r="B114" s="332"/>
      <c r="C114" s="332"/>
      <c r="D114" s="332"/>
      <c r="E114" s="332"/>
      <c r="F114" s="332"/>
      <c r="G114" s="332"/>
      <c r="H114" s="332"/>
      <c r="I114" s="332"/>
      <c r="J114" s="332"/>
      <c r="K114" s="332"/>
      <c r="L114" s="332"/>
      <c r="M114" s="332"/>
      <c r="N114" s="332"/>
      <c r="O114" s="332"/>
      <c r="P114" s="332"/>
      <c r="Q114" s="332"/>
      <c r="R114" s="332"/>
      <c r="S114" s="332"/>
      <c r="T114" s="332"/>
      <c r="U114" s="332"/>
      <c r="V114" s="332"/>
      <c r="W114" s="332"/>
      <c r="X114" s="332"/>
      <c r="Y114" s="332"/>
      <c r="Z114" s="332"/>
      <c r="AA114" s="332"/>
      <c r="AB114" s="332"/>
      <c r="AC114" s="332"/>
      <c r="AD114" s="332"/>
      <c r="AE114" s="332"/>
      <c r="AF114" s="332"/>
      <c r="AG114" s="332"/>
      <c r="AH114" s="332"/>
      <c r="AI114" s="332"/>
      <c r="AJ114" s="332"/>
      <c r="AK114" s="332"/>
      <c r="AL114" s="332"/>
      <c r="AM114" s="76"/>
    </row>
    <row r="115" spans="1:40" ht="45" customHeight="1" x14ac:dyDescent="0.25">
      <c r="A115" s="333" t="s">
        <v>742</v>
      </c>
      <c r="B115" s="333"/>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c r="AM115" s="80"/>
    </row>
    <row r="116" spans="1:40" ht="45" customHeight="1" x14ac:dyDescent="0.25">
      <c r="A116" s="404" t="s">
        <v>929</v>
      </c>
      <c r="B116" s="404"/>
      <c r="C116" s="404"/>
      <c r="D116" s="404"/>
      <c r="E116" s="404"/>
      <c r="F116" s="404"/>
      <c r="G116" s="404"/>
      <c r="H116" s="404"/>
      <c r="I116" s="404"/>
      <c r="J116" s="404"/>
      <c r="K116" s="404"/>
      <c r="L116" s="404"/>
      <c r="M116" s="404"/>
      <c r="N116" s="404"/>
      <c r="O116" s="404"/>
      <c r="P116" s="404"/>
      <c r="Q116" s="404"/>
      <c r="R116" s="404"/>
      <c r="S116" s="404"/>
      <c r="T116" s="404"/>
      <c r="U116" s="404"/>
      <c r="V116" s="404"/>
      <c r="W116" s="404"/>
      <c r="X116" s="404"/>
      <c r="Y116" s="404"/>
      <c r="Z116" s="404"/>
      <c r="AA116" s="404"/>
      <c r="AB116" s="404"/>
      <c r="AC116" s="404"/>
      <c r="AD116" s="404"/>
      <c r="AE116" s="404"/>
      <c r="AF116" s="404"/>
      <c r="AG116" s="404"/>
      <c r="AH116" s="404"/>
      <c r="AI116" s="404"/>
      <c r="AJ116" s="404"/>
      <c r="AK116" s="404"/>
      <c r="AL116" s="404"/>
      <c r="AM116" s="80"/>
    </row>
    <row r="117" spans="1:40" ht="94.2" customHeight="1" x14ac:dyDescent="0.25">
      <c r="A117" s="333"/>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c r="AM117" s="80"/>
    </row>
    <row r="118" spans="1:40" ht="166.2" customHeight="1" x14ac:dyDescent="0.3">
      <c r="A118" s="318" t="s">
        <v>1006</v>
      </c>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20"/>
      <c r="AJ118" s="321">
        <f>IF(A117=Słowniki!C$50,ROUNDDOWN(Q107/(Q107+AB107),4),100%)</f>
        <v>1</v>
      </c>
      <c r="AK118" s="322"/>
      <c r="AL118" s="322"/>
      <c r="AM118" s="80"/>
    </row>
    <row r="119" spans="1:40" ht="72.45" customHeight="1" x14ac:dyDescent="0.25">
      <c r="A119" s="314" t="s">
        <v>1031</v>
      </c>
      <c r="B119" s="315"/>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c r="Y119" s="315"/>
      <c r="Z119" s="315"/>
      <c r="AA119" s="315"/>
      <c r="AB119" s="315"/>
      <c r="AC119" s="315"/>
      <c r="AD119" s="315"/>
      <c r="AE119" s="315"/>
      <c r="AF119" s="315"/>
      <c r="AG119" s="315"/>
      <c r="AH119" s="315"/>
      <c r="AI119" s="315"/>
      <c r="AJ119" s="315"/>
      <c r="AK119" s="315"/>
      <c r="AL119" s="315"/>
      <c r="AM119" s="80"/>
    </row>
    <row r="120" spans="1:40" ht="138" customHeight="1" x14ac:dyDescent="0.25">
      <c r="A120" s="316"/>
      <c r="B120" s="317"/>
      <c r="C120" s="317"/>
      <c r="D120" s="317"/>
      <c r="E120" s="317"/>
      <c r="F120" s="317"/>
      <c r="G120" s="317"/>
      <c r="H120" s="317"/>
      <c r="I120" s="317"/>
      <c r="J120" s="317"/>
      <c r="K120" s="317"/>
      <c r="L120" s="317"/>
      <c r="M120" s="317"/>
      <c r="N120" s="317"/>
      <c r="O120" s="317"/>
      <c r="P120" s="317"/>
      <c r="Q120" s="317"/>
      <c r="R120" s="317"/>
      <c r="S120" s="317"/>
      <c r="T120" s="317"/>
      <c r="U120" s="317"/>
      <c r="V120" s="317"/>
      <c r="W120" s="317"/>
      <c r="X120" s="317"/>
      <c r="Y120" s="317"/>
      <c r="Z120" s="317"/>
      <c r="AA120" s="317"/>
      <c r="AB120" s="317"/>
      <c r="AC120" s="317"/>
      <c r="AD120" s="317"/>
      <c r="AE120" s="317"/>
      <c r="AF120" s="317"/>
      <c r="AG120" s="317"/>
      <c r="AH120" s="317"/>
      <c r="AI120" s="317"/>
      <c r="AJ120" s="317"/>
      <c r="AK120" s="317"/>
      <c r="AL120" s="317"/>
      <c r="AM120" s="80"/>
    </row>
    <row r="121" spans="1:40" ht="144.44999999999999" customHeight="1" x14ac:dyDescent="0.25">
      <c r="A121" s="308" t="s">
        <v>1110</v>
      </c>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8"/>
      <c r="AH121" s="308"/>
      <c r="AI121" s="308"/>
      <c r="AJ121" s="308"/>
      <c r="AK121" s="308"/>
      <c r="AL121" s="308"/>
      <c r="AM121" s="76"/>
    </row>
    <row r="122" spans="1:40" ht="90.75" customHeight="1" x14ac:dyDescent="0.25">
      <c r="A122" s="135" t="s">
        <v>127</v>
      </c>
      <c r="B122" s="311" t="s">
        <v>812</v>
      </c>
      <c r="C122" s="312"/>
      <c r="D122" s="312"/>
      <c r="E122" s="312"/>
      <c r="F122" s="313"/>
      <c r="G122" s="325" t="s">
        <v>813</v>
      </c>
      <c r="H122" s="325"/>
      <c r="I122" s="325"/>
      <c r="J122" s="325"/>
      <c r="K122" s="325"/>
      <c r="L122" s="311" t="s">
        <v>819</v>
      </c>
      <c r="M122" s="312"/>
      <c r="N122" s="312"/>
      <c r="O122" s="313"/>
      <c r="P122" s="311" t="s">
        <v>185</v>
      </c>
      <c r="Q122" s="312"/>
      <c r="R122" s="312"/>
      <c r="S122" s="312"/>
      <c r="T122" s="312"/>
      <c r="U122" s="312"/>
      <c r="V122" s="313"/>
      <c r="W122" s="311" t="s">
        <v>184</v>
      </c>
      <c r="X122" s="312"/>
      <c r="Y122" s="312"/>
      <c r="Z122" s="313"/>
      <c r="AA122" s="311" t="s">
        <v>820</v>
      </c>
      <c r="AB122" s="312"/>
      <c r="AC122" s="312"/>
      <c r="AD122" s="312"/>
      <c r="AE122" s="312"/>
      <c r="AF122" s="312"/>
      <c r="AG122" s="313"/>
      <c r="AH122" s="311" t="s">
        <v>179</v>
      </c>
      <c r="AI122" s="312"/>
      <c r="AJ122" s="313"/>
      <c r="AK122" s="311" t="s">
        <v>186</v>
      </c>
      <c r="AL122" s="313"/>
      <c r="AM122" s="144" t="s">
        <v>221</v>
      </c>
    </row>
    <row r="123" spans="1:40" ht="14.1" customHeight="1" x14ac:dyDescent="0.25">
      <c r="A123" s="135">
        <v>1</v>
      </c>
      <c r="B123" s="325">
        <v>2</v>
      </c>
      <c r="C123" s="325"/>
      <c r="D123" s="325"/>
      <c r="E123" s="325"/>
      <c r="F123" s="325"/>
      <c r="G123" s="325">
        <v>3</v>
      </c>
      <c r="H123" s="325"/>
      <c r="I123" s="325"/>
      <c r="J123" s="325"/>
      <c r="K123" s="325"/>
      <c r="L123" s="325">
        <v>4</v>
      </c>
      <c r="M123" s="325"/>
      <c r="N123" s="325"/>
      <c r="O123" s="325"/>
      <c r="P123" s="325">
        <v>5</v>
      </c>
      <c r="Q123" s="325"/>
      <c r="R123" s="325"/>
      <c r="S123" s="325"/>
      <c r="T123" s="325"/>
      <c r="U123" s="325"/>
      <c r="V123" s="325"/>
      <c r="W123" s="325">
        <v>6</v>
      </c>
      <c r="X123" s="325"/>
      <c r="Y123" s="325"/>
      <c r="Z123" s="325"/>
      <c r="AA123" s="311" t="s">
        <v>823</v>
      </c>
      <c r="AB123" s="312"/>
      <c r="AC123" s="312"/>
      <c r="AD123" s="312"/>
      <c r="AE123" s="312"/>
      <c r="AF123" s="312"/>
      <c r="AG123" s="313"/>
      <c r="AH123" s="311">
        <v>8</v>
      </c>
      <c r="AI123" s="312"/>
      <c r="AJ123" s="313"/>
      <c r="AK123" s="311" t="s">
        <v>666</v>
      </c>
      <c r="AL123" s="313"/>
      <c r="AM123" s="144"/>
    </row>
    <row r="124" spans="1:40" ht="39.450000000000003" customHeight="1" x14ac:dyDescent="0.25">
      <c r="A124" s="220">
        <v>1</v>
      </c>
      <c r="B124" s="467"/>
      <c r="C124" s="468"/>
      <c r="D124" s="468"/>
      <c r="E124" s="468"/>
      <c r="F124" s="469"/>
      <c r="G124" s="470"/>
      <c r="H124" s="471"/>
      <c r="I124" s="471"/>
      <c r="J124" s="471"/>
      <c r="K124" s="471"/>
      <c r="L124" s="470"/>
      <c r="M124" s="471"/>
      <c r="N124" s="471"/>
      <c r="O124" s="471"/>
      <c r="P124" s="472"/>
      <c r="Q124" s="473"/>
      <c r="R124" s="473"/>
      <c r="S124" s="473"/>
      <c r="T124" s="473"/>
      <c r="U124" s="473"/>
      <c r="V124" s="474"/>
      <c r="W124" s="475">
        <f>IF(OR(B124=Słowniki!A$46,B124=Słowniki!A$56,B124=Słowniki!A$58,B124=Słowniki!A$59),0.08,0.23)</f>
        <v>0.23</v>
      </c>
      <c r="X124" s="476"/>
      <c r="Y124" s="476"/>
      <c r="Z124" s="476"/>
      <c r="AA124" s="462">
        <f>P124+ROUNDDOWN(P124*W124,2)</f>
        <v>0</v>
      </c>
      <c r="AB124" s="462"/>
      <c r="AC124" s="462"/>
      <c r="AD124" s="462"/>
      <c r="AE124" s="462"/>
      <c r="AF124" s="462"/>
      <c r="AG124" s="462"/>
      <c r="AH124" s="329">
        <f>AJ$118</f>
        <v>1</v>
      </c>
      <c r="AI124" s="330"/>
      <c r="AJ124" s="331"/>
      <c r="AK124" s="291">
        <f>ROUND(AA124*AH124,2)</f>
        <v>0</v>
      </c>
      <c r="AL124" s="293"/>
      <c r="AN124" s="77"/>
    </row>
    <row r="125" spans="1:40" ht="36" customHeight="1" x14ac:dyDescent="0.25">
      <c r="A125" s="220">
        <v>2</v>
      </c>
      <c r="B125" s="467"/>
      <c r="C125" s="468"/>
      <c r="D125" s="468"/>
      <c r="E125" s="468"/>
      <c r="F125" s="469"/>
      <c r="G125" s="470"/>
      <c r="H125" s="471"/>
      <c r="I125" s="471"/>
      <c r="J125" s="471"/>
      <c r="K125" s="471"/>
      <c r="L125" s="470"/>
      <c r="M125" s="471"/>
      <c r="N125" s="471"/>
      <c r="O125" s="471"/>
      <c r="P125" s="472"/>
      <c r="Q125" s="473"/>
      <c r="R125" s="473"/>
      <c r="S125" s="473"/>
      <c r="T125" s="473"/>
      <c r="U125" s="473"/>
      <c r="V125" s="474"/>
      <c r="W125" s="475">
        <f>IF(OR(B125=Słowniki!A$46,B125=Słowniki!A$56,B125=Słowniki!A$58,B125=Słowniki!A$59),0.08,0.23)</f>
        <v>0.23</v>
      </c>
      <c r="X125" s="476"/>
      <c r="Y125" s="476"/>
      <c r="Z125" s="476"/>
      <c r="AA125" s="462">
        <f>P125+ROUNDDOWN(P125*W125,2)</f>
        <v>0</v>
      </c>
      <c r="AB125" s="462"/>
      <c r="AC125" s="462"/>
      <c r="AD125" s="462"/>
      <c r="AE125" s="462"/>
      <c r="AF125" s="462"/>
      <c r="AG125" s="462"/>
      <c r="AH125" s="329">
        <f t="shared" ref="AH125:AH169" si="0">AJ$118</f>
        <v>1</v>
      </c>
      <c r="AI125" s="330"/>
      <c r="AJ125" s="331"/>
      <c r="AK125" s="291">
        <f t="shared" ref="AK125:AK145" si="1">ROUND(AA125*AH125,2)</f>
        <v>0</v>
      </c>
      <c r="AL125" s="293"/>
      <c r="AN125" s="77"/>
    </row>
    <row r="126" spans="1:40" ht="36" customHeight="1" x14ac:dyDescent="0.25">
      <c r="A126" s="220">
        <v>3</v>
      </c>
      <c r="B126" s="467"/>
      <c r="C126" s="468"/>
      <c r="D126" s="468"/>
      <c r="E126" s="468"/>
      <c r="F126" s="469"/>
      <c r="G126" s="470"/>
      <c r="H126" s="471"/>
      <c r="I126" s="471"/>
      <c r="J126" s="471"/>
      <c r="K126" s="471"/>
      <c r="L126" s="470"/>
      <c r="M126" s="471"/>
      <c r="N126" s="471"/>
      <c r="O126" s="471"/>
      <c r="P126" s="472"/>
      <c r="Q126" s="473"/>
      <c r="R126" s="473"/>
      <c r="S126" s="473"/>
      <c r="T126" s="473"/>
      <c r="U126" s="473"/>
      <c r="V126" s="474"/>
      <c r="W126" s="475">
        <f>IF(OR(B126=Słowniki!A$46,B126=Słowniki!A$56,B126=Słowniki!A$58,B126=Słowniki!A$59),0.08,0.23)</f>
        <v>0.23</v>
      </c>
      <c r="X126" s="476"/>
      <c r="Y126" s="476"/>
      <c r="Z126" s="476"/>
      <c r="AA126" s="462">
        <f t="shared" ref="AA126:AA145" si="2">P126+ROUNDDOWN(P126*W126,2)</f>
        <v>0</v>
      </c>
      <c r="AB126" s="462"/>
      <c r="AC126" s="462"/>
      <c r="AD126" s="462"/>
      <c r="AE126" s="462"/>
      <c r="AF126" s="462"/>
      <c r="AG126" s="462"/>
      <c r="AH126" s="329">
        <f t="shared" si="0"/>
        <v>1</v>
      </c>
      <c r="AI126" s="330"/>
      <c r="AJ126" s="331"/>
      <c r="AK126" s="291">
        <f t="shared" si="1"/>
        <v>0</v>
      </c>
      <c r="AL126" s="293"/>
      <c r="AN126" s="77"/>
    </row>
    <row r="127" spans="1:40" ht="36" customHeight="1" x14ac:dyDescent="0.25">
      <c r="A127" s="220">
        <v>4</v>
      </c>
      <c r="B127" s="467"/>
      <c r="C127" s="468"/>
      <c r="D127" s="468"/>
      <c r="E127" s="468"/>
      <c r="F127" s="469"/>
      <c r="G127" s="470"/>
      <c r="H127" s="471"/>
      <c r="I127" s="471"/>
      <c r="J127" s="471"/>
      <c r="K127" s="471"/>
      <c r="L127" s="470"/>
      <c r="M127" s="471"/>
      <c r="N127" s="471"/>
      <c r="O127" s="471"/>
      <c r="P127" s="472"/>
      <c r="Q127" s="473"/>
      <c r="R127" s="473"/>
      <c r="S127" s="473"/>
      <c r="T127" s="473"/>
      <c r="U127" s="473"/>
      <c r="V127" s="474"/>
      <c r="W127" s="475">
        <f>IF(OR(B127=Słowniki!A$46,B127=Słowniki!A$56,B127=Słowniki!A$58,B127=Słowniki!A$59),0.08,0.23)</f>
        <v>0.23</v>
      </c>
      <c r="X127" s="476"/>
      <c r="Y127" s="476"/>
      <c r="Z127" s="476"/>
      <c r="AA127" s="462">
        <f t="shared" si="2"/>
        <v>0</v>
      </c>
      <c r="AB127" s="462"/>
      <c r="AC127" s="462"/>
      <c r="AD127" s="462"/>
      <c r="AE127" s="462"/>
      <c r="AF127" s="462"/>
      <c r="AG127" s="462"/>
      <c r="AH127" s="329">
        <f t="shared" si="0"/>
        <v>1</v>
      </c>
      <c r="AI127" s="330"/>
      <c r="AJ127" s="331"/>
      <c r="AK127" s="291">
        <f t="shared" si="1"/>
        <v>0</v>
      </c>
      <c r="AL127" s="293"/>
      <c r="AN127" s="77"/>
    </row>
    <row r="128" spans="1:40" ht="36" customHeight="1" x14ac:dyDescent="0.25">
      <c r="A128" s="220">
        <v>5</v>
      </c>
      <c r="B128" s="467"/>
      <c r="C128" s="468"/>
      <c r="D128" s="468"/>
      <c r="E128" s="468"/>
      <c r="F128" s="469"/>
      <c r="G128" s="470"/>
      <c r="H128" s="471"/>
      <c r="I128" s="471"/>
      <c r="J128" s="471"/>
      <c r="K128" s="471"/>
      <c r="L128" s="470"/>
      <c r="M128" s="471"/>
      <c r="N128" s="471"/>
      <c r="O128" s="471"/>
      <c r="P128" s="472"/>
      <c r="Q128" s="473"/>
      <c r="R128" s="473"/>
      <c r="S128" s="473"/>
      <c r="T128" s="473"/>
      <c r="U128" s="473"/>
      <c r="V128" s="474"/>
      <c r="W128" s="475">
        <f>IF(OR(B128=Słowniki!A$46,B128=Słowniki!A$56,B128=Słowniki!A$58,B128=Słowniki!A$59),0.08,0.23)</f>
        <v>0.23</v>
      </c>
      <c r="X128" s="476"/>
      <c r="Y128" s="476"/>
      <c r="Z128" s="476"/>
      <c r="AA128" s="462">
        <f t="shared" si="2"/>
        <v>0</v>
      </c>
      <c r="AB128" s="462"/>
      <c r="AC128" s="462"/>
      <c r="AD128" s="462"/>
      <c r="AE128" s="462"/>
      <c r="AF128" s="462"/>
      <c r="AG128" s="462"/>
      <c r="AH128" s="329">
        <f t="shared" si="0"/>
        <v>1</v>
      </c>
      <c r="AI128" s="330"/>
      <c r="AJ128" s="331"/>
      <c r="AK128" s="291">
        <f t="shared" si="1"/>
        <v>0</v>
      </c>
      <c r="AL128" s="293"/>
      <c r="AN128" s="77"/>
    </row>
    <row r="129" spans="1:40" ht="36" customHeight="1" x14ac:dyDescent="0.25">
      <c r="A129" s="220">
        <v>6</v>
      </c>
      <c r="B129" s="467"/>
      <c r="C129" s="468"/>
      <c r="D129" s="468"/>
      <c r="E129" s="468"/>
      <c r="F129" s="469"/>
      <c r="G129" s="470"/>
      <c r="H129" s="471"/>
      <c r="I129" s="471"/>
      <c r="J129" s="471"/>
      <c r="K129" s="471"/>
      <c r="L129" s="470"/>
      <c r="M129" s="471"/>
      <c r="N129" s="471"/>
      <c r="O129" s="471"/>
      <c r="P129" s="472"/>
      <c r="Q129" s="473"/>
      <c r="R129" s="473"/>
      <c r="S129" s="473"/>
      <c r="T129" s="473"/>
      <c r="U129" s="473"/>
      <c r="V129" s="474"/>
      <c r="W129" s="475">
        <f>IF(OR(B129=Słowniki!A$46,B129=Słowniki!A$56,B129=Słowniki!A$58,B129=Słowniki!A$59),0.08,0.23)</f>
        <v>0.23</v>
      </c>
      <c r="X129" s="476"/>
      <c r="Y129" s="476"/>
      <c r="Z129" s="476"/>
      <c r="AA129" s="462">
        <f t="shared" si="2"/>
        <v>0</v>
      </c>
      <c r="AB129" s="462"/>
      <c r="AC129" s="462"/>
      <c r="AD129" s="462"/>
      <c r="AE129" s="462"/>
      <c r="AF129" s="462"/>
      <c r="AG129" s="462"/>
      <c r="AH129" s="329">
        <f t="shared" si="0"/>
        <v>1</v>
      </c>
      <c r="AI129" s="330"/>
      <c r="AJ129" s="331"/>
      <c r="AK129" s="291">
        <f t="shared" si="1"/>
        <v>0</v>
      </c>
      <c r="AL129" s="293"/>
      <c r="AN129" s="77"/>
    </row>
    <row r="130" spans="1:40" ht="36" customHeight="1" x14ac:dyDescent="0.25">
      <c r="A130" s="220">
        <v>7</v>
      </c>
      <c r="B130" s="467"/>
      <c r="C130" s="468"/>
      <c r="D130" s="468"/>
      <c r="E130" s="468"/>
      <c r="F130" s="469"/>
      <c r="G130" s="470"/>
      <c r="H130" s="471"/>
      <c r="I130" s="471"/>
      <c r="J130" s="471"/>
      <c r="K130" s="471"/>
      <c r="L130" s="470"/>
      <c r="M130" s="471"/>
      <c r="N130" s="471"/>
      <c r="O130" s="471"/>
      <c r="P130" s="472"/>
      <c r="Q130" s="473"/>
      <c r="R130" s="473"/>
      <c r="S130" s="473"/>
      <c r="T130" s="473"/>
      <c r="U130" s="473"/>
      <c r="V130" s="474"/>
      <c r="W130" s="475">
        <f>IF(OR(B130=Słowniki!A$46,B130=Słowniki!A$56,B130=Słowniki!A$58,B130=Słowniki!A$59),0.08,0.23)</f>
        <v>0.23</v>
      </c>
      <c r="X130" s="476"/>
      <c r="Y130" s="476"/>
      <c r="Z130" s="476"/>
      <c r="AA130" s="462">
        <f t="shared" si="2"/>
        <v>0</v>
      </c>
      <c r="AB130" s="462"/>
      <c r="AC130" s="462"/>
      <c r="AD130" s="462"/>
      <c r="AE130" s="462"/>
      <c r="AF130" s="462"/>
      <c r="AG130" s="462"/>
      <c r="AH130" s="329">
        <f t="shared" si="0"/>
        <v>1</v>
      </c>
      <c r="AI130" s="330"/>
      <c r="AJ130" s="331"/>
      <c r="AK130" s="291">
        <f t="shared" si="1"/>
        <v>0</v>
      </c>
      <c r="AL130" s="293"/>
      <c r="AN130" s="77"/>
    </row>
    <row r="131" spans="1:40" ht="36" customHeight="1" x14ac:dyDescent="0.25">
      <c r="A131" s="220">
        <v>8</v>
      </c>
      <c r="B131" s="467"/>
      <c r="C131" s="468"/>
      <c r="D131" s="468"/>
      <c r="E131" s="468"/>
      <c r="F131" s="469"/>
      <c r="G131" s="470"/>
      <c r="H131" s="471"/>
      <c r="I131" s="471"/>
      <c r="J131" s="471"/>
      <c r="K131" s="471"/>
      <c r="L131" s="470"/>
      <c r="M131" s="471"/>
      <c r="N131" s="471"/>
      <c r="O131" s="471"/>
      <c r="P131" s="472"/>
      <c r="Q131" s="473"/>
      <c r="R131" s="473"/>
      <c r="S131" s="473"/>
      <c r="T131" s="473"/>
      <c r="U131" s="473"/>
      <c r="V131" s="474"/>
      <c r="W131" s="475">
        <f>IF(OR(B131=Słowniki!A$46,B131=Słowniki!A$56,B131=Słowniki!A$58,B131=Słowniki!A$59),0.08,0.23)</f>
        <v>0.23</v>
      </c>
      <c r="X131" s="476"/>
      <c r="Y131" s="476"/>
      <c r="Z131" s="476"/>
      <c r="AA131" s="462">
        <f t="shared" si="2"/>
        <v>0</v>
      </c>
      <c r="AB131" s="462"/>
      <c r="AC131" s="462"/>
      <c r="AD131" s="462"/>
      <c r="AE131" s="462"/>
      <c r="AF131" s="462"/>
      <c r="AG131" s="462"/>
      <c r="AH131" s="329">
        <f t="shared" si="0"/>
        <v>1</v>
      </c>
      <c r="AI131" s="330"/>
      <c r="AJ131" s="331"/>
      <c r="AK131" s="291">
        <f t="shared" si="1"/>
        <v>0</v>
      </c>
      <c r="AL131" s="293"/>
      <c r="AN131" s="77"/>
    </row>
    <row r="132" spans="1:40" ht="36" customHeight="1" x14ac:dyDescent="0.25">
      <c r="A132" s="220">
        <v>9</v>
      </c>
      <c r="B132" s="467"/>
      <c r="C132" s="468"/>
      <c r="D132" s="468"/>
      <c r="E132" s="468"/>
      <c r="F132" s="469"/>
      <c r="G132" s="470"/>
      <c r="H132" s="471"/>
      <c r="I132" s="471"/>
      <c r="J132" s="471"/>
      <c r="K132" s="471"/>
      <c r="L132" s="470"/>
      <c r="M132" s="471"/>
      <c r="N132" s="471"/>
      <c r="O132" s="471"/>
      <c r="P132" s="472"/>
      <c r="Q132" s="473"/>
      <c r="R132" s="473"/>
      <c r="S132" s="473"/>
      <c r="T132" s="473"/>
      <c r="U132" s="473"/>
      <c r="V132" s="474"/>
      <c r="W132" s="475">
        <f>IF(OR(B132=Słowniki!A$46,B132=Słowniki!A$56,B132=Słowniki!A$58,B132=Słowniki!A$59),0.08,0.23)</f>
        <v>0.23</v>
      </c>
      <c r="X132" s="476"/>
      <c r="Y132" s="476"/>
      <c r="Z132" s="476"/>
      <c r="AA132" s="462">
        <f t="shared" si="2"/>
        <v>0</v>
      </c>
      <c r="AB132" s="462"/>
      <c r="AC132" s="462"/>
      <c r="AD132" s="462"/>
      <c r="AE132" s="462"/>
      <c r="AF132" s="462"/>
      <c r="AG132" s="462"/>
      <c r="AH132" s="329">
        <f t="shared" si="0"/>
        <v>1</v>
      </c>
      <c r="AI132" s="330"/>
      <c r="AJ132" s="331"/>
      <c r="AK132" s="291">
        <f t="shared" si="1"/>
        <v>0</v>
      </c>
      <c r="AL132" s="293"/>
      <c r="AN132" s="77"/>
    </row>
    <row r="133" spans="1:40" ht="36" customHeight="1" x14ac:dyDescent="0.25">
      <c r="A133" s="220">
        <v>10</v>
      </c>
      <c r="B133" s="467"/>
      <c r="C133" s="468"/>
      <c r="D133" s="468"/>
      <c r="E133" s="468"/>
      <c r="F133" s="469"/>
      <c r="G133" s="470"/>
      <c r="H133" s="471"/>
      <c r="I133" s="471"/>
      <c r="J133" s="471"/>
      <c r="K133" s="471"/>
      <c r="L133" s="470"/>
      <c r="M133" s="471"/>
      <c r="N133" s="471"/>
      <c r="O133" s="471"/>
      <c r="P133" s="472"/>
      <c r="Q133" s="473"/>
      <c r="R133" s="473"/>
      <c r="S133" s="473"/>
      <c r="T133" s="473"/>
      <c r="U133" s="473"/>
      <c r="V133" s="474"/>
      <c r="W133" s="475">
        <f>IF(OR(B133=Słowniki!A$46,B133=Słowniki!A$56,B133=Słowniki!A$58,B133=Słowniki!A$59),0.08,0.23)</f>
        <v>0.23</v>
      </c>
      <c r="X133" s="476"/>
      <c r="Y133" s="476"/>
      <c r="Z133" s="476"/>
      <c r="AA133" s="462">
        <f t="shared" si="2"/>
        <v>0</v>
      </c>
      <c r="AB133" s="462"/>
      <c r="AC133" s="462"/>
      <c r="AD133" s="462"/>
      <c r="AE133" s="462"/>
      <c r="AF133" s="462"/>
      <c r="AG133" s="462"/>
      <c r="AH133" s="329">
        <f t="shared" si="0"/>
        <v>1</v>
      </c>
      <c r="AI133" s="330"/>
      <c r="AJ133" s="331"/>
      <c r="AK133" s="291">
        <f t="shared" si="1"/>
        <v>0</v>
      </c>
      <c r="AL133" s="293"/>
      <c r="AN133" s="77"/>
    </row>
    <row r="134" spans="1:40" ht="36" customHeight="1" x14ac:dyDescent="0.25">
      <c r="A134" s="220">
        <v>11</v>
      </c>
      <c r="B134" s="467"/>
      <c r="C134" s="468"/>
      <c r="D134" s="468"/>
      <c r="E134" s="468"/>
      <c r="F134" s="469"/>
      <c r="G134" s="470"/>
      <c r="H134" s="471"/>
      <c r="I134" s="471"/>
      <c r="J134" s="471"/>
      <c r="K134" s="471"/>
      <c r="L134" s="470"/>
      <c r="M134" s="471"/>
      <c r="N134" s="471"/>
      <c r="O134" s="471"/>
      <c r="P134" s="472"/>
      <c r="Q134" s="473"/>
      <c r="R134" s="473"/>
      <c r="S134" s="473"/>
      <c r="T134" s="473"/>
      <c r="U134" s="473"/>
      <c r="V134" s="474"/>
      <c r="W134" s="475">
        <f>IF(OR(B134=Słowniki!A$46,B134=Słowniki!A$56,B134=Słowniki!A$58,B134=Słowniki!A$59),0.08,0.23)</f>
        <v>0.23</v>
      </c>
      <c r="X134" s="476"/>
      <c r="Y134" s="476"/>
      <c r="Z134" s="476"/>
      <c r="AA134" s="462">
        <f t="shared" si="2"/>
        <v>0</v>
      </c>
      <c r="AB134" s="462"/>
      <c r="AC134" s="462"/>
      <c r="AD134" s="462"/>
      <c r="AE134" s="462"/>
      <c r="AF134" s="462"/>
      <c r="AG134" s="462"/>
      <c r="AH134" s="329">
        <f t="shared" si="0"/>
        <v>1</v>
      </c>
      <c r="AI134" s="330"/>
      <c r="AJ134" s="331"/>
      <c r="AK134" s="291">
        <f t="shared" si="1"/>
        <v>0</v>
      </c>
      <c r="AL134" s="293"/>
      <c r="AN134" s="77"/>
    </row>
    <row r="135" spans="1:40" ht="36" customHeight="1" x14ac:dyDescent="0.25">
      <c r="A135" s="220">
        <v>12</v>
      </c>
      <c r="B135" s="467"/>
      <c r="C135" s="468"/>
      <c r="D135" s="468"/>
      <c r="E135" s="468"/>
      <c r="F135" s="469"/>
      <c r="G135" s="470"/>
      <c r="H135" s="471"/>
      <c r="I135" s="471"/>
      <c r="J135" s="471"/>
      <c r="K135" s="471"/>
      <c r="L135" s="470"/>
      <c r="M135" s="471"/>
      <c r="N135" s="471"/>
      <c r="O135" s="471"/>
      <c r="P135" s="472"/>
      <c r="Q135" s="473"/>
      <c r="R135" s="473"/>
      <c r="S135" s="473"/>
      <c r="T135" s="473"/>
      <c r="U135" s="473"/>
      <c r="V135" s="474"/>
      <c r="W135" s="475">
        <f>IF(OR(B135=Słowniki!A$46,B135=Słowniki!A$56,B135=Słowniki!A$58,B135=Słowniki!A$59),0.08,0.23)</f>
        <v>0.23</v>
      </c>
      <c r="X135" s="476"/>
      <c r="Y135" s="476"/>
      <c r="Z135" s="476"/>
      <c r="AA135" s="462">
        <f t="shared" si="2"/>
        <v>0</v>
      </c>
      <c r="AB135" s="462"/>
      <c r="AC135" s="462"/>
      <c r="AD135" s="462"/>
      <c r="AE135" s="462"/>
      <c r="AF135" s="462"/>
      <c r="AG135" s="462"/>
      <c r="AH135" s="329">
        <f t="shared" si="0"/>
        <v>1</v>
      </c>
      <c r="AI135" s="330"/>
      <c r="AJ135" s="331"/>
      <c r="AK135" s="291">
        <f t="shared" si="1"/>
        <v>0</v>
      </c>
      <c r="AL135" s="293"/>
      <c r="AN135" s="77"/>
    </row>
    <row r="136" spans="1:40" ht="36" customHeight="1" x14ac:dyDescent="0.25">
      <c r="A136" s="220">
        <v>13</v>
      </c>
      <c r="B136" s="467"/>
      <c r="C136" s="468"/>
      <c r="D136" s="468"/>
      <c r="E136" s="468"/>
      <c r="F136" s="469"/>
      <c r="G136" s="470"/>
      <c r="H136" s="471"/>
      <c r="I136" s="471"/>
      <c r="J136" s="471"/>
      <c r="K136" s="471"/>
      <c r="L136" s="470"/>
      <c r="M136" s="471"/>
      <c r="N136" s="471"/>
      <c r="O136" s="471"/>
      <c r="P136" s="472"/>
      <c r="Q136" s="473"/>
      <c r="R136" s="473"/>
      <c r="S136" s="473"/>
      <c r="T136" s="473"/>
      <c r="U136" s="473"/>
      <c r="V136" s="474"/>
      <c r="W136" s="475">
        <f>IF(OR(B136=Słowniki!A$46,B136=Słowniki!A$56,B136=Słowniki!A$58,B136=Słowniki!A$59),0.08,0.23)</f>
        <v>0.23</v>
      </c>
      <c r="X136" s="476"/>
      <c r="Y136" s="476"/>
      <c r="Z136" s="476"/>
      <c r="AA136" s="462">
        <f t="shared" si="2"/>
        <v>0</v>
      </c>
      <c r="AB136" s="462"/>
      <c r="AC136" s="462"/>
      <c r="AD136" s="462"/>
      <c r="AE136" s="462"/>
      <c r="AF136" s="462"/>
      <c r="AG136" s="462"/>
      <c r="AH136" s="329">
        <f t="shared" si="0"/>
        <v>1</v>
      </c>
      <c r="AI136" s="330"/>
      <c r="AJ136" s="331"/>
      <c r="AK136" s="291">
        <f t="shared" si="1"/>
        <v>0</v>
      </c>
      <c r="AL136" s="293"/>
      <c r="AN136" s="77"/>
    </row>
    <row r="137" spans="1:40" ht="36" customHeight="1" x14ac:dyDescent="0.25">
      <c r="A137" s="220">
        <v>14</v>
      </c>
      <c r="B137" s="467"/>
      <c r="C137" s="468"/>
      <c r="D137" s="468"/>
      <c r="E137" s="468"/>
      <c r="F137" s="469"/>
      <c r="G137" s="470"/>
      <c r="H137" s="471"/>
      <c r="I137" s="471"/>
      <c r="J137" s="471"/>
      <c r="K137" s="471"/>
      <c r="L137" s="470"/>
      <c r="M137" s="471"/>
      <c r="N137" s="471"/>
      <c r="O137" s="471"/>
      <c r="P137" s="472"/>
      <c r="Q137" s="473"/>
      <c r="R137" s="473"/>
      <c r="S137" s="473"/>
      <c r="T137" s="473"/>
      <c r="U137" s="473"/>
      <c r="V137" s="474"/>
      <c r="W137" s="475">
        <f>IF(OR(B137=Słowniki!A$46,B137=Słowniki!A$56,B137=Słowniki!A$58,B137=Słowniki!A$59),0.08,0.23)</f>
        <v>0.23</v>
      </c>
      <c r="X137" s="476"/>
      <c r="Y137" s="476"/>
      <c r="Z137" s="476"/>
      <c r="AA137" s="462">
        <f t="shared" si="2"/>
        <v>0</v>
      </c>
      <c r="AB137" s="462"/>
      <c r="AC137" s="462"/>
      <c r="AD137" s="462"/>
      <c r="AE137" s="462"/>
      <c r="AF137" s="462"/>
      <c r="AG137" s="462"/>
      <c r="AH137" s="329">
        <f t="shared" si="0"/>
        <v>1</v>
      </c>
      <c r="AI137" s="330"/>
      <c r="AJ137" s="331"/>
      <c r="AK137" s="291">
        <f t="shared" si="1"/>
        <v>0</v>
      </c>
      <c r="AL137" s="293"/>
      <c r="AN137" s="77"/>
    </row>
    <row r="138" spans="1:40" ht="36" customHeight="1" x14ac:dyDescent="0.25">
      <c r="A138" s="220">
        <v>15</v>
      </c>
      <c r="B138" s="467"/>
      <c r="C138" s="468"/>
      <c r="D138" s="468"/>
      <c r="E138" s="468"/>
      <c r="F138" s="469"/>
      <c r="G138" s="470"/>
      <c r="H138" s="471"/>
      <c r="I138" s="471"/>
      <c r="J138" s="471"/>
      <c r="K138" s="471"/>
      <c r="L138" s="470"/>
      <c r="M138" s="471"/>
      <c r="N138" s="471"/>
      <c r="O138" s="471"/>
      <c r="P138" s="472"/>
      <c r="Q138" s="473"/>
      <c r="R138" s="473"/>
      <c r="S138" s="473"/>
      <c r="T138" s="473"/>
      <c r="U138" s="473"/>
      <c r="V138" s="474"/>
      <c r="W138" s="475">
        <f>IF(OR(B138=Słowniki!A$46,B138=Słowniki!A$56,B138=Słowniki!A$58,B138=Słowniki!A$59),0.08,0.23)</f>
        <v>0.23</v>
      </c>
      <c r="X138" s="476"/>
      <c r="Y138" s="476"/>
      <c r="Z138" s="476"/>
      <c r="AA138" s="462">
        <f t="shared" si="2"/>
        <v>0</v>
      </c>
      <c r="AB138" s="462"/>
      <c r="AC138" s="462"/>
      <c r="AD138" s="462"/>
      <c r="AE138" s="462"/>
      <c r="AF138" s="462"/>
      <c r="AG138" s="462"/>
      <c r="AH138" s="329">
        <f t="shared" si="0"/>
        <v>1</v>
      </c>
      <c r="AI138" s="330"/>
      <c r="AJ138" s="331"/>
      <c r="AK138" s="291">
        <f t="shared" si="1"/>
        <v>0</v>
      </c>
      <c r="AL138" s="293"/>
      <c r="AN138" s="77"/>
    </row>
    <row r="139" spans="1:40" ht="36" customHeight="1" x14ac:dyDescent="0.25">
      <c r="A139" s="220">
        <v>16</v>
      </c>
      <c r="B139" s="467"/>
      <c r="C139" s="468"/>
      <c r="D139" s="468"/>
      <c r="E139" s="468"/>
      <c r="F139" s="469"/>
      <c r="G139" s="470"/>
      <c r="H139" s="471"/>
      <c r="I139" s="471"/>
      <c r="J139" s="471"/>
      <c r="K139" s="471"/>
      <c r="L139" s="470"/>
      <c r="M139" s="471"/>
      <c r="N139" s="471"/>
      <c r="O139" s="471"/>
      <c r="P139" s="472"/>
      <c r="Q139" s="473"/>
      <c r="R139" s="473"/>
      <c r="S139" s="473"/>
      <c r="T139" s="473"/>
      <c r="U139" s="473"/>
      <c r="V139" s="474"/>
      <c r="W139" s="475">
        <f>IF(OR(B139=Słowniki!A$46,B139=Słowniki!A$56,B139=Słowniki!A$58,B139=Słowniki!A$59),0.08,0.23)</f>
        <v>0.23</v>
      </c>
      <c r="X139" s="476"/>
      <c r="Y139" s="476"/>
      <c r="Z139" s="476"/>
      <c r="AA139" s="462">
        <f t="shared" si="2"/>
        <v>0</v>
      </c>
      <c r="AB139" s="462"/>
      <c r="AC139" s="462"/>
      <c r="AD139" s="462"/>
      <c r="AE139" s="462"/>
      <c r="AF139" s="462"/>
      <c r="AG139" s="462"/>
      <c r="AH139" s="329">
        <f t="shared" si="0"/>
        <v>1</v>
      </c>
      <c r="AI139" s="330"/>
      <c r="AJ139" s="331"/>
      <c r="AK139" s="291">
        <f t="shared" si="1"/>
        <v>0</v>
      </c>
      <c r="AL139" s="293"/>
      <c r="AN139" s="77"/>
    </row>
    <row r="140" spans="1:40" ht="36" customHeight="1" x14ac:dyDescent="0.25">
      <c r="A140" s="220">
        <v>17</v>
      </c>
      <c r="B140" s="467"/>
      <c r="C140" s="468"/>
      <c r="D140" s="468"/>
      <c r="E140" s="468"/>
      <c r="F140" s="469"/>
      <c r="G140" s="470"/>
      <c r="H140" s="471"/>
      <c r="I140" s="471"/>
      <c r="J140" s="471"/>
      <c r="K140" s="471"/>
      <c r="L140" s="470"/>
      <c r="M140" s="471"/>
      <c r="N140" s="471"/>
      <c r="O140" s="471"/>
      <c r="P140" s="472"/>
      <c r="Q140" s="473"/>
      <c r="R140" s="473"/>
      <c r="S140" s="473"/>
      <c r="T140" s="473"/>
      <c r="U140" s="473"/>
      <c r="V140" s="474"/>
      <c r="W140" s="475">
        <f>IF(OR(B140=Słowniki!A$46,B140=Słowniki!A$56,B140=Słowniki!A$58,B140=Słowniki!A$59),0.08,0.23)</f>
        <v>0.23</v>
      </c>
      <c r="X140" s="476"/>
      <c r="Y140" s="476"/>
      <c r="Z140" s="476"/>
      <c r="AA140" s="462">
        <f t="shared" si="2"/>
        <v>0</v>
      </c>
      <c r="AB140" s="462"/>
      <c r="AC140" s="462"/>
      <c r="AD140" s="462"/>
      <c r="AE140" s="462"/>
      <c r="AF140" s="462"/>
      <c r="AG140" s="462"/>
      <c r="AH140" s="329">
        <f t="shared" si="0"/>
        <v>1</v>
      </c>
      <c r="AI140" s="330"/>
      <c r="AJ140" s="331"/>
      <c r="AK140" s="291">
        <f t="shared" si="1"/>
        <v>0</v>
      </c>
      <c r="AL140" s="293"/>
      <c r="AN140" s="77"/>
    </row>
    <row r="141" spans="1:40" ht="36" customHeight="1" x14ac:dyDescent="0.25">
      <c r="A141" s="220">
        <v>18</v>
      </c>
      <c r="B141" s="467"/>
      <c r="C141" s="468"/>
      <c r="D141" s="468"/>
      <c r="E141" s="468"/>
      <c r="F141" s="469"/>
      <c r="G141" s="470"/>
      <c r="H141" s="471"/>
      <c r="I141" s="471"/>
      <c r="J141" s="471"/>
      <c r="K141" s="471"/>
      <c r="L141" s="470"/>
      <c r="M141" s="471"/>
      <c r="N141" s="471"/>
      <c r="O141" s="471"/>
      <c r="P141" s="472"/>
      <c r="Q141" s="473"/>
      <c r="R141" s="473"/>
      <c r="S141" s="473"/>
      <c r="T141" s="473"/>
      <c r="U141" s="473"/>
      <c r="V141" s="474"/>
      <c r="W141" s="475">
        <f>IF(OR(B141=Słowniki!A$46,B141=Słowniki!A$56,B141=Słowniki!A$58,B141=Słowniki!A$59),0.08,0.23)</f>
        <v>0.23</v>
      </c>
      <c r="X141" s="476"/>
      <c r="Y141" s="476"/>
      <c r="Z141" s="476"/>
      <c r="AA141" s="462">
        <f t="shared" si="2"/>
        <v>0</v>
      </c>
      <c r="AB141" s="462"/>
      <c r="AC141" s="462"/>
      <c r="AD141" s="462"/>
      <c r="AE141" s="462"/>
      <c r="AF141" s="462"/>
      <c r="AG141" s="462"/>
      <c r="AH141" s="329">
        <f t="shared" si="0"/>
        <v>1</v>
      </c>
      <c r="AI141" s="330"/>
      <c r="AJ141" s="331"/>
      <c r="AK141" s="291">
        <f t="shared" si="1"/>
        <v>0</v>
      </c>
      <c r="AL141" s="293"/>
      <c r="AN141" s="77"/>
    </row>
    <row r="142" spans="1:40" ht="36" customHeight="1" x14ac:dyDescent="0.25">
      <c r="A142" s="220">
        <v>19</v>
      </c>
      <c r="B142" s="467"/>
      <c r="C142" s="468"/>
      <c r="D142" s="468"/>
      <c r="E142" s="468"/>
      <c r="F142" s="469"/>
      <c r="G142" s="470"/>
      <c r="H142" s="471"/>
      <c r="I142" s="471"/>
      <c r="J142" s="471"/>
      <c r="K142" s="471"/>
      <c r="L142" s="470"/>
      <c r="M142" s="471"/>
      <c r="N142" s="471"/>
      <c r="O142" s="471"/>
      <c r="P142" s="472"/>
      <c r="Q142" s="473"/>
      <c r="R142" s="473"/>
      <c r="S142" s="473"/>
      <c r="T142" s="473"/>
      <c r="U142" s="473"/>
      <c r="V142" s="474"/>
      <c r="W142" s="475">
        <f>IF(OR(B142=Słowniki!A$46,B142=Słowniki!A$56,B142=Słowniki!A$58,B142=Słowniki!A$59),0.08,0.23)</f>
        <v>0.23</v>
      </c>
      <c r="X142" s="476"/>
      <c r="Y142" s="476"/>
      <c r="Z142" s="476"/>
      <c r="AA142" s="462">
        <f t="shared" si="2"/>
        <v>0</v>
      </c>
      <c r="AB142" s="462"/>
      <c r="AC142" s="462"/>
      <c r="AD142" s="462"/>
      <c r="AE142" s="462"/>
      <c r="AF142" s="462"/>
      <c r="AG142" s="462"/>
      <c r="AH142" s="329">
        <f t="shared" si="0"/>
        <v>1</v>
      </c>
      <c r="AI142" s="330"/>
      <c r="AJ142" s="331"/>
      <c r="AK142" s="291">
        <f t="shared" si="1"/>
        <v>0</v>
      </c>
      <c r="AL142" s="293"/>
      <c r="AN142" s="77"/>
    </row>
    <row r="143" spans="1:40" ht="36" customHeight="1" x14ac:dyDescent="0.25">
      <c r="A143" s="220">
        <v>20</v>
      </c>
      <c r="B143" s="467"/>
      <c r="C143" s="468"/>
      <c r="D143" s="468"/>
      <c r="E143" s="468"/>
      <c r="F143" s="469"/>
      <c r="G143" s="470"/>
      <c r="H143" s="471"/>
      <c r="I143" s="471"/>
      <c r="J143" s="471"/>
      <c r="K143" s="471"/>
      <c r="L143" s="470"/>
      <c r="M143" s="471"/>
      <c r="N143" s="471"/>
      <c r="O143" s="471"/>
      <c r="P143" s="472"/>
      <c r="Q143" s="473"/>
      <c r="R143" s="473"/>
      <c r="S143" s="473"/>
      <c r="T143" s="473"/>
      <c r="U143" s="473"/>
      <c r="V143" s="474"/>
      <c r="W143" s="475">
        <f>IF(OR(B143=Słowniki!A$46,B143=Słowniki!A$56,B143=Słowniki!A$58,B143=Słowniki!A$59),0.08,0.23)</f>
        <v>0.23</v>
      </c>
      <c r="X143" s="476"/>
      <c r="Y143" s="476"/>
      <c r="Z143" s="476"/>
      <c r="AA143" s="462">
        <f t="shared" si="2"/>
        <v>0</v>
      </c>
      <c r="AB143" s="462"/>
      <c r="AC143" s="462"/>
      <c r="AD143" s="462"/>
      <c r="AE143" s="462"/>
      <c r="AF143" s="462"/>
      <c r="AG143" s="462"/>
      <c r="AH143" s="329">
        <f t="shared" si="0"/>
        <v>1</v>
      </c>
      <c r="AI143" s="330"/>
      <c r="AJ143" s="331"/>
      <c r="AK143" s="291">
        <f t="shared" si="1"/>
        <v>0</v>
      </c>
      <c r="AL143" s="293"/>
      <c r="AN143" s="77"/>
    </row>
    <row r="144" spans="1:40" ht="36" customHeight="1" x14ac:dyDescent="0.25">
      <c r="A144" s="220">
        <v>21</v>
      </c>
      <c r="B144" s="467"/>
      <c r="C144" s="468"/>
      <c r="D144" s="468"/>
      <c r="E144" s="468"/>
      <c r="F144" s="469"/>
      <c r="G144" s="470"/>
      <c r="H144" s="471"/>
      <c r="I144" s="471"/>
      <c r="J144" s="471"/>
      <c r="K144" s="471"/>
      <c r="L144" s="470"/>
      <c r="M144" s="471"/>
      <c r="N144" s="471"/>
      <c r="O144" s="471"/>
      <c r="P144" s="472"/>
      <c r="Q144" s="473"/>
      <c r="R144" s="473"/>
      <c r="S144" s="473"/>
      <c r="T144" s="473"/>
      <c r="U144" s="473"/>
      <c r="V144" s="474"/>
      <c r="W144" s="475">
        <f>IF(OR(B144=Słowniki!A$46,B144=Słowniki!A$56,B144=Słowniki!A$58,B144=Słowniki!A$59),0.08,0.23)</f>
        <v>0.23</v>
      </c>
      <c r="X144" s="476"/>
      <c r="Y144" s="476"/>
      <c r="Z144" s="476"/>
      <c r="AA144" s="462">
        <f t="shared" si="2"/>
        <v>0</v>
      </c>
      <c r="AB144" s="462"/>
      <c r="AC144" s="462"/>
      <c r="AD144" s="462"/>
      <c r="AE144" s="462"/>
      <c r="AF144" s="462"/>
      <c r="AG144" s="462"/>
      <c r="AH144" s="329">
        <f t="shared" si="0"/>
        <v>1</v>
      </c>
      <c r="AI144" s="330"/>
      <c r="AJ144" s="331"/>
      <c r="AK144" s="291">
        <f t="shared" si="1"/>
        <v>0</v>
      </c>
      <c r="AL144" s="293"/>
      <c r="AN144" s="77"/>
    </row>
    <row r="145" spans="1:40" ht="36" customHeight="1" x14ac:dyDescent="0.25">
      <c r="A145" s="220">
        <v>22</v>
      </c>
      <c r="B145" s="467"/>
      <c r="C145" s="468"/>
      <c r="D145" s="468"/>
      <c r="E145" s="468"/>
      <c r="F145" s="469"/>
      <c r="G145" s="470"/>
      <c r="H145" s="471"/>
      <c r="I145" s="471"/>
      <c r="J145" s="471"/>
      <c r="K145" s="471"/>
      <c r="L145" s="470"/>
      <c r="M145" s="471"/>
      <c r="N145" s="471"/>
      <c r="O145" s="471"/>
      <c r="P145" s="472"/>
      <c r="Q145" s="473"/>
      <c r="R145" s="473"/>
      <c r="S145" s="473"/>
      <c r="T145" s="473"/>
      <c r="U145" s="473"/>
      <c r="V145" s="474"/>
      <c r="W145" s="475">
        <f>IF(OR(B145=Słowniki!A$46,B145=Słowniki!A$56,B145=Słowniki!A$58,B145=Słowniki!A$59),0.08,0.23)</f>
        <v>0.23</v>
      </c>
      <c r="X145" s="476"/>
      <c r="Y145" s="476"/>
      <c r="Z145" s="476"/>
      <c r="AA145" s="462">
        <f t="shared" si="2"/>
        <v>0</v>
      </c>
      <c r="AB145" s="462"/>
      <c r="AC145" s="462"/>
      <c r="AD145" s="462"/>
      <c r="AE145" s="462"/>
      <c r="AF145" s="462"/>
      <c r="AG145" s="462"/>
      <c r="AH145" s="329">
        <f t="shared" si="0"/>
        <v>1</v>
      </c>
      <c r="AI145" s="330"/>
      <c r="AJ145" s="331"/>
      <c r="AK145" s="291">
        <f t="shared" si="1"/>
        <v>0</v>
      </c>
      <c r="AL145" s="293"/>
      <c r="AN145" s="77"/>
    </row>
    <row r="146" spans="1:40" ht="36" customHeight="1" x14ac:dyDescent="0.25">
      <c r="A146" s="220">
        <v>23</v>
      </c>
      <c r="B146" s="467"/>
      <c r="C146" s="468"/>
      <c r="D146" s="468"/>
      <c r="E146" s="468"/>
      <c r="F146" s="469"/>
      <c r="G146" s="470"/>
      <c r="H146" s="471"/>
      <c r="I146" s="471"/>
      <c r="J146" s="471"/>
      <c r="K146" s="471"/>
      <c r="L146" s="470"/>
      <c r="M146" s="471"/>
      <c r="N146" s="471"/>
      <c r="O146" s="471"/>
      <c r="P146" s="472"/>
      <c r="Q146" s="473"/>
      <c r="R146" s="473"/>
      <c r="S146" s="473"/>
      <c r="T146" s="473"/>
      <c r="U146" s="473"/>
      <c r="V146" s="474"/>
      <c r="W146" s="475">
        <f>IF(OR(B146=Słowniki!A$46,B146=Słowniki!A$56,B146=Słowniki!A$58,B146=Słowniki!A$59),0.08,0.23)</f>
        <v>0.23</v>
      </c>
      <c r="X146" s="476"/>
      <c r="Y146" s="476"/>
      <c r="Z146" s="476"/>
      <c r="AA146" s="462">
        <f t="shared" ref="AA146:AA169" si="3">P146+ROUNDDOWN(P146*W146,2)</f>
        <v>0</v>
      </c>
      <c r="AB146" s="462"/>
      <c r="AC146" s="462"/>
      <c r="AD146" s="462"/>
      <c r="AE146" s="462"/>
      <c r="AF146" s="462"/>
      <c r="AG146" s="462"/>
      <c r="AH146" s="329">
        <f t="shared" si="0"/>
        <v>1</v>
      </c>
      <c r="AI146" s="330"/>
      <c r="AJ146" s="331"/>
      <c r="AK146" s="291">
        <f t="shared" ref="AK146:AK169" si="4">ROUND(AA146*AH146,2)</f>
        <v>0</v>
      </c>
      <c r="AL146" s="293"/>
      <c r="AN146" s="77"/>
    </row>
    <row r="147" spans="1:40" ht="36" customHeight="1" x14ac:dyDescent="0.25">
      <c r="A147" s="220">
        <v>24</v>
      </c>
      <c r="B147" s="467"/>
      <c r="C147" s="468"/>
      <c r="D147" s="468"/>
      <c r="E147" s="468"/>
      <c r="F147" s="469"/>
      <c r="G147" s="470"/>
      <c r="H147" s="471"/>
      <c r="I147" s="471"/>
      <c r="J147" s="471"/>
      <c r="K147" s="471"/>
      <c r="L147" s="470"/>
      <c r="M147" s="471"/>
      <c r="N147" s="471"/>
      <c r="O147" s="471"/>
      <c r="P147" s="472"/>
      <c r="Q147" s="473"/>
      <c r="R147" s="473"/>
      <c r="S147" s="473"/>
      <c r="T147" s="473"/>
      <c r="U147" s="473"/>
      <c r="V147" s="474"/>
      <c r="W147" s="475">
        <f>IF(OR(B147=Słowniki!A$46,B147=Słowniki!A$56,B147=Słowniki!A$58,B147=Słowniki!A$59),0.08,0.23)</f>
        <v>0.23</v>
      </c>
      <c r="X147" s="476"/>
      <c r="Y147" s="476"/>
      <c r="Z147" s="476"/>
      <c r="AA147" s="462">
        <f t="shared" si="3"/>
        <v>0</v>
      </c>
      <c r="AB147" s="462"/>
      <c r="AC147" s="462"/>
      <c r="AD147" s="462"/>
      <c r="AE147" s="462"/>
      <c r="AF147" s="462"/>
      <c r="AG147" s="462"/>
      <c r="AH147" s="329">
        <f t="shared" si="0"/>
        <v>1</v>
      </c>
      <c r="AI147" s="330"/>
      <c r="AJ147" s="331"/>
      <c r="AK147" s="291">
        <f t="shared" si="4"/>
        <v>0</v>
      </c>
      <c r="AL147" s="293"/>
      <c r="AN147" s="77"/>
    </row>
    <row r="148" spans="1:40" ht="36" customHeight="1" x14ac:dyDescent="0.25">
      <c r="A148" s="220">
        <v>25</v>
      </c>
      <c r="B148" s="467"/>
      <c r="C148" s="468"/>
      <c r="D148" s="468"/>
      <c r="E148" s="468"/>
      <c r="F148" s="469"/>
      <c r="G148" s="470"/>
      <c r="H148" s="471"/>
      <c r="I148" s="471"/>
      <c r="J148" s="471"/>
      <c r="K148" s="471"/>
      <c r="L148" s="470"/>
      <c r="M148" s="471"/>
      <c r="N148" s="471"/>
      <c r="O148" s="471"/>
      <c r="P148" s="472"/>
      <c r="Q148" s="473"/>
      <c r="R148" s="473"/>
      <c r="S148" s="473"/>
      <c r="T148" s="473"/>
      <c r="U148" s="473"/>
      <c r="V148" s="474"/>
      <c r="W148" s="475">
        <f>IF(OR(B148=Słowniki!A$46,B148=Słowniki!A$56,B148=Słowniki!A$58,B148=Słowniki!A$59),0.08,0.23)</f>
        <v>0.23</v>
      </c>
      <c r="X148" s="476"/>
      <c r="Y148" s="476"/>
      <c r="Z148" s="476"/>
      <c r="AA148" s="462">
        <f t="shared" si="3"/>
        <v>0</v>
      </c>
      <c r="AB148" s="462"/>
      <c r="AC148" s="462"/>
      <c r="AD148" s="462"/>
      <c r="AE148" s="462"/>
      <c r="AF148" s="462"/>
      <c r="AG148" s="462"/>
      <c r="AH148" s="329">
        <f t="shared" si="0"/>
        <v>1</v>
      </c>
      <c r="AI148" s="330"/>
      <c r="AJ148" s="331"/>
      <c r="AK148" s="291">
        <f t="shared" si="4"/>
        <v>0</v>
      </c>
      <c r="AL148" s="293"/>
      <c r="AN148" s="77"/>
    </row>
    <row r="149" spans="1:40" ht="36" customHeight="1" x14ac:dyDescent="0.25">
      <c r="A149" s="220">
        <v>26</v>
      </c>
      <c r="B149" s="467"/>
      <c r="C149" s="468"/>
      <c r="D149" s="468"/>
      <c r="E149" s="468"/>
      <c r="F149" s="469"/>
      <c r="G149" s="470"/>
      <c r="H149" s="471"/>
      <c r="I149" s="471"/>
      <c r="J149" s="471"/>
      <c r="K149" s="471"/>
      <c r="L149" s="470"/>
      <c r="M149" s="471"/>
      <c r="N149" s="471"/>
      <c r="O149" s="471"/>
      <c r="P149" s="472"/>
      <c r="Q149" s="473"/>
      <c r="R149" s="473"/>
      <c r="S149" s="473"/>
      <c r="T149" s="473"/>
      <c r="U149" s="473"/>
      <c r="V149" s="474"/>
      <c r="W149" s="475">
        <f>IF(OR(B149=Słowniki!A$46,B149=Słowniki!A$56,B149=Słowniki!A$58,B149=Słowniki!A$59),0.08,0.23)</f>
        <v>0.23</v>
      </c>
      <c r="X149" s="476"/>
      <c r="Y149" s="476"/>
      <c r="Z149" s="476"/>
      <c r="AA149" s="462">
        <f t="shared" si="3"/>
        <v>0</v>
      </c>
      <c r="AB149" s="462"/>
      <c r="AC149" s="462"/>
      <c r="AD149" s="462"/>
      <c r="AE149" s="462"/>
      <c r="AF149" s="462"/>
      <c r="AG149" s="462"/>
      <c r="AH149" s="329">
        <f t="shared" si="0"/>
        <v>1</v>
      </c>
      <c r="AI149" s="330"/>
      <c r="AJ149" s="331"/>
      <c r="AK149" s="291">
        <f t="shared" si="4"/>
        <v>0</v>
      </c>
      <c r="AL149" s="293"/>
      <c r="AN149" s="77"/>
    </row>
    <row r="150" spans="1:40" ht="36" customHeight="1" x14ac:dyDescent="0.25">
      <c r="A150" s="220">
        <v>27</v>
      </c>
      <c r="B150" s="467"/>
      <c r="C150" s="468"/>
      <c r="D150" s="468"/>
      <c r="E150" s="468"/>
      <c r="F150" s="469"/>
      <c r="G150" s="470"/>
      <c r="H150" s="471"/>
      <c r="I150" s="471"/>
      <c r="J150" s="471"/>
      <c r="K150" s="471"/>
      <c r="L150" s="470"/>
      <c r="M150" s="471"/>
      <c r="N150" s="471"/>
      <c r="O150" s="471"/>
      <c r="P150" s="472"/>
      <c r="Q150" s="473"/>
      <c r="R150" s="473"/>
      <c r="S150" s="473"/>
      <c r="T150" s="473"/>
      <c r="U150" s="473"/>
      <c r="V150" s="474"/>
      <c r="W150" s="475">
        <f>IF(OR(B150=Słowniki!A$46,B150=Słowniki!A$56,B150=Słowniki!A$58,B150=Słowniki!A$59),0.08,0.23)</f>
        <v>0.23</v>
      </c>
      <c r="X150" s="476"/>
      <c r="Y150" s="476"/>
      <c r="Z150" s="476"/>
      <c r="AA150" s="462">
        <f t="shared" si="3"/>
        <v>0</v>
      </c>
      <c r="AB150" s="462"/>
      <c r="AC150" s="462"/>
      <c r="AD150" s="462"/>
      <c r="AE150" s="462"/>
      <c r="AF150" s="462"/>
      <c r="AG150" s="462"/>
      <c r="AH150" s="329">
        <f t="shared" si="0"/>
        <v>1</v>
      </c>
      <c r="AI150" s="330"/>
      <c r="AJ150" s="331"/>
      <c r="AK150" s="291">
        <f t="shared" si="4"/>
        <v>0</v>
      </c>
      <c r="AL150" s="293"/>
      <c r="AN150" s="77"/>
    </row>
    <row r="151" spans="1:40" ht="36" customHeight="1" x14ac:dyDescent="0.25">
      <c r="A151" s="220">
        <v>28</v>
      </c>
      <c r="B151" s="467"/>
      <c r="C151" s="468"/>
      <c r="D151" s="468"/>
      <c r="E151" s="468"/>
      <c r="F151" s="469"/>
      <c r="G151" s="470"/>
      <c r="H151" s="471"/>
      <c r="I151" s="471"/>
      <c r="J151" s="471"/>
      <c r="K151" s="471"/>
      <c r="L151" s="470"/>
      <c r="M151" s="471"/>
      <c r="N151" s="471"/>
      <c r="O151" s="471"/>
      <c r="P151" s="472"/>
      <c r="Q151" s="473"/>
      <c r="R151" s="473"/>
      <c r="S151" s="473"/>
      <c r="T151" s="473"/>
      <c r="U151" s="473"/>
      <c r="V151" s="474"/>
      <c r="W151" s="475">
        <f>IF(OR(B151=Słowniki!A$46,B151=Słowniki!A$56,B151=Słowniki!A$58,B151=Słowniki!A$59),0.08,0.23)</f>
        <v>0.23</v>
      </c>
      <c r="X151" s="476"/>
      <c r="Y151" s="476"/>
      <c r="Z151" s="476"/>
      <c r="AA151" s="462">
        <f t="shared" si="3"/>
        <v>0</v>
      </c>
      <c r="AB151" s="462"/>
      <c r="AC151" s="462"/>
      <c r="AD151" s="462"/>
      <c r="AE151" s="462"/>
      <c r="AF151" s="462"/>
      <c r="AG151" s="462"/>
      <c r="AH151" s="329">
        <f t="shared" si="0"/>
        <v>1</v>
      </c>
      <c r="AI151" s="330"/>
      <c r="AJ151" s="331"/>
      <c r="AK151" s="291">
        <f t="shared" si="4"/>
        <v>0</v>
      </c>
      <c r="AL151" s="293"/>
      <c r="AN151" s="77"/>
    </row>
    <row r="152" spans="1:40" ht="36" customHeight="1" x14ac:dyDescent="0.25">
      <c r="A152" s="220">
        <v>29</v>
      </c>
      <c r="B152" s="467"/>
      <c r="C152" s="468"/>
      <c r="D152" s="468"/>
      <c r="E152" s="468"/>
      <c r="F152" s="469"/>
      <c r="G152" s="470"/>
      <c r="H152" s="471"/>
      <c r="I152" s="471"/>
      <c r="J152" s="471"/>
      <c r="K152" s="471"/>
      <c r="L152" s="470"/>
      <c r="M152" s="471"/>
      <c r="N152" s="471"/>
      <c r="O152" s="471"/>
      <c r="P152" s="472"/>
      <c r="Q152" s="473"/>
      <c r="R152" s="473"/>
      <c r="S152" s="473"/>
      <c r="T152" s="473"/>
      <c r="U152" s="473"/>
      <c r="V152" s="474"/>
      <c r="W152" s="475">
        <f>IF(OR(B152=Słowniki!A$46,B152=Słowniki!A$56,B152=Słowniki!A$58,B152=Słowniki!A$59),0.08,0.23)</f>
        <v>0.23</v>
      </c>
      <c r="X152" s="476"/>
      <c r="Y152" s="476"/>
      <c r="Z152" s="476"/>
      <c r="AA152" s="462">
        <f t="shared" si="3"/>
        <v>0</v>
      </c>
      <c r="AB152" s="462"/>
      <c r="AC152" s="462"/>
      <c r="AD152" s="462"/>
      <c r="AE152" s="462"/>
      <c r="AF152" s="462"/>
      <c r="AG152" s="462"/>
      <c r="AH152" s="329">
        <f t="shared" si="0"/>
        <v>1</v>
      </c>
      <c r="AI152" s="330"/>
      <c r="AJ152" s="331"/>
      <c r="AK152" s="291">
        <f t="shared" si="4"/>
        <v>0</v>
      </c>
      <c r="AL152" s="293"/>
      <c r="AN152" s="77"/>
    </row>
    <row r="153" spans="1:40" ht="36" customHeight="1" x14ac:dyDescent="0.25">
      <c r="A153" s="220">
        <v>30</v>
      </c>
      <c r="B153" s="467"/>
      <c r="C153" s="468"/>
      <c r="D153" s="468"/>
      <c r="E153" s="468"/>
      <c r="F153" s="469"/>
      <c r="G153" s="470"/>
      <c r="H153" s="471"/>
      <c r="I153" s="471"/>
      <c r="J153" s="471"/>
      <c r="K153" s="471"/>
      <c r="L153" s="470"/>
      <c r="M153" s="471"/>
      <c r="N153" s="471"/>
      <c r="O153" s="471"/>
      <c r="P153" s="472"/>
      <c r="Q153" s="473"/>
      <c r="R153" s="473"/>
      <c r="S153" s="473"/>
      <c r="T153" s="473"/>
      <c r="U153" s="473"/>
      <c r="V153" s="474"/>
      <c r="W153" s="475">
        <f>IF(OR(B153=Słowniki!A$46,B153=Słowniki!A$56,B153=Słowniki!A$58,B153=Słowniki!A$59),0.08,0.23)</f>
        <v>0.23</v>
      </c>
      <c r="X153" s="476"/>
      <c r="Y153" s="476"/>
      <c r="Z153" s="476"/>
      <c r="AA153" s="462">
        <f t="shared" si="3"/>
        <v>0</v>
      </c>
      <c r="AB153" s="462"/>
      <c r="AC153" s="462"/>
      <c r="AD153" s="462"/>
      <c r="AE153" s="462"/>
      <c r="AF153" s="462"/>
      <c r="AG153" s="462"/>
      <c r="AH153" s="329">
        <f t="shared" si="0"/>
        <v>1</v>
      </c>
      <c r="AI153" s="330"/>
      <c r="AJ153" s="331"/>
      <c r="AK153" s="291">
        <f t="shared" si="4"/>
        <v>0</v>
      </c>
      <c r="AL153" s="293"/>
      <c r="AN153" s="77"/>
    </row>
    <row r="154" spans="1:40" ht="36" customHeight="1" x14ac:dyDescent="0.25">
      <c r="A154" s="220">
        <v>31</v>
      </c>
      <c r="B154" s="467"/>
      <c r="C154" s="468"/>
      <c r="D154" s="468"/>
      <c r="E154" s="468"/>
      <c r="F154" s="469"/>
      <c r="G154" s="470"/>
      <c r="H154" s="471"/>
      <c r="I154" s="471"/>
      <c r="J154" s="471"/>
      <c r="K154" s="471"/>
      <c r="L154" s="470"/>
      <c r="M154" s="471"/>
      <c r="N154" s="471"/>
      <c r="O154" s="471"/>
      <c r="P154" s="472"/>
      <c r="Q154" s="473"/>
      <c r="R154" s="473"/>
      <c r="S154" s="473"/>
      <c r="T154" s="473"/>
      <c r="U154" s="473"/>
      <c r="V154" s="474"/>
      <c r="W154" s="475">
        <f>IF(OR(B154=Słowniki!A$46,B154=Słowniki!A$56,B154=Słowniki!A$58,B154=Słowniki!A$59),0.08,0.23)</f>
        <v>0.23</v>
      </c>
      <c r="X154" s="476"/>
      <c r="Y154" s="476"/>
      <c r="Z154" s="476"/>
      <c r="AA154" s="462">
        <f t="shared" si="3"/>
        <v>0</v>
      </c>
      <c r="AB154" s="462"/>
      <c r="AC154" s="462"/>
      <c r="AD154" s="462"/>
      <c r="AE154" s="462"/>
      <c r="AF154" s="462"/>
      <c r="AG154" s="462"/>
      <c r="AH154" s="329">
        <f t="shared" si="0"/>
        <v>1</v>
      </c>
      <c r="AI154" s="330"/>
      <c r="AJ154" s="331"/>
      <c r="AK154" s="291">
        <f t="shared" si="4"/>
        <v>0</v>
      </c>
      <c r="AL154" s="293"/>
      <c r="AN154" s="77"/>
    </row>
    <row r="155" spans="1:40" ht="36" customHeight="1" x14ac:dyDescent="0.25">
      <c r="A155" s="220">
        <v>32</v>
      </c>
      <c r="B155" s="467"/>
      <c r="C155" s="468"/>
      <c r="D155" s="468"/>
      <c r="E155" s="468"/>
      <c r="F155" s="469"/>
      <c r="G155" s="470"/>
      <c r="H155" s="471"/>
      <c r="I155" s="471"/>
      <c r="J155" s="471"/>
      <c r="K155" s="471"/>
      <c r="L155" s="470"/>
      <c r="M155" s="471"/>
      <c r="N155" s="471"/>
      <c r="O155" s="471"/>
      <c r="P155" s="472"/>
      <c r="Q155" s="473"/>
      <c r="R155" s="473"/>
      <c r="S155" s="473"/>
      <c r="T155" s="473"/>
      <c r="U155" s="473"/>
      <c r="V155" s="474"/>
      <c r="W155" s="475">
        <f>IF(OR(B155=Słowniki!A$46,B155=Słowniki!A$56,B155=Słowniki!A$58,B155=Słowniki!A$59),0.08,0.23)</f>
        <v>0.23</v>
      </c>
      <c r="X155" s="476"/>
      <c r="Y155" s="476"/>
      <c r="Z155" s="476"/>
      <c r="AA155" s="462">
        <f t="shared" si="3"/>
        <v>0</v>
      </c>
      <c r="AB155" s="462"/>
      <c r="AC155" s="462"/>
      <c r="AD155" s="462"/>
      <c r="AE155" s="462"/>
      <c r="AF155" s="462"/>
      <c r="AG155" s="462"/>
      <c r="AH155" s="329">
        <f t="shared" si="0"/>
        <v>1</v>
      </c>
      <c r="AI155" s="330"/>
      <c r="AJ155" s="331"/>
      <c r="AK155" s="291">
        <f t="shared" si="4"/>
        <v>0</v>
      </c>
      <c r="AL155" s="293"/>
      <c r="AN155" s="77"/>
    </row>
    <row r="156" spans="1:40" ht="36" customHeight="1" x14ac:dyDescent="0.25">
      <c r="A156" s="220">
        <v>33</v>
      </c>
      <c r="B156" s="467"/>
      <c r="C156" s="468"/>
      <c r="D156" s="468"/>
      <c r="E156" s="468"/>
      <c r="F156" s="469"/>
      <c r="G156" s="470"/>
      <c r="H156" s="471"/>
      <c r="I156" s="471"/>
      <c r="J156" s="471"/>
      <c r="K156" s="471"/>
      <c r="L156" s="470"/>
      <c r="M156" s="471"/>
      <c r="N156" s="471"/>
      <c r="O156" s="471"/>
      <c r="P156" s="472"/>
      <c r="Q156" s="473"/>
      <c r="R156" s="473"/>
      <c r="S156" s="473"/>
      <c r="T156" s="473"/>
      <c r="U156" s="473"/>
      <c r="V156" s="474"/>
      <c r="W156" s="475">
        <f>IF(OR(B156=Słowniki!A$46,B156=Słowniki!A$56,B156=Słowniki!A$58,B156=Słowniki!A$59),0.08,0.23)</f>
        <v>0.23</v>
      </c>
      <c r="X156" s="476"/>
      <c r="Y156" s="476"/>
      <c r="Z156" s="476"/>
      <c r="AA156" s="462">
        <f t="shared" si="3"/>
        <v>0</v>
      </c>
      <c r="AB156" s="462"/>
      <c r="AC156" s="462"/>
      <c r="AD156" s="462"/>
      <c r="AE156" s="462"/>
      <c r="AF156" s="462"/>
      <c r="AG156" s="462"/>
      <c r="AH156" s="329">
        <f t="shared" si="0"/>
        <v>1</v>
      </c>
      <c r="AI156" s="330"/>
      <c r="AJ156" s="331"/>
      <c r="AK156" s="291">
        <f t="shared" si="4"/>
        <v>0</v>
      </c>
      <c r="AL156" s="293"/>
      <c r="AN156" s="77"/>
    </row>
    <row r="157" spans="1:40" ht="36" customHeight="1" x14ac:dyDescent="0.25">
      <c r="A157" s="220">
        <v>34</v>
      </c>
      <c r="B157" s="467"/>
      <c r="C157" s="468"/>
      <c r="D157" s="468"/>
      <c r="E157" s="468"/>
      <c r="F157" s="469"/>
      <c r="G157" s="470"/>
      <c r="H157" s="471"/>
      <c r="I157" s="471"/>
      <c r="J157" s="471"/>
      <c r="K157" s="471"/>
      <c r="L157" s="470"/>
      <c r="M157" s="471"/>
      <c r="N157" s="471"/>
      <c r="O157" s="471"/>
      <c r="P157" s="472"/>
      <c r="Q157" s="473"/>
      <c r="R157" s="473"/>
      <c r="S157" s="473"/>
      <c r="T157" s="473"/>
      <c r="U157" s="473"/>
      <c r="V157" s="474"/>
      <c r="W157" s="475">
        <f>IF(OR(B157=Słowniki!A$46,B157=Słowniki!A$56,B157=Słowniki!A$58,B157=Słowniki!A$59),0.08,0.23)</f>
        <v>0.23</v>
      </c>
      <c r="X157" s="476"/>
      <c r="Y157" s="476"/>
      <c r="Z157" s="476"/>
      <c r="AA157" s="462">
        <f t="shared" si="3"/>
        <v>0</v>
      </c>
      <c r="AB157" s="462"/>
      <c r="AC157" s="462"/>
      <c r="AD157" s="462"/>
      <c r="AE157" s="462"/>
      <c r="AF157" s="462"/>
      <c r="AG157" s="462"/>
      <c r="AH157" s="329">
        <f t="shared" si="0"/>
        <v>1</v>
      </c>
      <c r="AI157" s="330"/>
      <c r="AJ157" s="331"/>
      <c r="AK157" s="291">
        <f t="shared" si="4"/>
        <v>0</v>
      </c>
      <c r="AL157" s="293"/>
      <c r="AN157" s="77"/>
    </row>
    <row r="158" spans="1:40" ht="36" customHeight="1" x14ac:dyDescent="0.25">
      <c r="A158" s="220">
        <v>35</v>
      </c>
      <c r="B158" s="467"/>
      <c r="C158" s="468"/>
      <c r="D158" s="468"/>
      <c r="E158" s="468"/>
      <c r="F158" s="469"/>
      <c r="G158" s="470"/>
      <c r="H158" s="471"/>
      <c r="I158" s="471"/>
      <c r="J158" s="471"/>
      <c r="K158" s="471"/>
      <c r="L158" s="470"/>
      <c r="M158" s="471"/>
      <c r="N158" s="471"/>
      <c r="O158" s="471"/>
      <c r="P158" s="472"/>
      <c r="Q158" s="473"/>
      <c r="R158" s="473"/>
      <c r="S158" s="473"/>
      <c r="T158" s="473"/>
      <c r="U158" s="473"/>
      <c r="V158" s="474"/>
      <c r="W158" s="475">
        <f>IF(OR(B158=Słowniki!A$46,B158=Słowniki!A$56,B158=Słowniki!A$58,B158=Słowniki!A$59),0.08,0.23)</f>
        <v>0.23</v>
      </c>
      <c r="X158" s="476"/>
      <c r="Y158" s="476"/>
      <c r="Z158" s="476"/>
      <c r="AA158" s="462">
        <f t="shared" si="3"/>
        <v>0</v>
      </c>
      <c r="AB158" s="462"/>
      <c r="AC158" s="462"/>
      <c r="AD158" s="462"/>
      <c r="AE158" s="462"/>
      <c r="AF158" s="462"/>
      <c r="AG158" s="462"/>
      <c r="AH158" s="329">
        <f t="shared" si="0"/>
        <v>1</v>
      </c>
      <c r="AI158" s="330"/>
      <c r="AJ158" s="331"/>
      <c r="AK158" s="291">
        <f t="shared" si="4"/>
        <v>0</v>
      </c>
      <c r="AL158" s="293"/>
      <c r="AN158" s="77"/>
    </row>
    <row r="159" spans="1:40" ht="36" customHeight="1" x14ac:dyDescent="0.25">
      <c r="A159" s="220">
        <v>36</v>
      </c>
      <c r="B159" s="467"/>
      <c r="C159" s="468"/>
      <c r="D159" s="468"/>
      <c r="E159" s="468"/>
      <c r="F159" s="469"/>
      <c r="G159" s="470"/>
      <c r="H159" s="471"/>
      <c r="I159" s="471"/>
      <c r="J159" s="471"/>
      <c r="K159" s="471"/>
      <c r="L159" s="470"/>
      <c r="M159" s="471"/>
      <c r="N159" s="471"/>
      <c r="O159" s="471"/>
      <c r="P159" s="472"/>
      <c r="Q159" s="473"/>
      <c r="R159" s="473"/>
      <c r="S159" s="473"/>
      <c r="T159" s="473"/>
      <c r="U159" s="473"/>
      <c r="V159" s="474"/>
      <c r="W159" s="475">
        <f>IF(OR(B159=Słowniki!A$46,B159=Słowniki!A$56,B159=Słowniki!A$58,B159=Słowniki!A$59),0.08,0.23)</f>
        <v>0.23</v>
      </c>
      <c r="X159" s="476"/>
      <c r="Y159" s="476"/>
      <c r="Z159" s="476"/>
      <c r="AA159" s="462">
        <f t="shared" si="3"/>
        <v>0</v>
      </c>
      <c r="AB159" s="462"/>
      <c r="AC159" s="462"/>
      <c r="AD159" s="462"/>
      <c r="AE159" s="462"/>
      <c r="AF159" s="462"/>
      <c r="AG159" s="462"/>
      <c r="AH159" s="329">
        <f t="shared" si="0"/>
        <v>1</v>
      </c>
      <c r="AI159" s="330"/>
      <c r="AJ159" s="331"/>
      <c r="AK159" s="291">
        <f t="shared" si="4"/>
        <v>0</v>
      </c>
      <c r="AL159" s="293"/>
      <c r="AN159" s="77"/>
    </row>
    <row r="160" spans="1:40" ht="36" customHeight="1" x14ac:dyDescent="0.25">
      <c r="A160" s="220">
        <v>37</v>
      </c>
      <c r="B160" s="467"/>
      <c r="C160" s="468"/>
      <c r="D160" s="468"/>
      <c r="E160" s="468"/>
      <c r="F160" s="469"/>
      <c r="G160" s="470"/>
      <c r="H160" s="471"/>
      <c r="I160" s="471"/>
      <c r="J160" s="471"/>
      <c r="K160" s="471"/>
      <c r="L160" s="470"/>
      <c r="M160" s="471"/>
      <c r="N160" s="471"/>
      <c r="O160" s="471"/>
      <c r="P160" s="472"/>
      <c r="Q160" s="473"/>
      <c r="R160" s="473"/>
      <c r="S160" s="473"/>
      <c r="T160" s="473"/>
      <c r="U160" s="473"/>
      <c r="V160" s="474"/>
      <c r="W160" s="475">
        <f>IF(OR(B160=Słowniki!A$46,B160=Słowniki!A$56,B160=Słowniki!A$58,B160=Słowniki!A$59),0.08,0.23)</f>
        <v>0.23</v>
      </c>
      <c r="X160" s="476"/>
      <c r="Y160" s="476"/>
      <c r="Z160" s="476"/>
      <c r="AA160" s="462">
        <f t="shared" si="3"/>
        <v>0</v>
      </c>
      <c r="AB160" s="462"/>
      <c r="AC160" s="462"/>
      <c r="AD160" s="462"/>
      <c r="AE160" s="462"/>
      <c r="AF160" s="462"/>
      <c r="AG160" s="462"/>
      <c r="AH160" s="329">
        <f t="shared" si="0"/>
        <v>1</v>
      </c>
      <c r="AI160" s="330"/>
      <c r="AJ160" s="331"/>
      <c r="AK160" s="291">
        <f t="shared" si="4"/>
        <v>0</v>
      </c>
      <c r="AL160" s="293"/>
      <c r="AN160" s="77"/>
    </row>
    <row r="161" spans="1:40" ht="36" customHeight="1" x14ac:dyDescent="0.25">
      <c r="A161" s="220">
        <v>38</v>
      </c>
      <c r="B161" s="467"/>
      <c r="C161" s="468"/>
      <c r="D161" s="468"/>
      <c r="E161" s="468"/>
      <c r="F161" s="469"/>
      <c r="G161" s="470"/>
      <c r="H161" s="471"/>
      <c r="I161" s="471"/>
      <c r="J161" s="471"/>
      <c r="K161" s="471"/>
      <c r="L161" s="470"/>
      <c r="M161" s="471"/>
      <c r="N161" s="471"/>
      <c r="O161" s="471"/>
      <c r="P161" s="472"/>
      <c r="Q161" s="473"/>
      <c r="R161" s="473"/>
      <c r="S161" s="473"/>
      <c r="T161" s="473"/>
      <c r="U161" s="473"/>
      <c r="V161" s="474"/>
      <c r="W161" s="475">
        <f>IF(OR(B161=Słowniki!A$46,B161=Słowniki!A$56,B161=Słowniki!A$58,B161=Słowniki!A$59),0.08,0.23)</f>
        <v>0.23</v>
      </c>
      <c r="X161" s="476"/>
      <c r="Y161" s="476"/>
      <c r="Z161" s="476"/>
      <c r="AA161" s="462">
        <f t="shared" si="3"/>
        <v>0</v>
      </c>
      <c r="AB161" s="462"/>
      <c r="AC161" s="462"/>
      <c r="AD161" s="462"/>
      <c r="AE161" s="462"/>
      <c r="AF161" s="462"/>
      <c r="AG161" s="462"/>
      <c r="AH161" s="329">
        <f t="shared" si="0"/>
        <v>1</v>
      </c>
      <c r="AI161" s="330"/>
      <c r="AJ161" s="331"/>
      <c r="AK161" s="291">
        <f t="shared" si="4"/>
        <v>0</v>
      </c>
      <c r="AL161" s="293"/>
      <c r="AN161" s="77"/>
    </row>
    <row r="162" spans="1:40" ht="36" customHeight="1" x14ac:dyDescent="0.25">
      <c r="A162" s="220">
        <v>39</v>
      </c>
      <c r="B162" s="467"/>
      <c r="C162" s="468"/>
      <c r="D162" s="468"/>
      <c r="E162" s="468"/>
      <c r="F162" s="469"/>
      <c r="G162" s="470"/>
      <c r="H162" s="471"/>
      <c r="I162" s="471"/>
      <c r="J162" s="471"/>
      <c r="K162" s="471"/>
      <c r="L162" s="470"/>
      <c r="M162" s="471"/>
      <c r="N162" s="471"/>
      <c r="O162" s="471"/>
      <c r="P162" s="472"/>
      <c r="Q162" s="473"/>
      <c r="R162" s="473"/>
      <c r="S162" s="473"/>
      <c r="T162" s="473"/>
      <c r="U162" s="473"/>
      <c r="V162" s="474"/>
      <c r="W162" s="475">
        <f>IF(OR(B162=Słowniki!A$46,B162=Słowniki!A$56,B162=Słowniki!A$58,B162=Słowniki!A$59),0.08,0.23)</f>
        <v>0.23</v>
      </c>
      <c r="X162" s="476"/>
      <c r="Y162" s="476"/>
      <c r="Z162" s="476"/>
      <c r="AA162" s="462">
        <f t="shared" si="3"/>
        <v>0</v>
      </c>
      <c r="AB162" s="462"/>
      <c r="AC162" s="462"/>
      <c r="AD162" s="462"/>
      <c r="AE162" s="462"/>
      <c r="AF162" s="462"/>
      <c r="AG162" s="462"/>
      <c r="AH162" s="329">
        <f t="shared" si="0"/>
        <v>1</v>
      </c>
      <c r="AI162" s="330"/>
      <c r="AJ162" s="331"/>
      <c r="AK162" s="291">
        <f t="shared" si="4"/>
        <v>0</v>
      </c>
      <c r="AL162" s="293"/>
      <c r="AN162" s="77"/>
    </row>
    <row r="163" spans="1:40" ht="36" customHeight="1" x14ac:dyDescent="0.25">
      <c r="A163" s="220">
        <v>40</v>
      </c>
      <c r="B163" s="467"/>
      <c r="C163" s="468"/>
      <c r="D163" s="468"/>
      <c r="E163" s="468"/>
      <c r="F163" s="469"/>
      <c r="G163" s="470"/>
      <c r="H163" s="471"/>
      <c r="I163" s="471"/>
      <c r="J163" s="471"/>
      <c r="K163" s="471"/>
      <c r="L163" s="470"/>
      <c r="M163" s="471"/>
      <c r="N163" s="471"/>
      <c r="O163" s="471"/>
      <c r="P163" s="472"/>
      <c r="Q163" s="473"/>
      <c r="R163" s="473"/>
      <c r="S163" s="473"/>
      <c r="T163" s="473"/>
      <c r="U163" s="473"/>
      <c r="V163" s="474"/>
      <c r="W163" s="475">
        <f>IF(OR(B163=Słowniki!A$46,B163=Słowniki!A$56,B163=Słowniki!A$58,B163=Słowniki!A$59),0.08,0.23)</f>
        <v>0.23</v>
      </c>
      <c r="X163" s="476"/>
      <c r="Y163" s="476"/>
      <c r="Z163" s="476"/>
      <c r="AA163" s="462">
        <f t="shared" si="3"/>
        <v>0</v>
      </c>
      <c r="AB163" s="462"/>
      <c r="AC163" s="462"/>
      <c r="AD163" s="462"/>
      <c r="AE163" s="462"/>
      <c r="AF163" s="462"/>
      <c r="AG163" s="462"/>
      <c r="AH163" s="329">
        <f t="shared" si="0"/>
        <v>1</v>
      </c>
      <c r="AI163" s="330"/>
      <c r="AJ163" s="331"/>
      <c r="AK163" s="291">
        <f t="shared" si="4"/>
        <v>0</v>
      </c>
      <c r="AL163" s="293"/>
      <c r="AN163" s="77"/>
    </row>
    <row r="164" spans="1:40" ht="36" customHeight="1" x14ac:dyDescent="0.25">
      <c r="A164" s="220">
        <v>41</v>
      </c>
      <c r="B164" s="467"/>
      <c r="C164" s="468"/>
      <c r="D164" s="468"/>
      <c r="E164" s="468"/>
      <c r="F164" s="469"/>
      <c r="G164" s="470"/>
      <c r="H164" s="471"/>
      <c r="I164" s="471"/>
      <c r="J164" s="471"/>
      <c r="K164" s="471"/>
      <c r="L164" s="470"/>
      <c r="M164" s="471"/>
      <c r="N164" s="471"/>
      <c r="O164" s="471"/>
      <c r="P164" s="472"/>
      <c r="Q164" s="473"/>
      <c r="R164" s="473"/>
      <c r="S164" s="473"/>
      <c r="T164" s="473"/>
      <c r="U164" s="473"/>
      <c r="V164" s="474"/>
      <c r="W164" s="475">
        <f>IF(OR(B164=Słowniki!A$46,B164=Słowniki!A$56,B164=Słowniki!A$58,B164=Słowniki!A$59),0.08,0.23)</f>
        <v>0.23</v>
      </c>
      <c r="X164" s="476"/>
      <c r="Y164" s="476"/>
      <c r="Z164" s="476"/>
      <c r="AA164" s="462">
        <f t="shared" si="3"/>
        <v>0</v>
      </c>
      <c r="AB164" s="462"/>
      <c r="AC164" s="462"/>
      <c r="AD164" s="462"/>
      <c r="AE164" s="462"/>
      <c r="AF164" s="462"/>
      <c r="AG164" s="462"/>
      <c r="AH164" s="329">
        <f t="shared" si="0"/>
        <v>1</v>
      </c>
      <c r="AI164" s="330"/>
      <c r="AJ164" s="331"/>
      <c r="AK164" s="291">
        <f t="shared" si="4"/>
        <v>0</v>
      </c>
      <c r="AL164" s="293"/>
      <c r="AN164" s="77"/>
    </row>
    <row r="165" spans="1:40" ht="36" customHeight="1" x14ac:dyDescent="0.25">
      <c r="A165" s="220">
        <v>42</v>
      </c>
      <c r="B165" s="467"/>
      <c r="C165" s="468"/>
      <c r="D165" s="468"/>
      <c r="E165" s="468"/>
      <c r="F165" s="469"/>
      <c r="G165" s="470"/>
      <c r="H165" s="471"/>
      <c r="I165" s="471"/>
      <c r="J165" s="471"/>
      <c r="K165" s="471"/>
      <c r="L165" s="470"/>
      <c r="M165" s="471"/>
      <c r="N165" s="471"/>
      <c r="O165" s="471"/>
      <c r="P165" s="472"/>
      <c r="Q165" s="473"/>
      <c r="R165" s="473"/>
      <c r="S165" s="473"/>
      <c r="T165" s="473"/>
      <c r="U165" s="473"/>
      <c r="V165" s="474"/>
      <c r="W165" s="475">
        <f>IF(OR(B165=Słowniki!A$46,B165=Słowniki!A$56,B165=Słowniki!A$58,B165=Słowniki!A$59),0.08,0.23)</f>
        <v>0.23</v>
      </c>
      <c r="X165" s="476"/>
      <c r="Y165" s="476"/>
      <c r="Z165" s="476"/>
      <c r="AA165" s="462">
        <f t="shared" si="3"/>
        <v>0</v>
      </c>
      <c r="AB165" s="462"/>
      <c r="AC165" s="462"/>
      <c r="AD165" s="462"/>
      <c r="AE165" s="462"/>
      <c r="AF165" s="462"/>
      <c r="AG165" s="462"/>
      <c r="AH165" s="329">
        <f t="shared" si="0"/>
        <v>1</v>
      </c>
      <c r="AI165" s="330"/>
      <c r="AJ165" s="331"/>
      <c r="AK165" s="291">
        <f t="shared" si="4"/>
        <v>0</v>
      </c>
      <c r="AL165" s="293"/>
      <c r="AN165" s="77"/>
    </row>
    <row r="166" spans="1:40" ht="36" customHeight="1" x14ac:dyDescent="0.25">
      <c r="A166" s="220">
        <v>43</v>
      </c>
      <c r="B166" s="467"/>
      <c r="C166" s="468"/>
      <c r="D166" s="468"/>
      <c r="E166" s="468"/>
      <c r="F166" s="469"/>
      <c r="G166" s="470"/>
      <c r="H166" s="471"/>
      <c r="I166" s="471"/>
      <c r="J166" s="471"/>
      <c r="K166" s="471"/>
      <c r="L166" s="470"/>
      <c r="M166" s="471"/>
      <c r="N166" s="471"/>
      <c r="O166" s="471"/>
      <c r="P166" s="472"/>
      <c r="Q166" s="473"/>
      <c r="R166" s="473"/>
      <c r="S166" s="473"/>
      <c r="T166" s="473"/>
      <c r="U166" s="473"/>
      <c r="V166" s="474"/>
      <c r="W166" s="475">
        <f>IF(OR(B166=Słowniki!A$46,B166=Słowniki!A$56,B166=Słowniki!A$58,B166=Słowniki!A$59),0.08,0.23)</f>
        <v>0.23</v>
      </c>
      <c r="X166" s="476"/>
      <c r="Y166" s="476"/>
      <c r="Z166" s="476"/>
      <c r="AA166" s="462">
        <f t="shared" si="3"/>
        <v>0</v>
      </c>
      <c r="AB166" s="462"/>
      <c r="AC166" s="462"/>
      <c r="AD166" s="462"/>
      <c r="AE166" s="462"/>
      <c r="AF166" s="462"/>
      <c r="AG166" s="462"/>
      <c r="AH166" s="329">
        <f t="shared" si="0"/>
        <v>1</v>
      </c>
      <c r="AI166" s="330"/>
      <c r="AJ166" s="331"/>
      <c r="AK166" s="291">
        <f t="shared" si="4"/>
        <v>0</v>
      </c>
      <c r="AL166" s="293"/>
      <c r="AN166" s="77"/>
    </row>
    <row r="167" spans="1:40" ht="36" customHeight="1" x14ac:dyDescent="0.25">
      <c r="A167" s="220">
        <v>44</v>
      </c>
      <c r="B167" s="467"/>
      <c r="C167" s="468"/>
      <c r="D167" s="468"/>
      <c r="E167" s="468"/>
      <c r="F167" s="469"/>
      <c r="G167" s="470"/>
      <c r="H167" s="471"/>
      <c r="I167" s="471"/>
      <c r="J167" s="471"/>
      <c r="K167" s="471"/>
      <c r="L167" s="470"/>
      <c r="M167" s="471"/>
      <c r="N167" s="471"/>
      <c r="O167" s="471"/>
      <c r="P167" s="472"/>
      <c r="Q167" s="473"/>
      <c r="R167" s="473"/>
      <c r="S167" s="473"/>
      <c r="T167" s="473"/>
      <c r="U167" s="473"/>
      <c r="V167" s="474"/>
      <c r="W167" s="475">
        <f>IF(OR(B167=Słowniki!A$46,B167=Słowniki!A$56,B167=Słowniki!A$58,B167=Słowniki!A$59),0.08,0.23)</f>
        <v>0.23</v>
      </c>
      <c r="X167" s="476"/>
      <c r="Y167" s="476"/>
      <c r="Z167" s="476"/>
      <c r="AA167" s="462">
        <f t="shared" si="3"/>
        <v>0</v>
      </c>
      <c r="AB167" s="462"/>
      <c r="AC167" s="462"/>
      <c r="AD167" s="462"/>
      <c r="AE167" s="462"/>
      <c r="AF167" s="462"/>
      <c r="AG167" s="462"/>
      <c r="AH167" s="329">
        <f t="shared" si="0"/>
        <v>1</v>
      </c>
      <c r="AI167" s="330"/>
      <c r="AJ167" s="331"/>
      <c r="AK167" s="291">
        <f t="shared" si="4"/>
        <v>0</v>
      </c>
      <c r="AL167" s="293"/>
      <c r="AN167" s="77"/>
    </row>
    <row r="168" spans="1:40" ht="36" customHeight="1" x14ac:dyDescent="0.25">
      <c r="A168" s="220">
        <v>45</v>
      </c>
      <c r="B168" s="467"/>
      <c r="C168" s="468"/>
      <c r="D168" s="468"/>
      <c r="E168" s="468"/>
      <c r="F168" s="469"/>
      <c r="G168" s="470"/>
      <c r="H168" s="471"/>
      <c r="I168" s="471"/>
      <c r="J168" s="471"/>
      <c r="K168" s="471"/>
      <c r="L168" s="470"/>
      <c r="M168" s="471"/>
      <c r="N168" s="471"/>
      <c r="O168" s="471"/>
      <c r="P168" s="472"/>
      <c r="Q168" s="473"/>
      <c r="R168" s="473"/>
      <c r="S168" s="473"/>
      <c r="T168" s="473"/>
      <c r="U168" s="473"/>
      <c r="V168" s="474"/>
      <c r="W168" s="475">
        <f>IF(OR(B168=Słowniki!A$46,B168=Słowniki!A$56,B168=Słowniki!A$58,B168=Słowniki!A$59),0.08,0.23)</f>
        <v>0.23</v>
      </c>
      <c r="X168" s="476"/>
      <c r="Y168" s="476"/>
      <c r="Z168" s="476"/>
      <c r="AA168" s="462">
        <f t="shared" si="3"/>
        <v>0</v>
      </c>
      <c r="AB168" s="462"/>
      <c r="AC168" s="462"/>
      <c r="AD168" s="462"/>
      <c r="AE168" s="462"/>
      <c r="AF168" s="462"/>
      <c r="AG168" s="462"/>
      <c r="AH168" s="329">
        <f t="shared" si="0"/>
        <v>1</v>
      </c>
      <c r="AI168" s="330"/>
      <c r="AJ168" s="331"/>
      <c r="AK168" s="291">
        <f t="shared" si="4"/>
        <v>0</v>
      </c>
      <c r="AL168" s="293"/>
      <c r="AN168" s="77"/>
    </row>
    <row r="169" spans="1:40" ht="36" customHeight="1" x14ac:dyDescent="0.25">
      <c r="A169" s="220">
        <v>46</v>
      </c>
      <c r="B169" s="467"/>
      <c r="C169" s="468"/>
      <c r="D169" s="468"/>
      <c r="E169" s="468"/>
      <c r="F169" s="469"/>
      <c r="G169" s="470"/>
      <c r="H169" s="471"/>
      <c r="I169" s="471"/>
      <c r="J169" s="471"/>
      <c r="K169" s="471"/>
      <c r="L169" s="470"/>
      <c r="M169" s="471"/>
      <c r="N169" s="471"/>
      <c r="O169" s="471"/>
      <c r="P169" s="472"/>
      <c r="Q169" s="473"/>
      <c r="R169" s="473"/>
      <c r="S169" s="473"/>
      <c r="T169" s="473"/>
      <c r="U169" s="473"/>
      <c r="V169" s="474"/>
      <c r="W169" s="475">
        <f>IF(OR(B169=Słowniki!A$46,B169=Słowniki!A$56,B169=Słowniki!A$58,B169=Słowniki!A$59),0.08,0.23)</f>
        <v>0.23</v>
      </c>
      <c r="X169" s="476"/>
      <c r="Y169" s="476"/>
      <c r="Z169" s="476"/>
      <c r="AA169" s="462">
        <f t="shared" si="3"/>
        <v>0</v>
      </c>
      <c r="AB169" s="462"/>
      <c r="AC169" s="462"/>
      <c r="AD169" s="462"/>
      <c r="AE169" s="462"/>
      <c r="AF169" s="462"/>
      <c r="AG169" s="462"/>
      <c r="AH169" s="329">
        <f t="shared" si="0"/>
        <v>1</v>
      </c>
      <c r="AI169" s="330"/>
      <c r="AJ169" s="331"/>
      <c r="AK169" s="291">
        <f t="shared" si="4"/>
        <v>0</v>
      </c>
      <c r="AL169" s="293"/>
      <c r="AN169" s="77"/>
    </row>
    <row r="170" spans="1:40" ht="14.1" customHeight="1" x14ac:dyDescent="0.25">
      <c r="A170" s="128">
        <v>47</v>
      </c>
      <c r="B170" s="451" t="s">
        <v>128</v>
      </c>
      <c r="C170" s="452"/>
      <c r="D170" s="452"/>
      <c r="E170" s="452"/>
      <c r="F170" s="452"/>
      <c r="G170" s="452"/>
      <c r="H170" s="452"/>
      <c r="I170" s="452"/>
      <c r="J170" s="452"/>
      <c r="K170" s="452"/>
      <c r="L170" s="452"/>
      <c r="M170" s="452"/>
      <c r="N170" s="452"/>
      <c r="O170" s="504"/>
      <c r="P170" s="502">
        <f>SUM(P124:V169)</f>
        <v>0</v>
      </c>
      <c r="Q170" s="503"/>
      <c r="R170" s="503"/>
      <c r="S170" s="503"/>
      <c r="T170" s="503"/>
      <c r="U170" s="503"/>
      <c r="V170" s="503"/>
      <c r="W170" s="500" t="s">
        <v>129</v>
      </c>
      <c r="X170" s="500"/>
      <c r="Y170" s="500"/>
      <c r="Z170" s="501"/>
      <c r="AA170" s="457">
        <f>SUM(AA124:AG169)</f>
        <v>0</v>
      </c>
      <c r="AB170" s="457"/>
      <c r="AC170" s="457"/>
      <c r="AD170" s="457"/>
      <c r="AE170" s="457"/>
      <c r="AF170" s="457"/>
      <c r="AG170" s="457"/>
      <c r="AH170" s="461" t="s">
        <v>129</v>
      </c>
      <c r="AI170" s="461"/>
      <c r="AJ170" s="461"/>
      <c r="AK170" s="457">
        <f>ROUND(SUM(AK124:AL169),2)</f>
        <v>0</v>
      </c>
      <c r="AL170" s="457"/>
    </row>
    <row r="171" spans="1:40" ht="122.7" customHeight="1" x14ac:dyDescent="0.25">
      <c r="A171" s="334" t="s">
        <v>1111</v>
      </c>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c r="AI171" s="334"/>
      <c r="AJ171" s="334"/>
      <c r="AK171" s="334"/>
      <c r="AL171" s="334"/>
    </row>
    <row r="172" spans="1:40" ht="13.95" customHeight="1" x14ac:dyDescent="0.25">
      <c r="A172" s="129"/>
      <c r="B172" s="453" t="s">
        <v>181</v>
      </c>
      <c r="C172" s="453"/>
      <c r="D172" s="453"/>
      <c r="E172" s="453"/>
      <c r="F172" s="453"/>
      <c r="G172" s="453"/>
      <c r="H172" s="453"/>
      <c r="I172" s="453"/>
      <c r="J172" s="453"/>
      <c r="K172" s="453"/>
      <c r="L172" s="453"/>
      <c r="M172" s="453"/>
      <c r="N172" s="453"/>
      <c r="O172" s="453"/>
      <c r="P172" s="453"/>
      <c r="Q172" s="453"/>
      <c r="R172" s="453"/>
      <c r="S172" s="453"/>
      <c r="T172" s="458">
        <v>0.8</v>
      </c>
      <c r="U172" s="458"/>
      <c r="V172" s="458"/>
      <c r="W172" s="458"/>
      <c r="X172" s="458"/>
      <c r="Y172" s="458"/>
      <c r="Z172" s="458"/>
      <c r="AA172" s="458"/>
      <c r="AB172" s="458"/>
      <c r="AC172" s="458"/>
      <c r="AD172" s="458"/>
      <c r="AE172" s="458"/>
      <c r="AF172" s="458"/>
      <c r="AG172" s="458"/>
      <c r="AH172" s="458"/>
      <c r="AI172" s="458"/>
      <c r="AJ172" s="458"/>
      <c r="AK172" s="130"/>
      <c r="AL172" s="131"/>
    </row>
    <row r="173" spans="1:40" ht="14.7" customHeight="1" x14ac:dyDescent="0.3">
      <c r="A173" s="129"/>
      <c r="B173" s="453" t="s">
        <v>183</v>
      </c>
      <c r="C173" s="453"/>
      <c r="D173" s="453"/>
      <c r="E173" s="453"/>
      <c r="F173" s="453"/>
      <c r="G173" s="453"/>
      <c r="H173" s="453"/>
      <c r="I173" s="453"/>
      <c r="J173" s="453"/>
      <c r="K173" s="453"/>
      <c r="L173" s="453"/>
      <c r="M173" s="453"/>
      <c r="N173" s="453"/>
      <c r="O173" s="453"/>
      <c r="P173" s="453"/>
      <c r="Q173" s="453"/>
      <c r="R173" s="453"/>
      <c r="S173" s="453"/>
      <c r="T173" s="459"/>
      <c r="U173" s="459"/>
      <c r="V173" s="459"/>
      <c r="W173" s="459"/>
      <c r="X173" s="459"/>
      <c r="Y173" s="459"/>
      <c r="Z173" s="459"/>
      <c r="AA173" s="459"/>
      <c r="AB173" s="459"/>
      <c r="AC173" s="459"/>
      <c r="AD173" s="459"/>
      <c r="AE173" s="459"/>
      <c r="AF173" s="459"/>
      <c r="AG173" s="459"/>
      <c r="AH173" s="459"/>
      <c r="AI173" s="459"/>
      <c r="AJ173" s="459"/>
      <c r="AK173" s="130"/>
      <c r="AL173" s="131"/>
      <c r="AM173" s="133" t="s">
        <v>215</v>
      </c>
    </row>
    <row r="174" spans="1:40" ht="14.4" x14ac:dyDescent="0.3">
      <c r="A174" s="129"/>
      <c r="B174" s="453" t="s">
        <v>182</v>
      </c>
      <c r="C174" s="453"/>
      <c r="D174" s="453"/>
      <c r="E174" s="453"/>
      <c r="F174" s="453"/>
      <c r="G174" s="453"/>
      <c r="H174" s="453"/>
      <c r="I174" s="453"/>
      <c r="J174" s="453"/>
      <c r="K174" s="453"/>
      <c r="L174" s="453"/>
      <c r="M174" s="453"/>
      <c r="N174" s="453"/>
      <c r="O174" s="453"/>
      <c r="P174" s="453"/>
      <c r="Q174" s="453"/>
      <c r="R174" s="453"/>
      <c r="S174" s="453"/>
      <c r="T174" s="466">
        <f>ROUNDDOWN(AK170*(T172+T173),2)</f>
        <v>0</v>
      </c>
      <c r="U174" s="466"/>
      <c r="V174" s="466"/>
      <c r="W174" s="466"/>
      <c r="X174" s="466"/>
      <c r="Y174" s="466"/>
      <c r="Z174" s="466"/>
      <c r="AA174" s="466"/>
      <c r="AB174" s="466"/>
      <c r="AC174" s="466"/>
      <c r="AD174" s="466"/>
      <c r="AE174" s="466"/>
      <c r="AF174" s="466"/>
      <c r="AG174" s="466"/>
      <c r="AH174" s="466"/>
      <c r="AI174" s="466"/>
      <c r="AJ174" s="466"/>
      <c r="AK174" s="130"/>
      <c r="AL174" s="131"/>
      <c r="AM174" s="133"/>
    </row>
    <row r="175" spans="1:40" ht="48.75" customHeight="1" x14ac:dyDescent="0.25">
      <c r="A175" s="332" t="s">
        <v>786</v>
      </c>
      <c r="B175" s="332"/>
      <c r="C175" s="332"/>
      <c r="D175" s="332"/>
      <c r="E175" s="332"/>
      <c r="F175" s="332"/>
      <c r="G175" s="332"/>
      <c r="H175" s="332"/>
      <c r="I175" s="332"/>
      <c r="J175" s="332"/>
      <c r="K175" s="332"/>
      <c r="L175" s="332"/>
      <c r="M175" s="332"/>
      <c r="N175" s="332"/>
      <c r="O175" s="332"/>
      <c r="P175" s="332"/>
      <c r="Q175" s="332"/>
      <c r="R175" s="332"/>
      <c r="S175" s="332"/>
      <c r="T175" s="332"/>
      <c r="U175" s="332"/>
      <c r="V175" s="332"/>
      <c r="W175" s="332"/>
      <c r="X175" s="332"/>
      <c r="Y175" s="332"/>
      <c r="Z175" s="332"/>
      <c r="AA175" s="332"/>
      <c r="AB175" s="332"/>
      <c r="AC175" s="332"/>
      <c r="AD175" s="332"/>
      <c r="AE175" s="332"/>
      <c r="AF175" s="332"/>
      <c r="AG175" s="332"/>
      <c r="AH175" s="332"/>
      <c r="AI175" s="332"/>
      <c r="AJ175" s="332"/>
      <c r="AK175" s="332"/>
      <c r="AL175" s="332"/>
      <c r="AM175" s="81"/>
    </row>
    <row r="176" spans="1:40" ht="45" customHeight="1" x14ac:dyDescent="0.25">
      <c r="A176" s="333" t="s">
        <v>827</v>
      </c>
      <c r="B176" s="333"/>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c r="Z176" s="333"/>
      <c r="AA176" s="333"/>
      <c r="AB176" s="333"/>
      <c r="AC176" s="333"/>
      <c r="AD176" s="333"/>
      <c r="AE176" s="333"/>
      <c r="AF176" s="333"/>
      <c r="AG176" s="333"/>
      <c r="AH176" s="333"/>
      <c r="AI176" s="333"/>
      <c r="AJ176" s="333"/>
      <c r="AK176" s="333"/>
      <c r="AL176" s="333"/>
    </row>
    <row r="177" spans="1:39" ht="34.950000000000003" customHeight="1" x14ac:dyDescent="0.25">
      <c r="A177" s="332" t="s">
        <v>1115</v>
      </c>
      <c r="B177" s="332"/>
      <c r="C177" s="332"/>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81"/>
    </row>
    <row r="178" spans="1:39" ht="45" customHeight="1" x14ac:dyDescent="0.25">
      <c r="A178" s="333" t="s">
        <v>961</v>
      </c>
      <c r="B178" s="333"/>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row>
    <row r="179" spans="1:39" ht="51.75" customHeight="1" x14ac:dyDescent="0.25">
      <c r="A179" s="308" t="s">
        <v>1120</v>
      </c>
      <c r="B179" s="332"/>
      <c r="C179" s="332"/>
      <c r="D179" s="332"/>
      <c r="E179" s="332"/>
      <c r="F179" s="332"/>
      <c r="G179" s="332"/>
      <c r="H179" s="332"/>
      <c r="I179" s="332"/>
      <c r="J179" s="332"/>
      <c r="K179" s="332"/>
      <c r="L179" s="332"/>
      <c r="M179" s="332"/>
      <c r="N179" s="332"/>
      <c r="O179" s="332"/>
      <c r="P179" s="332"/>
      <c r="Q179" s="332"/>
      <c r="R179" s="332"/>
      <c r="S179" s="332"/>
      <c r="T179" s="332"/>
      <c r="U179" s="332"/>
      <c r="V179" s="332"/>
      <c r="W179" s="332"/>
      <c r="X179" s="332"/>
      <c r="Y179" s="332"/>
      <c r="Z179" s="332"/>
      <c r="AA179" s="332"/>
      <c r="AB179" s="332"/>
      <c r="AC179" s="332"/>
      <c r="AD179" s="332"/>
      <c r="AE179" s="332"/>
      <c r="AF179" s="332"/>
      <c r="AG179" s="332"/>
      <c r="AH179" s="332"/>
      <c r="AI179" s="332"/>
      <c r="AJ179" s="332"/>
      <c r="AK179" s="332"/>
      <c r="AL179" s="332"/>
      <c r="AM179" s="76"/>
    </row>
    <row r="180" spans="1:39" ht="45" customHeight="1" x14ac:dyDescent="0.25">
      <c r="A180" s="333" t="str">
        <f>IF(A65=Słowniki!AA3,Słowniki!W6,Słowniki!W5)</f>
        <v>Żaden lokal nie będzie przeznaczony dla rodzin z dziećmi posiadającymi zaświadczenie, o którym mowa w art. 4 ust. 3 ustawy z dnia 4 listopada 2016 r. o wsparciu kobiet w ciąży i rodzin „Za życiem” (Dz. U. z 2024 r. poz. 1829).</v>
      </c>
      <c r="B180" s="333"/>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row>
    <row r="181" spans="1:39" ht="112.95" customHeight="1" x14ac:dyDescent="0.25">
      <c r="A181" s="308" t="s">
        <v>1123</v>
      </c>
      <c r="B181" s="332"/>
      <c r="C181" s="332"/>
      <c r="D181" s="332"/>
      <c r="E181" s="332"/>
      <c r="F181" s="332"/>
      <c r="G181" s="332"/>
      <c r="H181" s="332"/>
      <c r="I181" s="332"/>
      <c r="J181" s="332"/>
      <c r="K181" s="332"/>
      <c r="L181" s="332"/>
      <c r="M181" s="332"/>
      <c r="N181" s="332"/>
      <c r="O181" s="332"/>
      <c r="P181" s="332"/>
      <c r="Q181" s="332"/>
      <c r="R181" s="332"/>
      <c r="S181" s="332"/>
      <c r="T181" s="332"/>
      <c r="U181" s="332"/>
      <c r="V181" s="332"/>
      <c r="W181" s="332"/>
      <c r="X181" s="332"/>
      <c r="Y181" s="332"/>
      <c r="Z181" s="332"/>
      <c r="AA181" s="332"/>
      <c r="AB181" s="332"/>
      <c r="AC181" s="332"/>
      <c r="AD181" s="332"/>
      <c r="AE181" s="332"/>
      <c r="AF181" s="332"/>
      <c r="AG181" s="332"/>
      <c r="AH181" s="332"/>
      <c r="AI181" s="332"/>
      <c r="AJ181" s="332"/>
      <c r="AK181" s="332"/>
      <c r="AL181" s="332"/>
      <c r="AM181" s="81"/>
    </row>
    <row r="182" spans="1:39" ht="73.2" customHeight="1" x14ac:dyDescent="0.25">
      <c r="A182" s="333" t="s">
        <v>784</v>
      </c>
      <c r="B182" s="333"/>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c r="Z182" s="333"/>
      <c r="AA182" s="333"/>
      <c r="AB182" s="333"/>
      <c r="AC182" s="333"/>
      <c r="AD182" s="333"/>
      <c r="AE182" s="333"/>
      <c r="AF182" s="333"/>
      <c r="AG182" s="333"/>
      <c r="AH182" s="333"/>
      <c r="AI182" s="333"/>
      <c r="AJ182" s="333"/>
      <c r="AK182" s="333"/>
      <c r="AL182" s="333"/>
    </row>
    <row r="183" spans="1:39" ht="57" customHeight="1" x14ac:dyDescent="0.25">
      <c r="A183" s="308" t="s">
        <v>1125</v>
      </c>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row>
    <row r="184" spans="1:39" ht="73.2" customHeight="1" x14ac:dyDescent="0.25">
      <c r="A184" s="333" t="str">
        <f>IF(SUM(A61,T61)&gt;0,Słowniki!W$10,Słowniki!W$11)</f>
        <v>Nie dotyczy realizowanego przedsięwzięwzięcia</v>
      </c>
      <c r="B184" s="333"/>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c r="Z184" s="333"/>
      <c r="AA184" s="333"/>
      <c r="AB184" s="333"/>
      <c r="AC184" s="333"/>
      <c r="AD184" s="333"/>
      <c r="AE184" s="333"/>
      <c r="AF184" s="333"/>
      <c r="AG184" s="333"/>
      <c r="AH184" s="333"/>
      <c r="AI184" s="333"/>
      <c r="AJ184" s="333"/>
      <c r="AK184" s="333"/>
      <c r="AL184" s="333"/>
    </row>
    <row r="185" spans="1:39" ht="85.95" customHeight="1" x14ac:dyDescent="0.25">
      <c r="A185" s="308" t="s">
        <v>1126</v>
      </c>
      <c r="B185" s="332"/>
      <c r="C185" s="332"/>
      <c r="D185" s="332"/>
      <c r="E185" s="332"/>
      <c r="F185" s="332"/>
      <c r="G185" s="332"/>
      <c r="H185" s="332"/>
      <c r="I185" s="332"/>
      <c r="J185" s="332"/>
      <c r="K185" s="332"/>
      <c r="L185" s="332"/>
      <c r="M185" s="332"/>
      <c r="N185" s="332"/>
      <c r="O185" s="332"/>
      <c r="P185" s="332"/>
      <c r="Q185" s="332"/>
      <c r="R185" s="332"/>
      <c r="S185" s="332"/>
      <c r="T185" s="332"/>
      <c r="U185" s="332"/>
      <c r="V185" s="332"/>
      <c r="W185" s="332"/>
      <c r="X185" s="332"/>
      <c r="Y185" s="332"/>
      <c r="Z185" s="332"/>
      <c r="AA185" s="332"/>
      <c r="AB185" s="332"/>
      <c r="AC185" s="332"/>
      <c r="AD185" s="332"/>
      <c r="AE185" s="332"/>
      <c r="AF185" s="332"/>
      <c r="AG185" s="332"/>
      <c r="AH185" s="332"/>
      <c r="AI185" s="332"/>
      <c r="AJ185" s="332"/>
      <c r="AK185" s="332"/>
      <c r="AL185" s="332"/>
    </row>
    <row r="186" spans="1:39" ht="73.95" customHeight="1" x14ac:dyDescent="0.25">
      <c r="A186" s="333" t="str">
        <f>IF(AND(A67&gt;Słowniki!AA3,AK107&gt;Słowniki!AA3),Słowniki!Z$1,Słowniki!Z$2)</f>
        <v>NIE DOTYCZY</v>
      </c>
      <c r="B186" s="333"/>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c r="Z186" s="333"/>
      <c r="AA186" s="333"/>
      <c r="AB186" s="333"/>
      <c r="AC186" s="333"/>
      <c r="AD186" s="333"/>
      <c r="AE186" s="333"/>
      <c r="AF186" s="333"/>
      <c r="AG186" s="333"/>
      <c r="AH186" s="333"/>
      <c r="AI186" s="333"/>
      <c r="AJ186" s="333"/>
      <c r="AK186" s="333"/>
      <c r="AL186" s="333"/>
    </row>
    <row r="187" spans="1:39" ht="63.6" customHeight="1" x14ac:dyDescent="0.25">
      <c r="A187" s="332" t="s">
        <v>1128</v>
      </c>
      <c r="B187" s="332"/>
      <c r="C187" s="332"/>
      <c r="D187" s="332"/>
      <c r="E187" s="332"/>
      <c r="F187" s="332"/>
      <c r="G187" s="332"/>
      <c r="H187" s="332"/>
      <c r="I187" s="332"/>
      <c r="J187" s="332"/>
      <c r="K187" s="332"/>
      <c r="L187" s="332"/>
      <c r="M187" s="332"/>
      <c r="N187" s="332"/>
      <c r="O187" s="332"/>
      <c r="P187" s="332"/>
      <c r="Q187" s="332"/>
      <c r="R187" s="332"/>
      <c r="S187" s="332"/>
      <c r="T187" s="332"/>
      <c r="U187" s="332"/>
      <c r="V187" s="332"/>
      <c r="W187" s="332"/>
      <c r="X187" s="332"/>
      <c r="Y187" s="332"/>
      <c r="Z187" s="332"/>
      <c r="AA187" s="332"/>
      <c r="AB187" s="332"/>
      <c r="AC187" s="332"/>
      <c r="AD187" s="332"/>
      <c r="AE187" s="332"/>
      <c r="AF187" s="332"/>
      <c r="AG187" s="332"/>
      <c r="AH187" s="332"/>
      <c r="AI187" s="332"/>
      <c r="AJ187" s="332"/>
      <c r="AK187" s="332"/>
      <c r="AL187" s="332"/>
    </row>
    <row r="188" spans="1:39" ht="63" customHeight="1" x14ac:dyDescent="0.25">
      <c r="A188" s="333" t="str">
        <f>IF(B17=Słowniki!A7,Słowniki!Z3,Słowniki!Z4)</f>
        <v>NIE DOTYCZY</v>
      </c>
      <c r="B188" s="333"/>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c r="Z188" s="333"/>
      <c r="AA188" s="333"/>
      <c r="AB188" s="333"/>
      <c r="AC188" s="333"/>
      <c r="AD188" s="333"/>
      <c r="AE188" s="333"/>
      <c r="AF188" s="333"/>
      <c r="AG188" s="333"/>
      <c r="AH188" s="333"/>
      <c r="AI188" s="333"/>
      <c r="AJ188" s="333"/>
      <c r="AK188" s="333"/>
      <c r="AL188" s="333"/>
    </row>
    <row r="189" spans="1:39" ht="82.95" customHeight="1" x14ac:dyDescent="0.25">
      <c r="A189" s="332" t="s">
        <v>1130</v>
      </c>
      <c r="B189" s="332"/>
      <c r="C189" s="332"/>
      <c r="D189" s="332"/>
      <c r="E189" s="332"/>
      <c r="F189" s="332"/>
      <c r="G189" s="332"/>
      <c r="H189" s="332"/>
      <c r="I189" s="332"/>
      <c r="J189" s="332"/>
      <c r="K189" s="332"/>
      <c r="L189" s="332"/>
      <c r="M189" s="332"/>
      <c r="N189" s="332"/>
      <c r="O189" s="332"/>
      <c r="P189" s="332"/>
      <c r="Q189" s="332"/>
      <c r="R189" s="332"/>
      <c r="S189" s="332"/>
      <c r="T189" s="332"/>
      <c r="U189" s="332"/>
      <c r="V189" s="332"/>
      <c r="W189" s="332"/>
      <c r="X189" s="332"/>
      <c r="Y189" s="332"/>
      <c r="Z189" s="332"/>
      <c r="AA189" s="332"/>
      <c r="AB189" s="332"/>
      <c r="AC189" s="332"/>
      <c r="AD189" s="332"/>
      <c r="AE189" s="332"/>
      <c r="AF189" s="332"/>
      <c r="AG189" s="332"/>
      <c r="AH189" s="332"/>
      <c r="AI189" s="332"/>
      <c r="AJ189" s="332"/>
      <c r="AK189" s="332"/>
      <c r="AL189" s="332"/>
      <c r="AM189" s="81"/>
    </row>
    <row r="190" spans="1:39" ht="76.5" customHeight="1" x14ac:dyDescent="0.25">
      <c r="A190" s="333"/>
      <c r="B190" s="333"/>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c r="Z190" s="333"/>
      <c r="AA190" s="333"/>
      <c r="AB190" s="333"/>
      <c r="AC190" s="333"/>
      <c r="AD190" s="333"/>
      <c r="AE190" s="333"/>
      <c r="AF190" s="333"/>
      <c r="AG190" s="333"/>
      <c r="AH190" s="333"/>
      <c r="AI190" s="333"/>
      <c r="AJ190" s="333"/>
      <c r="AK190" s="333"/>
      <c r="AL190" s="333"/>
    </row>
    <row r="191" spans="1:39" ht="66.45" customHeight="1" x14ac:dyDescent="0.25">
      <c r="A191" s="315" t="s">
        <v>1135</v>
      </c>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row>
    <row r="192" spans="1:39" ht="94.5" customHeight="1" x14ac:dyDescent="0.25">
      <c r="A192" s="333" t="s">
        <v>1146</v>
      </c>
      <c r="B192" s="333"/>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row>
    <row r="193" spans="1:40" ht="49.95" customHeight="1" x14ac:dyDescent="0.25">
      <c r="A193" s="308" t="s">
        <v>1138</v>
      </c>
      <c r="B193" s="332"/>
      <c r="C193" s="332"/>
      <c r="D193" s="332"/>
      <c r="E193" s="332"/>
      <c r="F193" s="332"/>
      <c r="G193" s="332"/>
      <c r="H193" s="332"/>
      <c r="I193" s="332"/>
      <c r="J193" s="332"/>
      <c r="K193" s="332"/>
      <c r="L193" s="332"/>
      <c r="M193" s="332"/>
      <c r="N193" s="332"/>
      <c r="O193" s="332"/>
      <c r="P193" s="332"/>
      <c r="Q193" s="332"/>
      <c r="R193" s="332"/>
      <c r="S193" s="332"/>
      <c r="T193" s="332"/>
      <c r="U193" s="332"/>
      <c r="V193" s="332"/>
      <c r="W193" s="332"/>
      <c r="X193" s="332"/>
      <c r="Y193" s="332"/>
      <c r="Z193" s="332"/>
      <c r="AA193" s="332"/>
      <c r="AB193" s="332"/>
      <c r="AC193" s="332"/>
      <c r="AD193" s="332"/>
      <c r="AE193" s="332"/>
      <c r="AF193" s="332"/>
      <c r="AG193" s="332"/>
      <c r="AH193" s="332"/>
      <c r="AI193" s="332"/>
      <c r="AJ193" s="332"/>
      <c r="AK193" s="332"/>
      <c r="AL193" s="332"/>
    </row>
    <row r="194" spans="1:40" ht="53.7" customHeight="1" x14ac:dyDescent="0.25">
      <c r="A194" s="333" t="s">
        <v>1139</v>
      </c>
      <c r="B194" s="333"/>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row>
    <row r="195" spans="1:40" ht="26.7" customHeight="1" x14ac:dyDescent="0.25">
      <c r="A195" s="308" t="s">
        <v>752</v>
      </c>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c r="AH195" s="308"/>
      <c r="AI195" s="308"/>
      <c r="AJ195" s="308"/>
      <c r="AK195" s="308"/>
      <c r="AL195" s="308"/>
      <c r="AM195" s="81"/>
    </row>
    <row r="196" spans="1:40" ht="61.95" customHeight="1" x14ac:dyDescent="0.25">
      <c r="A196" s="308" t="s">
        <v>979</v>
      </c>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c r="AJ196" s="308"/>
      <c r="AK196" s="308"/>
      <c r="AL196" s="308"/>
    </row>
    <row r="197" spans="1:40" ht="34.950000000000003" customHeight="1" x14ac:dyDescent="0.25">
      <c r="A197" s="308" t="s">
        <v>1024</v>
      </c>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c r="AH197" s="308"/>
      <c r="AI197" s="308"/>
      <c r="AJ197" s="308"/>
      <c r="AK197" s="308"/>
      <c r="AL197" s="308"/>
    </row>
    <row r="198" spans="1:40" ht="76.5" customHeight="1" x14ac:dyDescent="0.25">
      <c r="A198" s="308" t="s">
        <v>1153</v>
      </c>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c r="AJ198" s="308"/>
      <c r="AK198" s="308"/>
      <c r="AL198" s="308"/>
    </row>
    <row r="199" spans="1:40" ht="81.45" customHeight="1" x14ac:dyDescent="0.25">
      <c r="A199" s="308" t="s">
        <v>1009</v>
      </c>
      <c r="B199" s="328"/>
      <c r="C199" s="328"/>
      <c r="D199" s="328"/>
      <c r="E199" s="328"/>
      <c r="F199" s="328"/>
      <c r="G199" s="328"/>
      <c r="H199" s="328"/>
      <c r="I199" s="328"/>
      <c r="J199" s="328"/>
      <c r="K199" s="328"/>
      <c r="L199" s="328"/>
      <c r="M199" s="328"/>
      <c r="N199" s="328"/>
      <c r="O199" s="328"/>
      <c r="P199" s="328"/>
      <c r="Q199" s="328"/>
      <c r="R199" s="328"/>
      <c r="S199" s="328"/>
      <c r="T199" s="328"/>
      <c r="U199" s="328"/>
      <c r="V199" s="328"/>
      <c r="W199" s="328"/>
      <c r="X199" s="328"/>
      <c r="Y199" s="328"/>
      <c r="Z199" s="328"/>
      <c r="AA199" s="328"/>
      <c r="AB199" s="328"/>
      <c r="AC199" s="328"/>
      <c r="AD199" s="328"/>
      <c r="AE199" s="328"/>
      <c r="AF199" s="328"/>
      <c r="AG199" s="328"/>
      <c r="AH199" s="328"/>
      <c r="AI199" s="328"/>
      <c r="AJ199" s="328"/>
      <c r="AK199" s="328"/>
      <c r="AL199" s="328"/>
      <c r="AM199" s="76"/>
    </row>
    <row r="200" spans="1:40" ht="22.2" customHeight="1" x14ac:dyDescent="0.25">
      <c r="A200" s="308" t="s">
        <v>1051</v>
      </c>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c r="AH200" s="308"/>
      <c r="AI200" s="308"/>
      <c r="AJ200" s="308"/>
      <c r="AK200" s="308"/>
      <c r="AL200" s="308"/>
    </row>
    <row r="201" spans="1:40" ht="44.25" customHeight="1" x14ac:dyDescent="0.25">
      <c r="A201" s="505" t="str">
        <f>IF(B17="Gmina","1)  w przypadku gminy - wójta (burmistrza, prezydenta miasta)",IF(B17="Powiat","3)  w przypadku powiatu - starostę)",IF(B17="Związek międzygminny","2)  w przypadku związku międzygminnego - zarząd związku",IF(OR(B17="Organizacja pozarządowa",B17="Podmiot, o którym mowa w art. 3 ust. 3 ustawy z dnia 24 kwietnia 2003 r. o działalności pożytku publicznego i o wolontariacie"),"4)  w przypadku organizacji pozarządowej lub podmiotów, o których mowa w art. 3 ust. 3 ustawy o działalności pożytku publicznego i o wolontariacie - osobę lub osoby uprawnione do składania oświadczeń woli w imieniu  organizacji",IF(B17="Jednoosobowa spółka gminna","4)  w przypadku jednoosobowej spółki gminnej - osobę lub osoby uprawnione do składania oświadczeń woli w imieniu spółki",IF(B17="",""))))))</f>
        <v/>
      </c>
      <c r="B201" s="505"/>
      <c r="C201" s="505"/>
      <c r="D201" s="505"/>
      <c r="E201" s="505"/>
      <c r="F201" s="505"/>
      <c r="G201" s="505"/>
      <c r="H201" s="505"/>
      <c r="I201" s="505"/>
      <c r="J201" s="505"/>
      <c r="K201" s="505"/>
      <c r="L201" s="505"/>
      <c r="M201" s="505"/>
      <c r="N201" s="505"/>
      <c r="O201" s="505"/>
      <c r="P201" s="505"/>
      <c r="Q201" s="505"/>
      <c r="R201" s="505"/>
      <c r="S201" s="505"/>
      <c r="T201" s="505"/>
      <c r="U201" s="505"/>
      <c r="V201" s="505"/>
      <c r="W201" s="505"/>
      <c r="X201" s="505"/>
      <c r="Y201" s="505"/>
      <c r="Z201" s="505"/>
      <c r="AA201" s="505"/>
      <c r="AB201" s="505"/>
      <c r="AC201" s="505"/>
      <c r="AD201" s="505"/>
      <c r="AE201" s="505"/>
      <c r="AF201" s="505"/>
      <c r="AG201" s="505"/>
      <c r="AH201" s="505"/>
      <c r="AI201" s="505"/>
      <c r="AJ201" s="505"/>
      <c r="AK201" s="505"/>
      <c r="AL201" s="505"/>
      <c r="AM201" s="454" t="s">
        <v>974</v>
      </c>
    </row>
    <row r="202" spans="1:40" ht="48" customHeight="1" x14ac:dyDescent="0.3">
      <c r="A202" s="460" t="s">
        <v>753</v>
      </c>
      <c r="B202" s="460"/>
      <c r="C202" s="460"/>
      <c r="D202" s="460"/>
      <c r="E202" s="460"/>
      <c r="F202" s="460"/>
      <c r="G202" s="460"/>
      <c r="H202" s="460"/>
      <c r="I202" s="460"/>
      <c r="J202" s="460"/>
      <c r="K202" s="460"/>
      <c r="L202" s="460"/>
      <c r="M202" s="460"/>
      <c r="N202" s="460"/>
      <c r="O202" s="460"/>
      <c r="P202" s="460"/>
      <c r="Q202" s="460"/>
      <c r="R202" s="460"/>
      <c r="S202" s="460"/>
      <c r="T202" s="460"/>
      <c r="U202" s="460"/>
      <c r="V202" s="460"/>
      <c r="W202" s="460"/>
      <c r="X202" s="460"/>
      <c r="Y202" s="460"/>
      <c r="Z202" s="460"/>
      <c r="AA202" s="460"/>
      <c r="AB202" s="460"/>
      <c r="AC202" s="460"/>
      <c r="AD202" s="460"/>
      <c r="AE202" s="460"/>
      <c r="AF202" s="460"/>
      <c r="AG202" s="460"/>
      <c r="AH202" s="460"/>
      <c r="AI202" s="460"/>
      <c r="AJ202" s="460"/>
      <c r="AK202" s="460"/>
      <c r="AL202" s="460"/>
      <c r="AM202" s="455"/>
      <c r="AN202" s="132"/>
    </row>
    <row r="203" spans="1:40" ht="13.95" customHeight="1" x14ac:dyDescent="0.25">
      <c r="A203" s="449" t="s">
        <v>1154</v>
      </c>
      <c r="B203" s="449"/>
      <c r="C203" s="449"/>
      <c r="D203" s="449"/>
      <c r="E203" s="449"/>
      <c r="F203" s="449"/>
      <c r="G203" s="449"/>
      <c r="H203" s="449"/>
      <c r="I203" s="449"/>
      <c r="J203" s="449"/>
      <c r="K203" s="449"/>
      <c r="L203" s="449"/>
      <c r="M203" s="449"/>
      <c r="N203" s="449"/>
      <c r="O203" s="449"/>
      <c r="P203" s="449"/>
      <c r="Q203" s="449"/>
      <c r="R203" s="449"/>
      <c r="S203" s="449"/>
      <c r="T203" s="449"/>
      <c r="U203" s="449"/>
      <c r="V203" s="449"/>
      <c r="W203" s="449"/>
      <c r="X203" s="449"/>
      <c r="Y203" s="449"/>
      <c r="Z203" s="449"/>
      <c r="AA203" s="449"/>
      <c r="AB203" s="449"/>
      <c r="AC203" s="449"/>
      <c r="AD203" s="449"/>
      <c r="AE203" s="449"/>
      <c r="AF203" s="449"/>
      <c r="AG203" s="449"/>
      <c r="AH203" s="449"/>
      <c r="AI203" s="449"/>
      <c r="AJ203" s="449"/>
      <c r="AK203" s="449"/>
      <c r="AL203" s="449"/>
    </row>
    <row r="204" spans="1:40" ht="13.95" customHeight="1" x14ac:dyDescent="0.25">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c r="W204" s="450"/>
      <c r="X204" s="450"/>
      <c r="Y204" s="450"/>
      <c r="Z204" s="450"/>
      <c r="AA204" s="450"/>
      <c r="AB204" s="450"/>
      <c r="AC204" s="450"/>
      <c r="AD204" s="450"/>
      <c r="AE204" s="450"/>
      <c r="AF204" s="450"/>
      <c r="AG204" s="450"/>
      <c r="AH204" s="450"/>
      <c r="AI204" s="450"/>
      <c r="AJ204" s="450"/>
      <c r="AK204" s="450"/>
      <c r="AL204" s="450"/>
    </row>
    <row r="205" spans="1:40" ht="13.95" customHeight="1" x14ac:dyDescent="0.2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c r="W205" s="450"/>
      <c r="X205" s="450"/>
      <c r="Y205" s="450"/>
      <c r="Z205" s="450"/>
      <c r="AA205" s="450"/>
      <c r="AB205" s="450"/>
      <c r="AC205" s="450"/>
      <c r="AD205" s="450"/>
      <c r="AE205" s="450"/>
      <c r="AF205" s="450"/>
      <c r="AG205" s="450"/>
      <c r="AH205" s="450"/>
      <c r="AI205" s="450"/>
      <c r="AJ205" s="450"/>
      <c r="AK205" s="450"/>
      <c r="AL205" s="450"/>
    </row>
    <row r="206" spans="1:40" ht="13.95" customHeight="1" x14ac:dyDescent="0.3">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c r="W206" s="450"/>
      <c r="X206" s="450"/>
      <c r="Y206" s="450"/>
      <c r="Z206" s="450"/>
      <c r="AA206" s="450"/>
      <c r="AB206" s="450"/>
      <c r="AC206" s="450"/>
      <c r="AD206" s="450"/>
      <c r="AE206" s="450"/>
      <c r="AF206" s="450"/>
      <c r="AG206" s="450"/>
      <c r="AH206" s="450"/>
      <c r="AI206" s="450"/>
      <c r="AJ206" s="450"/>
      <c r="AK206" s="450"/>
      <c r="AL206" s="450"/>
      <c r="AM206" s="256" t="s">
        <v>1155</v>
      </c>
    </row>
    <row r="207" spans="1:40" ht="150" customHeight="1" x14ac:dyDescent="0.25">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c r="W207" s="450"/>
      <c r="X207" s="450"/>
      <c r="Y207" s="450"/>
      <c r="Z207" s="450"/>
      <c r="AA207" s="450"/>
      <c r="AB207" s="450"/>
      <c r="AC207" s="450"/>
      <c r="AD207" s="450"/>
      <c r="AE207" s="450"/>
      <c r="AF207" s="450"/>
      <c r="AG207" s="450"/>
      <c r="AH207" s="450"/>
      <c r="AI207" s="450"/>
      <c r="AJ207" s="450"/>
      <c r="AK207" s="450"/>
      <c r="AL207" s="450"/>
      <c r="AM207" s="255" t="s">
        <v>1156</v>
      </c>
    </row>
  </sheetData>
  <sheetProtection algorithmName="SHA-512" hashValue="F51t66FsM01g/mepT2lx0v6qDMQFYCBe7VtXrtW3VZ09eqtQR75Qln6GDmPioHxc0pi8yBipAQzwRcIldfvjSA==" saltValue="WPf/Sz8MMgoafhzRiu2nZA==" spinCount="100000" sheet="1" formatCells="0" formatRows="0" insertRows="0"/>
  <mergeCells count="733">
    <mergeCell ref="AM201:AM202"/>
    <mergeCell ref="A171:AL171"/>
    <mergeCell ref="A54:AL54"/>
    <mergeCell ref="A60:S60"/>
    <mergeCell ref="T60:AL60"/>
    <mergeCell ref="A61:S61"/>
    <mergeCell ref="T61:AL61"/>
    <mergeCell ref="L135:O135"/>
    <mergeCell ref="P135:V135"/>
    <mergeCell ref="W135:Z135"/>
    <mergeCell ref="B136:F136"/>
    <mergeCell ref="G136:K136"/>
    <mergeCell ref="L136:O136"/>
    <mergeCell ref="P136:V136"/>
    <mergeCell ref="W136:Z136"/>
    <mergeCell ref="B133:F133"/>
    <mergeCell ref="G133:K133"/>
    <mergeCell ref="P138:V138"/>
    <mergeCell ref="W138:Z138"/>
    <mergeCell ref="B135:F135"/>
    <mergeCell ref="W143:Z143"/>
    <mergeCell ref="B144:F144"/>
    <mergeCell ref="G144:K144"/>
    <mergeCell ref="P144:V144"/>
    <mergeCell ref="A1:AL1"/>
    <mergeCell ref="A120:AL120"/>
    <mergeCell ref="A117:AL117"/>
    <mergeCell ref="A116:AL116"/>
    <mergeCell ref="A118:AI118"/>
    <mergeCell ref="AJ118:AL118"/>
    <mergeCell ref="A119:AL119"/>
    <mergeCell ref="G143:K143"/>
    <mergeCell ref="L143:O143"/>
    <mergeCell ref="P143:V143"/>
    <mergeCell ref="L133:O133"/>
    <mergeCell ref="B47:Y47"/>
    <mergeCell ref="B49:Y49"/>
    <mergeCell ref="B50:Y50"/>
    <mergeCell ref="B51:Y51"/>
    <mergeCell ref="G135:K135"/>
    <mergeCell ref="B129:F129"/>
    <mergeCell ref="G129:K129"/>
    <mergeCell ref="L129:O129"/>
    <mergeCell ref="P129:V129"/>
    <mergeCell ref="W129:Z129"/>
    <mergeCell ref="B130:F130"/>
    <mergeCell ref="G130:K130"/>
    <mergeCell ref="P130:V130"/>
    <mergeCell ref="A203:AL207"/>
    <mergeCell ref="B48:Y48"/>
    <mergeCell ref="B139:F139"/>
    <mergeCell ref="G139:K139"/>
    <mergeCell ref="L139:O139"/>
    <mergeCell ref="P139:V139"/>
    <mergeCell ref="W139:Z139"/>
    <mergeCell ref="B138:F138"/>
    <mergeCell ref="B140:F140"/>
    <mergeCell ref="G140:K140"/>
    <mergeCell ref="L140:O140"/>
    <mergeCell ref="P140:V140"/>
    <mergeCell ref="W140:Z140"/>
    <mergeCell ref="B137:F137"/>
    <mergeCell ref="G137:K137"/>
    <mergeCell ref="L137:O137"/>
    <mergeCell ref="P137:V137"/>
    <mergeCell ref="W137:Z137"/>
    <mergeCell ref="G138:K138"/>
    <mergeCell ref="L138:O138"/>
    <mergeCell ref="G132:K132"/>
    <mergeCell ref="L132:O132"/>
    <mergeCell ref="P132:V132"/>
    <mergeCell ref="L144:O144"/>
    <mergeCell ref="W144:Z144"/>
    <mergeCell ref="B142:F142"/>
    <mergeCell ref="G142:K142"/>
    <mergeCell ref="L142:O142"/>
    <mergeCell ref="B141:F141"/>
    <mergeCell ref="G141:K141"/>
    <mergeCell ref="L141:O141"/>
    <mergeCell ref="P141:V141"/>
    <mergeCell ref="W141:Z141"/>
    <mergeCell ref="P142:V142"/>
    <mergeCell ref="W142:Z142"/>
    <mergeCell ref="B143:F143"/>
    <mergeCell ref="W128:Z128"/>
    <mergeCell ref="W130:Z130"/>
    <mergeCell ref="P133:V133"/>
    <mergeCell ref="W133:Z133"/>
    <mergeCell ref="B134:F134"/>
    <mergeCell ref="G134:K134"/>
    <mergeCell ref="L134:O134"/>
    <mergeCell ref="P134:V134"/>
    <mergeCell ref="W134:Z134"/>
    <mergeCell ref="B131:F131"/>
    <mergeCell ref="G131:K131"/>
    <mergeCell ref="L131:O131"/>
    <mergeCell ref="P131:V131"/>
    <mergeCell ref="W131:Z131"/>
    <mergeCell ref="B132:F132"/>
    <mergeCell ref="W132:Z132"/>
    <mergeCell ref="L130:O130"/>
    <mergeCell ref="AA142:AG142"/>
    <mergeCell ref="A28:A36"/>
    <mergeCell ref="A37:A38"/>
    <mergeCell ref="B28:AL28"/>
    <mergeCell ref="B29:AL29"/>
    <mergeCell ref="B30:AL30"/>
    <mergeCell ref="B31:AL31"/>
    <mergeCell ref="B32:AL32"/>
    <mergeCell ref="B33:AL33"/>
    <mergeCell ref="B34:AL34"/>
    <mergeCell ref="B35:AL35"/>
    <mergeCell ref="B36:AL36"/>
    <mergeCell ref="B37:AL37"/>
    <mergeCell ref="B38:S38"/>
    <mergeCell ref="T38:AL38"/>
    <mergeCell ref="B127:F127"/>
    <mergeCell ref="G127:K127"/>
    <mergeCell ref="L127:O127"/>
    <mergeCell ref="P127:V127"/>
    <mergeCell ref="W127:Z127"/>
    <mergeCell ref="B128:F128"/>
    <mergeCell ref="G128:K128"/>
    <mergeCell ref="L128:O128"/>
    <mergeCell ref="P128:V128"/>
    <mergeCell ref="AA138:AG138"/>
    <mergeCell ref="AH138:AJ138"/>
    <mergeCell ref="AK138:AL138"/>
    <mergeCell ref="AA139:AG139"/>
    <mergeCell ref="AH139:AJ139"/>
    <mergeCell ref="AK139:AL139"/>
    <mergeCell ref="AA137:AG137"/>
    <mergeCell ref="AH137:AJ137"/>
    <mergeCell ref="AK137:AL137"/>
    <mergeCell ref="A40:A41"/>
    <mergeCell ref="B40:AL40"/>
    <mergeCell ref="B42:AL42"/>
    <mergeCell ref="B39:AL39"/>
    <mergeCell ref="B41:AL41"/>
    <mergeCell ref="A42:A43"/>
    <mergeCell ref="A44:A45"/>
    <mergeCell ref="B44:AL44"/>
    <mergeCell ref="B43:AL43"/>
    <mergeCell ref="B45:AL45"/>
    <mergeCell ref="AK81:AL81"/>
    <mergeCell ref="B46:AL46"/>
    <mergeCell ref="B52:AL52"/>
    <mergeCell ref="A53:AL53"/>
    <mergeCell ref="AK47:AL47"/>
    <mergeCell ref="AK48:AL48"/>
    <mergeCell ref="G123:K123"/>
    <mergeCell ref="L123:O123"/>
    <mergeCell ref="P123:V123"/>
    <mergeCell ref="W123:Z123"/>
    <mergeCell ref="AK49:AL49"/>
    <mergeCell ref="A46:A51"/>
    <mergeCell ref="Z47:AJ47"/>
    <mergeCell ref="B122:F122"/>
    <mergeCell ref="G122:K122"/>
    <mergeCell ref="L122:O122"/>
    <mergeCell ref="P122:V122"/>
    <mergeCell ref="B81:J81"/>
    <mergeCell ref="K81:P81"/>
    <mergeCell ref="Q81:AA81"/>
    <mergeCell ref="Z51:AJ51"/>
    <mergeCell ref="AK51:AL51"/>
    <mergeCell ref="AB81:AJ81"/>
    <mergeCell ref="B79:J79"/>
    <mergeCell ref="B24:V24"/>
    <mergeCell ref="W24:AL24"/>
    <mergeCell ref="A24:A27"/>
    <mergeCell ref="B25:V25"/>
    <mergeCell ref="W25:AL25"/>
    <mergeCell ref="B26:AL26"/>
    <mergeCell ref="B27:AL27"/>
    <mergeCell ref="A20:A23"/>
    <mergeCell ref="B20:AL20"/>
    <mergeCell ref="B21:AL21"/>
    <mergeCell ref="B22:AL22"/>
    <mergeCell ref="B23:AL23"/>
    <mergeCell ref="A4:F4"/>
    <mergeCell ref="H4:L4"/>
    <mergeCell ref="A5:F5"/>
    <mergeCell ref="H5:L5"/>
    <mergeCell ref="A18:A19"/>
    <mergeCell ref="B18:AL18"/>
    <mergeCell ref="B19:AL19"/>
    <mergeCell ref="A11:AL11"/>
    <mergeCell ref="A12:AL12"/>
    <mergeCell ref="A13:AL13"/>
    <mergeCell ref="A15:AK15"/>
    <mergeCell ref="A16:A17"/>
    <mergeCell ref="B16:AL16"/>
    <mergeCell ref="B17:AL17"/>
    <mergeCell ref="A7:F7"/>
    <mergeCell ref="G7:L7"/>
    <mergeCell ref="N7:P7"/>
    <mergeCell ref="AB7:AE7"/>
    <mergeCell ref="A8:P8"/>
    <mergeCell ref="Q8:AL8"/>
    <mergeCell ref="A9:AL9"/>
    <mergeCell ref="Q7:AA7"/>
    <mergeCell ref="AM68:AU69"/>
    <mergeCell ref="A69:AL69"/>
    <mergeCell ref="B55:AL55"/>
    <mergeCell ref="A56:AL56"/>
    <mergeCell ref="A64:AL64"/>
    <mergeCell ref="A65:AL65"/>
    <mergeCell ref="A66:AL66"/>
    <mergeCell ref="A67:AL67"/>
    <mergeCell ref="A57:AL57"/>
    <mergeCell ref="A62:AL62"/>
    <mergeCell ref="AM62:AM63"/>
    <mergeCell ref="A63:AL63"/>
    <mergeCell ref="AM56:AM61"/>
    <mergeCell ref="A58:S58"/>
    <mergeCell ref="T58:AL58"/>
    <mergeCell ref="A59:S59"/>
    <mergeCell ref="T59:AL59"/>
    <mergeCell ref="K79:P79"/>
    <mergeCell ref="Q79:AA79"/>
    <mergeCell ref="AB79:AJ79"/>
    <mergeCell ref="AK79:AL79"/>
    <mergeCell ref="B80:J80"/>
    <mergeCell ref="K80:P80"/>
    <mergeCell ref="Q80:AA80"/>
    <mergeCell ref="AB80:AJ80"/>
    <mergeCell ref="AK80:AL80"/>
    <mergeCell ref="B77:J77"/>
    <mergeCell ref="K77:P77"/>
    <mergeCell ref="Q77:AA77"/>
    <mergeCell ref="AB77:AJ77"/>
    <mergeCell ref="AK77:AL77"/>
    <mergeCell ref="B78:J78"/>
    <mergeCell ref="K78:P78"/>
    <mergeCell ref="Q78:AA78"/>
    <mergeCell ref="AB78:AJ78"/>
    <mergeCell ref="AK78:AL78"/>
    <mergeCell ref="AA144:AG144"/>
    <mergeCell ref="AH144:AJ144"/>
    <mergeCell ref="AK144:AL144"/>
    <mergeCell ref="AH128:AJ128"/>
    <mergeCell ref="AA127:AG127"/>
    <mergeCell ref="AA143:AG143"/>
    <mergeCell ref="AH143:AJ143"/>
    <mergeCell ref="AK143:AL143"/>
    <mergeCell ref="AH127:AJ127"/>
    <mergeCell ref="AK127:AL127"/>
    <mergeCell ref="AH142:AJ142"/>
    <mergeCell ref="AK142:AL142"/>
    <mergeCell ref="AA134:AG134"/>
    <mergeCell ref="AH134:AJ134"/>
    <mergeCell ref="AK134:AL134"/>
    <mergeCell ref="AA135:AG135"/>
    <mergeCell ref="AH135:AJ135"/>
    <mergeCell ref="AK135:AL135"/>
    <mergeCell ref="AA140:AG140"/>
    <mergeCell ref="AH140:AJ140"/>
    <mergeCell ref="AK140:AL140"/>
    <mergeCell ref="AA141:AG141"/>
    <mergeCell ref="AH141:AJ141"/>
    <mergeCell ref="AK141:AL141"/>
    <mergeCell ref="A114:AL114"/>
    <mergeCell ref="A115:AL115"/>
    <mergeCell ref="A121:AL121"/>
    <mergeCell ref="AA122:AG122"/>
    <mergeCell ref="AH122:AJ122"/>
    <mergeCell ref="AK122:AL122"/>
    <mergeCell ref="AA126:AG126"/>
    <mergeCell ref="AH126:AJ126"/>
    <mergeCell ref="AK126:AL126"/>
    <mergeCell ref="AA123:AG123"/>
    <mergeCell ref="AH123:AJ123"/>
    <mergeCell ref="W124:Z124"/>
    <mergeCell ref="B125:F125"/>
    <mergeCell ref="G125:K125"/>
    <mergeCell ref="L125:O125"/>
    <mergeCell ref="P125:V125"/>
    <mergeCell ref="W125:Z125"/>
    <mergeCell ref="B126:F126"/>
    <mergeCell ref="G126:K126"/>
    <mergeCell ref="L126:O126"/>
    <mergeCell ref="P126:V126"/>
    <mergeCell ref="W126:Z126"/>
    <mergeCell ref="A202:AL202"/>
    <mergeCell ref="A177:AL177"/>
    <mergeCell ref="A178:AL178"/>
    <mergeCell ref="A179:AL179"/>
    <mergeCell ref="A180:AL180"/>
    <mergeCell ref="A199:AL199"/>
    <mergeCell ref="A201:AL201"/>
    <mergeCell ref="A187:AL187"/>
    <mergeCell ref="A188:AL188"/>
    <mergeCell ref="A182:AL182"/>
    <mergeCell ref="A181:AL181"/>
    <mergeCell ref="A185:AL185"/>
    <mergeCell ref="A186:AL186"/>
    <mergeCell ref="A189:AL189"/>
    <mergeCell ref="A190:AL190"/>
    <mergeCell ref="A195:AL195"/>
    <mergeCell ref="A196:AL196"/>
    <mergeCell ref="A183:AL183"/>
    <mergeCell ref="A184:AL184"/>
    <mergeCell ref="A191:AL191"/>
    <mergeCell ref="A192:AL192"/>
    <mergeCell ref="A197:AL197"/>
    <mergeCell ref="A200:AL200"/>
    <mergeCell ref="A193:AL193"/>
    <mergeCell ref="AA145:AG145"/>
    <mergeCell ref="AH145:AJ145"/>
    <mergeCell ref="AK145:AL145"/>
    <mergeCell ref="AH170:AJ170"/>
    <mergeCell ref="AK170:AL170"/>
    <mergeCell ref="B173:S173"/>
    <mergeCell ref="T173:AJ173"/>
    <mergeCell ref="B172:S172"/>
    <mergeCell ref="T172:AJ172"/>
    <mergeCell ref="AA170:AG170"/>
    <mergeCell ref="B145:F145"/>
    <mergeCell ref="G145:K145"/>
    <mergeCell ref="L145:O145"/>
    <mergeCell ref="P145:V145"/>
    <mergeCell ref="W145:Z145"/>
    <mergeCell ref="W170:Z170"/>
    <mergeCell ref="P170:V170"/>
    <mergeCell ref="B170:O170"/>
    <mergeCell ref="B147:F147"/>
    <mergeCell ref="G147:K147"/>
    <mergeCell ref="L147:O147"/>
    <mergeCell ref="P147:V147"/>
    <mergeCell ref="W147:Z147"/>
    <mergeCell ref="AA147:AG147"/>
    <mergeCell ref="B76:J76"/>
    <mergeCell ref="K76:P76"/>
    <mergeCell ref="Q76:AA76"/>
    <mergeCell ref="Z50:AJ50"/>
    <mergeCell ref="AK50:AL50"/>
    <mergeCell ref="Z48:AJ48"/>
    <mergeCell ref="Z49:AJ49"/>
    <mergeCell ref="AB76:AJ76"/>
    <mergeCell ref="AK76:AL76"/>
    <mergeCell ref="B68:AL68"/>
    <mergeCell ref="B74:J74"/>
    <mergeCell ref="K74:P74"/>
    <mergeCell ref="Q74:AA74"/>
    <mergeCell ref="AB74:AJ74"/>
    <mergeCell ref="AK74:AL74"/>
    <mergeCell ref="B75:J75"/>
    <mergeCell ref="K75:P75"/>
    <mergeCell ref="Q75:AA75"/>
    <mergeCell ref="AB75:AJ75"/>
    <mergeCell ref="AK75:AL75"/>
    <mergeCell ref="B72:J72"/>
    <mergeCell ref="K72:P72"/>
    <mergeCell ref="Q72:AA72"/>
    <mergeCell ref="AB72:AJ72"/>
    <mergeCell ref="AK72:AL72"/>
    <mergeCell ref="B73:J73"/>
    <mergeCell ref="K73:P73"/>
    <mergeCell ref="Q73:AA73"/>
    <mergeCell ref="AB73:AJ73"/>
    <mergeCell ref="AK73:AL73"/>
    <mergeCell ref="AK70:AL70"/>
    <mergeCell ref="AB70:AJ70"/>
    <mergeCell ref="Q70:AA70"/>
    <mergeCell ref="K70:P70"/>
    <mergeCell ref="B70:J70"/>
    <mergeCell ref="B71:J71"/>
    <mergeCell ref="K71:P71"/>
    <mergeCell ref="Q71:AA71"/>
    <mergeCell ref="AB71:AJ71"/>
    <mergeCell ref="AK71:AL71"/>
    <mergeCell ref="B82:J82"/>
    <mergeCell ref="K82:P82"/>
    <mergeCell ref="Q82:AA82"/>
    <mergeCell ref="AB82:AJ82"/>
    <mergeCell ref="AK82:AL82"/>
    <mergeCell ref="B83:J83"/>
    <mergeCell ref="K83:P83"/>
    <mergeCell ref="Q83:AA83"/>
    <mergeCell ref="AB83:AJ83"/>
    <mergeCell ref="AK83:AL83"/>
    <mergeCell ref="B84:J84"/>
    <mergeCell ref="K84:P84"/>
    <mergeCell ref="Q84:AA84"/>
    <mergeCell ref="AB84:AJ84"/>
    <mergeCell ref="AK84:AL84"/>
    <mergeCell ref="B85:J85"/>
    <mergeCell ref="K85:P85"/>
    <mergeCell ref="Q85:AA85"/>
    <mergeCell ref="AB85:AJ85"/>
    <mergeCell ref="AK85:AL85"/>
    <mergeCell ref="B86:J86"/>
    <mergeCell ref="K86:P86"/>
    <mergeCell ref="Q86:AA86"/>
    <mergeCell ref="AB86:AJ86"/>
    <mergeCell ref="AK86:AL86"/>
    <mergeCell ref="B107:J107"/>
    <mergeCell ref="K107:P107"/>
    <mergeCell ref="Q107:AA107"/>
    <mergeCell ref="AB107:AJ107"/>
    <mergeCell ref="AK107:AL107"/>
    <mergeCell ref="B87:J87"/>
    <mergeCell ref="K87:P87"/>
    <mergeCell ref="Q87:AA87"/>
    <mergeCell ref="AB87:AJ87"/>
    <mergeCell ref="AK87:AL87"/>
    <mergeCell ref="B88:J88"/>
    <mergeCell ref="K88:P88"/>
    <mergeCell ref="Q88:AA88"/>
    <mergeCell ref="AB88:AJ88"/>
    <mergeCell ref="AK88:AL88"/>
    <mergeCell ref="B89:J89"/>
    <mergeCell ref="K89:P89"/>
    <mergeCell ref="Q89:AA89"/>
    <mergeCell ref="AB89:AJ89"/>
    <mergeCell ref="B90:J90"/>
    <mergeCell ref="K90:P90"/>
    <mergeCell ref="Q90:AA90"/>
    <mergeCell ref="AB90:AJ90"/>
    <mergeCell ref="AK90:AL90"/>
    <mergeCell ref="A110:AL110"/>
    <mergeCell ref="A112:AL112"/>
    <mergeCell ref="A109:AL109"/>
    <mergeCell ref="A111:AL111"/>
    <mergeCell ref="A108:AL108"/>
    <mergeCell ref="B91:J91"/>
    <mergeCell ref="K91:P91"/>
    <mergeCell ref="Q91:AA91"/>
    <mergeCell ref="AB91:AJ91"/>
    <mergeCell ref="AK91:AL91"/>
    <mergeCell ref="B92:J92"/>
    <mergeCell ref="K92:P92"/>
    <mergeCell ref="Q92:AA92"/>
    <mergeCell ref="AB92:AJ92"/>
    <mergeCell ref="AK92:AL92"/>
    <mergeCell ref="B93:J93"/>
    <mergeCell ref="K93:P93"/>
    <mergeCell ref="Q93:AA93"/>
    <mergeCell ref="AB93:AJ93"/>
    <mergeCell ref="AK129:AL129"/>
    <mergeCell ref="AA130:AG130"/>
    <mergeCell ref="AH130:AJ130"/>
    <mergeCell ref="AK130:AL130"/>
    <mergeCell ref="AA133:AG133"/>
    <mergeCell ref="AH133:AJ133"/>
    <mergeCell ref="AK133:AL133"/>
    <mergeCell ref="AA131:AG131"/>
    <mergeCell ref="AK89:AL89"/>
    <mergeCell ref="A113:AL113"/>
    <mergeCell ref="AA124:AG124"/>
    <mergeCell ref="AH124:AJ124"/>
    <mergeCell ref="AK124:AL124"/>
    <mergeCell ref="AA125:AG125"/>
    <mergeCell ref="AH125:AJ125"/>
    <mergeCell ref="AK125:AL125"/>
    <mergeCell ref="AA128:AG128"/>
    <mergeCell ref="AK128:AL128"/>
    <mergeCell ref="W122:Z122"/>
    <mergeCell ref="B123:F123"/>
    <mergeCell ref="B124:F124"/>
    <mergeCell ref="G124:K124"/>
    <mergeCell ref="L124:O124"/>
    <mergeCell ref="P124:V124"/>
    <mergeCell ref="AK93:AL93"/>
    <mergeCell ref="B94:J94"/>
    <mergeCell ref="K94:P94"/>
    <mergeCell ref="Q94:AA94"/>
    <mergeCell ref="AB94:AJ94"/>
    <mergeCell ref="AK94:AL94"/>
    <mergeCell ref="B95:J95"/>
    <mergeCell ref="K95:P95"/>
    <mergeCell ref="Q95:AA95"/>
    <mergeCell ref="AB95:AJ95"/>
    <mergeCell ref="AK95:AL95"/>
    <mergeCell ref="B96:J96"/>
    <mergeCell ref="K96:P96"/>
    <mergeCell ref="Q96:AA96"/>
    <mergeCell ref="AB96:AJ96"/>
    <mergeCell ref="AK96:AL96"/>
    <mergeCell ref="B97:J97"/>
    <mergeCell ref="K97:P97"/>
    <mergeCell ref="Q97:AA97"/>
    <mergeCell ref="AB97:AJ97"/>
    <mergeCell ref="AK97:AL97"/>
    <mergeCell ref="B98:J98"/>
    <mergeCell ref="K98:P98"/>
    <mergeCell ref="Q98:AA98"/>
    <mergeCell ref="AB98:AJ98"/>
    <mergeCell ref="AK98:AL98"/>
    <mergeCell ref="B99:J99"/>
    <mergeCell ref="K99:P99"/>
    <mergeCell ref="Q99:AA99"/>
    <mergeCell ref="AB99:AJ99"/>
    <mergeCell ref="AK99:AL99"/>
    <mergeCell ref="B100:J100"/>
    <mergeCell ref="K100:P100"/>
    <mergeCell ref="Q100:AA100"/>
    <mergeCell ref="AB100:AJ100"/>
    <mergeCell ref="AK100:AL100"/>
    <mergeCell ref="B101:J101"/>
    <mergeCell ref="K101:P101"/>
    <mergeCell ref="Q101:AA101"/>
    <mergeCell ref="AB101:AJ101"/>
    <mergeCell ref="AK101:AL101"/>
    <mergeCell ref="B102:J102"/>
    <mergeCell ref="K102:P102"/>
    <mergeCell ref="Q102:AA102"/>
    <mergeCell ref="AB102:AJ102"/>
    <mergeCell ref="AK102:AL102"/>
    <mergeCell ref="B103:J103"/>
    <mergeCell ref="K103:P103"/>
    <mergeCell ref="Q103:AA103"/>
    <mergeCell ref="AB103:AJ103"/>
    <mergeCell ref="AK103:AL103"/>
    <mergeCell ref="B104:J104"/>
    <mergeCell ref="K104:P104"/>
    <mergeCell ref="Q104:AA104"/>
    <mergeCell ref="AB104:AJ104"/>
    <mergeCell ref="AK104:AL104"/>
    <mergeCell ref="B105:J105"/>
    <mergeCell ref="K105:P105"/>
    <mergeCell ref="Q105:AA105"/>
    <mergeCell ref="AB105:AJ105"/>
    <mergeCell ref="AK105:AL105"/>
    <mergeCell ref="B106:J106"/>
    <mergeCell ref="K106:P106"/>
    <mergeCell ref="Q106:AA106"/>
    <mergeCell ref="AB106:AJ106"/>
    <mergeCell ref="AK106:AL106"/>
    <mergeCell ref="B146:F146"/>
    <mergeCell ref="G146:K146"/>
    <mergeCell ref="L146:O146"/>
    <mergeCell ref="P146:V146"/>
    <mergeCell ref="W146:Z146"/>
    <mergeCell ref="AA146:AG146"/>
    <mergeCell ref="AH146:AJ146"/>
    <mergeCell ref="AK146:AL146"/>
    <mergeCell ref="AK123:AL123"/>
    <mergeCell ref="AH131:AJ131"/>
    <mergeCell ref="AK131:AL131"/>
    <mergeCell ref="AA136:AG136"/>
    <mergeCell ref="AH136:AJ136"/>
    <mergeCell ref="AK136:AL136"/>
    <mergeCell ref="AA132:AG132"/>
    <mergeCell ref="AH132:AJ132"/>
    <mergeCell ref="AK132:AL132"/>
    <mergeCell ref="AA129:AG129"/>
    <mergeCell ref="AH129:AJ129"/>
    <mergeCell ref="AH147:AJ147"/>
    <mergeCell ref="AK147:AL147"/>
    <mergeCell ref="B148:F148"/>
    <mergeCell ref="G148:K148"/>
    <mergeCell ref="L148:O148"/>
    <mergeCell ref="P148:V148"/>
    <mergeCell ref="W148:Z148"/>
    <mergeCell ref="AA148:AG148"/>
    <mergeCell ref="AH148:AJ148"/>
    <mergeCell ref="AK148:AL148"/>
    <mergeCell ref="B149:F149"/>
    <mergeCell ref="G149:K149"/>
    <mergeCell ref="L149:O149"/>
    <mergeCell ref="P149:V149"/>
    <mergeCell ref="W149:Z149"/>
    <mergeCell ref="AA149:AG149"/>
    <mergeCell ref="AH149:AJ149"/>
    <mergeCell ref="AK149:AL149"/>
    <mergeCell ref="B150:F150"/>
    <mergeCell ref="G150:K150"/>
    <mergeCell ref="L150:O150"/>
    <mergeCell ref="P150:V150"/>
    <mergeCell ref="W150:Z150"/>
    <mergeCell ref="AA150:AG150"/>
    <mergeCell ref="AH150:AJ150"/>
    <mergeCell ref="AK150:AL150"/>
    <mergeCell ref="B151:F151"/>
    <mergeCell ref="G151:K151"/>
    <mergeCell ref="L151:O151"/>
    <mergeCell ref="P151:V151"/>
    <mergeCell ref="W151:Z151"/>
    <mergeCell ref="AA151:AG151"/>
    <mergeCell ref="AH151:AJ151"/>
    <mergeCell ref="AK151:AL151"/>
    <mergeCell ref="B152:F152"/>
    <mergeCell ref="G152:K152"/>
    <mergeCell ref="L152:O152"/>
    <mergeCell ref="P152:V152"/>
    <mergeCell ref="W152:Z152"/>
    <mergeCell ref="AA152:AG152"/>
    <mergeCell ref="AH152:AJ152"/>
    <mergeCell ref="AK152:AL152"/>
    <mergeCell ref="B153:F153"/>
    <mergeCell ref="G153:K153"/>
    <mergeCell ref="L153:O153"/>
    <mergeCell ref="P153:V153"/>
    <mergeCell ref="W153:Z153"/>
    <mergeCell ref="AA153:AG153"/>
    <mergeCell ref="AH153:AJ153"/>
    <mergeCell ref="AK153:AL153"/>
    <mergeCell ref="B154:F154"/>
    <mergeCell ref="G154:K154"/>
    <mergeCell ref="L154:O154"/>
    <mergeCell ref="P154:V154"/>
    <mergeCell ref="W154:Z154"/>
    <mergeCell ref="AA154:AG154"/>
    <mergeCell ref="AH154:AJ154"/>
    <mergeCell ref="AK154:AL154"/>
    <mergeCell ref="B155:F155"/>
    <mergeCell ref="G155:K155"/>
    <mergeCell ref="L155:O155"/>
    <mergeCell ref="P155:V155"/>
    <mergeCell ref="W155:Z155"/>
    <mergeCell ref="AA155:AG155"/>
    <mergeCell ref="AH155:AJ155"/>
    <mergeCell ref="AK155:AL155"/>
    <mergeCell ref="B156:F156"/>
    <mergeCell ref="G156:K156"/>
    <mergeCell ref="L156:O156"/>
    <mergeCell ref="P156:V156"/>
    <mergeCell ref="W156:Z156"/>
    <mergeCell ref="AA156:AG156"/>
    <mergeCell ref="AH156:AJ156"/>
    <mergeCell ref="AK156:AL156"/>
    <mergeCell ref="B157:F157"/>
    <mergeCell ref="G157:K157"/>
    <mergeCell ref="L157:O157"/>
    <mergeCell ref="P157:V157"/>
    <mergeCell ref="W157:Z157"/>
    <mergeCell ref="AA157:AG157"/>
    <mergeCell ref="AH157:AJ157"/>
    <mergeCell ref="AK157:AL157"/>
    <mergeCell ref="B158:F158"/>
    <mergeCell ref="G158:K158"/>
    <mergeCell ref="L158:O158"/>
    <mergeCell ref="P158:V158"/>
    <mergeCell ref="W158:Z158"/>
    <mergeCell ref="AA158:AG158"/>
    <mergeCell ref="AH158:AJ158"/>
    <mergeCell ref="AK158:AL158"/>
    <mergeCell ref="B159:F159"/>
    <mergeCell ref="G159:K159"/>
    <mergeCell ref="L159:O159"/>
    <mergeCell ref="P159:V159"/>
    <mergeCell ref="W159:Z159"/>
    <mergeCell ref="AA159:AG159"/>
    <mergeCell ref="AH159:AJ159"/>
    <mergeCell ref="AK159:AL159"/>
    <mergeCell ref="B160:F160"/>
    <mergeCell ref="G160:K160"/>
    <mergeCell ref="L160:O160"/>
    <mergeCell ref="P160:V160"/>
    <mergeCell ref="W160:Z160"/>
    <mergeCell ref="AA160:AG160"/>
    <mergeCell ref="AH160:AJ160"/>
    <mergeCell ref="AK160:AL160"/>
    <mergeCell ref="B161:F161"/>
    <mergeCell ref="G161:K161"/>
    <mergeCell ref="L161:O161"/>
    <mergeCell ref="P161:V161"/>
    <mergeCell ref="W161:Z161"/>
    <mergeCell ref="AA161:AG161"/>
    <mergeCell ref="AH161:AJ161"/>
    <mergeCell ref="AK161:AL161"/>
    <mergeCell ref="B162:F162"/>
    <mergeCell ref="G162:K162"/>
    <mergeCell ref="L162:O162"/>
    <mergeCell ref="P162:V162"/>
    <mergeCell ref="W162:Z162"/>
    <mergeCell ref="AA162:AG162"/>
    <mergeCell ref="AH162:AJ162"/>
    <mergeCell ref="AK162:AL162"/>
    <mergeCell ref="B163:F163"/>
    <mergeCell ref="G163:K163"/>
    <mergeCell ref="L163:O163"/>
    <mergeCell ref="P163:V163"/>
    <mergeCell ref="W163:Z163"/>
    <mergeCell ref="AA163:AG163"/>
    <mergeCell ref="AH163:AJ163"/>
    <mergeCell ref="AK163:AL163"/>
    <mergeCell ref="B164:F164"/>
    <mergeCell ref="G164:K164"/>
    <mergeCell ref="L164:O164"/>
    <mergeCell ref="P164:V164"/>
    <mergeCell ref="W164:Z164"/>
    <mergeCell ref="AA164:AG164"/>
    <mergeCell ref="AH164:AJ164"/>
    <mergeCell ref="AK164:AL164"/>
    <mergeCell ref="B165:F165"/>
    <mergeCell ref="G165:K165"/>
    <mergeCell ref="L165:O165"/>
    <mergeCell ref="P165:V165"/>
    <mergeCell ref="W165:Z165"/>
    <mergeCell ref="AA165:AG165"/>
    <mergeCell ref="AH165:AJ165"/>
    <mergeCell ref="AK165:AL165"/>
    <mergeCell ref="B166:F166"/>
    <mergeCell ref="G166:K166"/>
    <mergeCell ref="L166:O166"/>
    <mergeCell ref="P166:V166"/>
    <mergeCell ref="W166:Z166"/>
    <mergeCell ref="AA166:AG166"/>
    <mergeCell ref="AH166:AJ166"/>
    <mergeCell ref="AK166:AL166"/>
    <mergeCell ref="B167:F167"/>
    <mergeCell ref="G167:K167"/>
    <mergeCell ref="L167:O167"/>
    <mergeCell ref="P167:V167"/>
    <mergeCell ref="W167:Z167"/>
    <mergeCell ref="AA167:AG167"/>
    <mergeCell ref="AH167:AJ167"/>
    <mergeCell ref="AK167:AL167"/>
    <mergeCell ref="B168:F168"/>
    <mergeCell ref="G168:K168"/>
    <mergeCell ref="L168:O168"/>
    <mergeCell ref="P168:V168"/>
    <mergeCell ref="W168:Z168"/>
    <mergeCell ref="AA168:AG168"/>
    <mergeCell ref="AH168:AJ168"/>
    <mergeCell ref="AK168:AL168"/>
    <mergeCell ref="A198:AL198"/>
    <mergeCell ref="B169:F169"/>
    <mergeCell ref="G169:K169"/>
    <mergeCell ref="L169:O169"/>
    <mergeCell ref="P169:V169"/>
    <mergeCell ref="W169:Z169"/>
    <mergeCell ref="AA169:AG169"/>
    <mergeCell ref="AH169:AJ169"/>
    <mergeCell ref="AK169:AL169"/>
    <mergeCell ref="A176:AL176"/>
    <mergeCell ref="B174:S174"/>
    <mergeCell ref="T174:AJ174"/>
    <mergeCell ref="A175:AL175"/>
    <mergeCell ref="A194:AL194"/>
  </mergeCells>
  <conditionalFormatting sqref="A4 H4 A69 AJ118">
    <cfRule type="expression" dxfId="752" priority="290">
      <formula>IF(A4="",1,0)</formula>
    </cfRule>
  </conditionalFormatting>
  <conditionalFormatting sqref="A53:A54">
    <cfRule type="expression" dxfId="751" priority="54">
      <formula>IF(A53="",1,0)</formula>
    </cfRule>
  </conditionalFormatting>
  <conditionalFormatting sqref="A56:A59">
    <cfRule type="expression" dxfId="750" priority="15">
      <formula>IF(A56="",1,0)</formula>
    </cfRule>
  </conditionalFormatting>
  <conditionalFormatting sqref="A60:A61">
    <cfRule type="expression" dxfId="749" priority="53">
      <formula>IF(A60="",1,0)</formula>
    </cfRule>
  </conditionalFormatting>
  <conditionalFormatting sqref="A62:A67">
    <cfRule type="expression" dxfId="746" priority="25">
      <formula>IF(A62="",1,0)</formula>
    </cfRule>
  </conditionalFormatting>
  <conditionalFormatting sqref="A110:A113">
    <cfRule type="expression" dxfId="745" priority="114">
      <formula>IF(A110="",1,0)</formula>
    </cfRule>
  </conditionalFormatting>
  <conditionalFormatting sqref="A115">
    <cfRule type="expression" dxfId="744" priority="117">
      <formula>IF(A115="",1,0)</formula>
    </cfRule>
  </conditionalFormatting>
  <conditionalFormatting sqref="A117:A120">
    <cfRule type="expression" dxfId="743" priority="13">
      <formula>IF(A117="",1,0)</formula>
    </cfRule>
  </conditionalFormatting>
  <conditionalFormatting sqref="A175:A194">
    <cfRule type="expression" dxfId="742" priority="2">
      <formula>IF(A175="",1,0)</formula>
    </cfRule>
  </conditionalFormatting>
  <conditionalFormatting sqref="A196:A198">
    <cfRule type="expression" dxfId="741" priority="1">
      <formula>IF(A196="",1,0)</formula>
    </cfRule>
  </conditionalFormatting>
  <conditionalFormatting sqref="A201:A202">
    <cfRule type="expression" dxfId="740" priority="91">
      <formula>IF(A201="",1,0)</formula>
    </cfRule>
  </conditionalFormatting>
  <conditionalFormatting sqref="A70:B70">
    <cfRule type="expression" dxfId="739" priority="123">
      <formula>IF(A70="",1,0)</formula>
    </cfRule>
  </conditionalFormatting>
  <conditionalFormatting sqref="B21">
    <cfRule type="expression" dxfId="732" priority="27">
      <formula>IF(B21="",1,0)</formula>
    </cfRule>
  </conditionalFormatting>
  <conditionalFormatting sqref="B23">
    <cfRule type="expression" dxfId="731" priority="11">
      <formula>IF(B23="",1,0)</formula>
    </cfRule>
  </conditionalFormatting>
  <conditionalFormatting sqref="B30">
    <cfRule type="expression" dxfId="730" priority="69">
      <formula>IF(B30="",1,0)</formula>
    </cfRule>
  </conditionalFormatting>
  <conditionalFormatting sqref="B32">
    <cfRule type="expression" dxfId="729" priority="67">
      <formula>IF(B32="",1,0)</formula>
    </cfRule>
  </conditionalFormatting>
  <conditionalFormatting sqref="B34">
    <cfRule type="expression" dxfId="728" priority="68">
      <formula>IF(B34="",1,0)</formula>
    </cfRule>
  </conditionalFormatting>
  <conditionalFormatting sqref="B36">
    <cfRule type="expression" dxfId="727" priority="66">
      <formula>IF(B36="",1,0)</formula>
    </cfRule>
  </conditionalFormatting>
  <conditionalFormatting sqref="B38">
    <cfRule type="expression" dxfId="726" priority="12">
      <formula>IF(B38="",1,0)</formula>
    </cfRule>
  </conditionalFormatting>
  <conditionalFormatting sqref="B42:B43">
    <cfRule type="expression" dxfId="725" priority="56">
      <formula>IF(B42="",1,0)</formula>
    </cfRule>
  </conditionalFormatting>
  <conditionalFormatting sqref="B45">
    <cfRule type="expression" dxfId="724" priority="55">
      <formula>IF(B45="",1,0)</formula>
    </cfRule>
  </conditionalFormatting>
  <conditionalFormatting sqref="B124:B169">
    <cfRule type="expression" dxfId="723" priority="71">
      <formula>IF(B124="",1,0)</formula>
    </cfRule>
  </conditionalFormatting>
  <conditionalFormatting sqref="B17:AL17 B19 W25 B25:B27">
    <cfRule type="expression" dxfId="722" priority="70">
      <formula>IF(B17="",1,0)</formula>
    </cfRule>
  </conditionalFormatting>
  <conditionalFormatting sqref="G124:G169">
    <cfRule type="expression" dxfId="721" priority="76">
      <formula>IF(G124="",1,0)</formula>
    </cfRule>
  </conditionalFormatting>
  <conditionalFormatting sqref="K70:K107 Q70:Q107 AB70:AB107 AK70:AK107 B71:B107">
    <cfRule type="expression" dxfId="720" priority="79">
      <formula>IF(B70="",1,0)</formula>
    </cfRule>
  </conditionalFormatting>
  <conditionalFormatting sqref="L124:L169">
    <cfRule type="expression" dxfId="719" priority="75">
      <formula>IF(L124="",1,0)</formula>
    </cfRule>
  </conditionalFormatting>
  <conditionalFormatting sqref="N7">
    <cfRule type="expression" dxfId="718" priority="30">
      <formula>IF(N7="",1,0)</formula>
    </cfRule>
  </conditionalFormatting>
  <conditionalFormatting sqref="P124:P169">
    <cfRule type="expression" dxfId="717" priority="74">
      <formula>IF(P124="",1,0)</formula>
    </cfRule>
  </conditionalFormatting>
  <conditionalFormatting sqref="Q8:AL8">
    <cfRule type="expression" dxfId="716" priority="28">
      <formula>IF(Q8="",1,0)</formula>
    </cfRule>
  </conditionalFormatting>
  <conditionalFormatting sqref="T59">
    <cfRule type="expression" dxfId="715" priority="14">
      <formula>IF(T59="",1,0)</formula>
    </cfRule>
  </conditionalFormatting>
  <conditionalFormatting sqref="T60:T61">
    <cfRule type="expression" dxfId="714" priority="50">
      <formula>IF(T60="",1,0)</formula>
    </cfRule>
  </conditionalFormatting>
  <conditionalFormatting sqref="T172:T173">
    <cfRule type="expression" dxfId="712" priority="113">
      <formula>IF(T172="",1,0)</formula>
    </cfRule>
  </conditionalFormatting>
  <conditionalFormatting sqref="W124:W169">
    <cfRule type="expression" dxfId="711" priority="73">
      <formula>IF(W124="",1,0)</formula>
    </cfRule>
  </conditionalFormatting>
  <conditionalFormatting sqref="Z48">
    <cfRule type="expression" dxfId="710" priority="127">
      <formula>IF(Z48="",1,0)</formula>
    </cfRule>
  </conditionalFormatting>
  <conditionalFormatting sqref="Z50">
    <cfRule type="expression" dxfId="709" priority="126">
      <formula>IF(Z50="",1,0)</formula>
    </cfRule>
  </conditionalFormatting>
  <conditionalFormatting sqref="Z51">
    <cfRule type="expression" dxfId="708" priority="7347">
      <formula>IF($Z$51&lt;&gt;$AK$170,1,0)</formula>
    </cfRule>
  </conditionalFormatting>
  <conditionalFormatting sqref="AB7">
    <cfRule type="expression" dxfId="707" priority="29">
      <formula>IF(AB7="",1,0)</formula>
    </cfRule>
  </conditionalFormatting>
  <conditionalFormatting sqref="AH124:AH169">
    <cfRule type="expression" dxfId="706" priority="78">
      <formula>IF(AH124="",1,0)</formula>
    </cfRule>
  </conditionalFormatting>
  <dataValidations xWindow="422" yWindow="577" count="26">
    <dataValidation allowBlank="1" showErrorMessage="1" promptTitle="Wybierz" prompt="właściwe" sqref="A185 A179:AL179 A181:AL181" xr:uid="{00000000-0002-0000-0200-000000000000}"/>
    <dataValidation type="textLength" operator="greaterThan" allowBlank="1" showInputMessage="1" showErrorMessage="1" promptTitle="Wprowadź" prompt="nazwę beneficjenta" sqref="B19:AL19" xr:uid="{00000000-0002-0000-0200-000001000000}">
      <formula1>3</formula1>
    </dataValidation>
    <dataValidation type="decimal" allowBlank="1" showInputMessage="1" showErrorMessage="1" promptTitle="Wprowadź" prompt="kwotę" sqref="Z50" xr:uid="{00000000-0002-0000-0200-000002000000}">
      <formula1>0</formula1>
      <formula2>10000000000000000000</formula2>
    </dataValidation>
    <dataValidation type="decimal" allowBlank="1" showInputMessage="1" showErrorMessage="1" promptTitle="Wprowadź" prompt="kwotę" sqref="Z49" xr:uid="{00000000-0002-0000-0200-000003000000}">
      <formula1>0</formula1>
      <formula2>100000000000000000</formula2>
    </dataValidation>
    <dataValidation type="whole" allowBlank="1" showInputMessage="1" showErrorMessage="1" promptTitle="Wprowadź" prompt="opcjonalni ilość" sqref="T61 A61 A63" xr:uid="{00000000-0002-0000-0200-000004000000}">
      <formula1>0</formula1>
      <formula2>10000000</formula2>
    </dataValidation>
    <dataValidation type="textLength" operator="equal" allowBlank="1" showInputMessage="1" showErrorMessage="1" errorTitle="NIP" error="NIP to ciąg dziesięciu cyfr np. 5719611245" promptTitle="Wprowadź" prompt="NIP" sqref="B25:V25" xr:uid="{00000000-0002-0000-0200-000005000000}">
      <formula1>10</formula1>
    </dataValidation>
    <dataValidation type="textLength" operator="equal" allowBlank="1" showInputMessage="1" showErrorMessage="1" errorTitle="REGON" error="REGON to ciąg dziewięciu cyfr np. 571961124" promptTitle="Wprowadź" prompt="nr REGON" sqref="W25:AL25" xr:uid="{00000000-0002-0000-0200-000007000000}">
      <formula1>9</formula1>
    </dataValidation>
    <dataValidation allowBlank="1" showInputMessage="1" showErrorMessage="1" promptTitle="Wprowadź" prompt="dane" sqref="B30:AL30 B32:AL32 AJ118:AL118" xr:uid="{00000000-0002-0000-0200-000008000000}"/>
    <dataValidation allowBlank="1" showInputMessage="1" showErrorMessage="1" promptTitle="Wprowadź" prompt="adres beneficjenta" sqref="B21" xr:uid="{00000000-0002-0000-0200-000009000000}"/>
    <dataValidation type="decimal" allowBlank="1" showInputMessage="1" showErrorMessage="1" sqref="AH124:AJ169" xr:uid="{00000000-0002-0000-0200-00000A000000}">
      <formula1>0</formula1>
      <formula2>1</formula2>
    </dataValidation>
    <dataValidation type="whole" allowBlank="1" showInputMessage="1" showErrorMessage="1" promptTitle="Wprowadź " prompt="ilość" sqref="A67:AL67 A65:AL65 A59" xr:uid="{00000000-0002-0000-0200-00000B000000}">
      <formula1>0</formula1>
      <formula2>1000000</formula2>
    </dataValidation>
    <dataValidation allowBlank="1" showInputMessage="1" showErrorMessage="1" promptTitle="Wybierz" prompt="właściwe" sqref="A187:AL187 A201:AL201 A58" xr:uid="{00000000-0002-0000-0200-00000C000000}"/>
    <dataValidation type="whole" allowBlank="1" showInputMessage="1" showErrorMessage="1" promptTitle="Wprowadź" prompt="liczbę" sqref="A57" xr:uid="{00000000-0002-0000-0200-00000D000000}">
      <formula1>0</formula1>
      <formula2>10000000</formula2>
    </dataValidation>
    <dataValidation allowBlank="1" showErrorMessage="1" promptTitle="Wprowadź" prompt="kwotę" sqref="B41" xr:uid="{00000000-0002-0000-0200-00000E000000}"/>
    <dataValidation allowBlank="1" showInputMessage="1" showErrorMessage="1" promptTitle="Wprowadź" prompt="adres ePUAP beneficjenta" sqref="B22" xr:uid="{39403F16-5D92-4CF8-A280-B76DF99A2466}"/>
    <dataValidation type="textLength" operator="equal" allowBlank="1" showInputMessage="1" errorTitle="KRS" promptTitle="Wprowadź" prompt="numer KRS" sqref="B27:AL27" xr:uid="{00000000-0002-0000-0200-000011000000}">
      <formula1>10</formula1>
    </dataValidation>
    <dataValidation allowBlank="1" sqref="AK70 AB70 Q70 A70:B70 K70" xr:uid="{00000000-0002-0000-0200-000012000000}"/>
    <dataValidation allowBlank="1" showInputMessage="1" showErrorMessage="1" promptTitle="Wpisz " prompt="przyczyny braku instalacji wyposażenia lub wpisz nie dotyczy" sqref="A113:AL113" xr:uid="{00000000-0002-0000-0200-000013000000}"/>
    <dataValidation allowBlank="1" showErrorMessage="1" promptTitle="Wybierz" prompt="właściwe oświadczenie" sqref="A111:AL111 A175:AL175 A177:AL177" xr:uid="{00000000-0002-0000-0200-000014000000}"/>
    <dataValidation type="decimal" allowBlank="1" showInputMessage="1" promptTitle="Wybierz" prompt="właściwą wysokość wsparcia lub wpiszmniejszą wartość" sqref="T172:AJ172" xr:uid="{00000000-0002-0000-0200-000015000000}">
      <formula1>0</formula1>
      <formula2>0.8</formula2>
    </dataValidation>
    <dataValidation allowBlank="1" showErrorMessage="1" promptTitle="Wprowadź" prompt="nr księgi wieczystej - nr działki ewidencyjnej" sqref="A189:AL189 A196:AL196 A197:A198" xr:uid="{00000000-0002-0000-0200-000016000000}"/>
    <dataValidation allowBlank="1" showInputMessage="1" showErrorMessage="1" promptTitle="Wprowadź" prompt="Adres do doręczeń elektronicznych" sqref="B23:AL23" xr:uid="{1B16999C-5462-403B-B5EC-49F6E4E18953}"/>
    <dataValidation operator="greaterThanOrEqual" allowBlank="1" showInputMessage="1" showErrorMessage="1" promptTitle="Wprowadź" prompt="datę w formacie rrrr-mm-dd_x000a_" sqref="B45:AL45" xr:uid="{00000000-0002-0000-0200-000018000000}"/>
    <dataValidation allowBlank="1" showInputMessage="1" showErrorMessage="1" promptTitle="Wprowadź" prompt="opcjonalni ilość" sqref="A62:AL62" xr:uid="{00000000-0002-0000-0200-000019000000}"/>
    <dataValidation type="textLength" operator="equal" allowBlank="1" showInputMessage="1" promptTitle="Wprowadź" prompt="numer rachunku bankowego" sqref="T38:AL38" xr:uid="{EE63DE76-7205-43D4-817C-A19AC119D053}">
      <formula1>26</formula1>
    </dataValidation>
    <dataValidation type="textLength" operator="equal" showInputMessage="1" promptTitle="Wprowadź" prompt="numer rachunku bankowego tj. 26 cyfr" sqref="B38:S38" xr:uid="{D8559319-330D-47B1-849D-B2FA790F6A67}">
      <formula1>26</formula1>
    </dataValidation>
  </dataValidations>
  <hyperlinks>
    <hyperlink ref="AM41" location="'Wniosek art 3 remontlubprzebudo'!B117" display="Kliknij &quot;tutaj&quot; i przejdź do wypełnienia zestawienia kosztów" xr:uid="{00000000-0004-0000-0200-000000000000}"/>
    <hyperlink ref="AM173" location="'Wniosek art 3 remontlubprzebudo'!B43" display="Wróć do wypełniania wniosku" xr:uid="{00000000-0004-0000-0200-000001000000}"/>
    <hyperlink ref="B41:AL41" location="'Wniosek art 3 remont'!B100" display="'Wniosek art 3 remont'!B100" xr:uid="{00000000-0004-0000-0200-000002000000}"/>
    <hyperlink ref="AM20" r:id="rId1" display="Weryfikocji można dokonać na stronie internetowej -&gt; https://eteryt.stat.gov.pl/eTeryt/rejestr_teryt/udostepnianie_danych/baza_teryt/uzytkownicy_indywidualni/wyszukiwanie/wyszukiwanie.aspx?contrast=default" xr:uid="{00000000-0004-0000-0200-000003000000}"/>
    <hyperlink ref="AM22" r:id="rId2" xr:uid="{00000000-0004-0000-0200-000004000000}"/>
    <hyperlink ref="AM18" r:id="rId3" xr:uid="{00000000-0004-0000-0200-000005000000}"/>
    <hyperlink ref="AM24" r:id="rId4" xr:uid="{00000000-0004-0000-0200-000006000000}"/>
    <hyperlink ref="AM26" r:id="rId5" xr:uid="{00000000-0004-0000-0200-000007000000}"/>
    <hyperlink ref="AM207" r:id="rId6" xr:uid="{FEEE98AB-F249-454F-AE9A-5017A49F801B}"/>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52" id="{E92C48F5-95C1-4E89-9523-775115E9143F}">
            <xm:f>IF($A$78=Słowniki!$F$19,1,0)</xm:f>
            <x14:dxf>
              <fill>
                <patternFill>
                  <bgColor theme="0"/>
                </patternFill>
              </fill>
            </x14:dxf>
          </x14:cfRule>
          <xm:sqref>A61</xm:sqref>
        </x14:conditionalFormatting>
        <x14:conditionalFormatting xmlns:xm="http://schemas.microsoft.com/office/excel/2006/main">
          <x14:cfRule type="expression" priority="24" id="{A8ABAE57-B1C1-45EB-BF68-87D3FC61038E}">
            <xm:f>IF($A$76=Słowniki!$F$19,1,0)</xm:f>
            <x14:dxf>
              <fill>
                <patternFill>
                  <bgColor theme="0"/>
                </patternFill>
              </fill>
            </x14:dxf>
          </x14:cfRule>
          <xm:sqref>A62:A63</xm:sqref>
        </x14:conditionalFormatting>
        <x14:conditionalFormatting xmlns:xm="http://schemas.microsoft.com/office/excel/2006/main">
          <x14:cfRule type="expression" priority="3742" id="{E15A9C38-E941-43DB-839B-B67024C91340}">
            <xm:f>IF(#REF!=Słowniki!$P$2,1,0)</xm:f>
            <x14:dxf>
              <font>
                <b/>
                <i val="0"/>
                <strike/>
                <color theme="1"/>
              </font>
            </x14:dxf>
          </x14:cfRule>
          <xm:sqref>A109:AL109</xm:sqref>
        </x14:conditionalFormatting>
        <x14:conditionalFormatting xmlns:xm="http://schemas.microsoft.com/office/excel/2006/main">
          <x14:cfRule type="expression" priority="10" id="{03BF0076-D599-42F1-AB67-FEA8DF1704CD}">
            <xm:f>IF($A$107=Słowniki!$P$2,1,0)</xm:f>
            <x14:dxf>
              <font>
                <strike/>
              </font>
            </x14:dxf>
          </x14:cfRule>
          <xm:sqref>A114:AL114</xm:sqref>
        </x14:conditionalFormatting>
        <x14:conditionalFormatting xmlns:xm="http://schemas.microsoft.com/office/excel/2006/main">
          <x14:cfRule type="expression" priority="22" id="{0E8F8F78-F27C-4ADB-B861-11EB4903FDF9}">
            <xm:f>IF('Wniosek art 5 budowa'!$A$151=Słowniki!$P$2,1,0)</xm:f>
            <x14:dxf>
              <font>
                <strike/>
              </font>
            </x14:dxf>
          </x14:cfRule>
          <xm:sqref>A116:AL116</xm:sqref>
        </x14:conditionalFormatting>
        <x14:conditionalFormatting xmlns:xm="http://schemas.microsoft.com/office/excel/2006/main">
          <x14:cfRule type="expression" priority="7" id="{9657DB82-6E21-4A28-BCFC-C30972195373}">
            <xm:f>IF($A$158=Słowniki!$P$2,1,0)</xm:f>
            <x14:dxf>
              <font>
                <strike/>
              </font>
            </x14:dxf>
          </x14:cfRule>
          <xm:sqref>A179:AL179</xm:sqref>
        </x14:conditionalFormatting>
        <x14:conditionalFormatting xmlns:xm="http://schemas.microsoft.com/office/excel/2006/main">
          <x14:cfRule type="expression" priority="39" id="{60A43413-FE15-4399-8BF5-2CE879F5412B}">
            <xm:f>IF($A$151=Słowniki!$P$2,1,0)</xm:f>
            <x14:dxf>
              <font>
                <strike/>
              </font>
            </x14:dxf>
          </x14:cfRule>
          <xm:sqref>A185:AL185</xm:sqref>
        </x14:conditionalFormatting>
        <x14:conditionalFormatting xmlns:xm="http://schemas.microsoft.com/office/excel/2006/main">
          <x14:cfRule type="expression" priority="38" id="{D7A061A6-0B53-4B8F-85A2-0BD6BFAA400C}">
            <xm:f>IF(#REF!=Słowniki!$Q$2,1,0)</xm:f>
            <x14:dxf>
              <font>
                <strike/>
              </font>
            </x14:dxf>
          </x14:cfRule>
          <xm:sqref>A187:AL187</xm:sqref>
        </x14:conditionalFormatting>
        <x14:conditionalFormatting xmlns:xm="http://schemas.microsoft.com/office/excel/2006/main">
          <x14:cfRule type="expression" priority="49" id="{C850E743-018A-457D-8188-A666A14269FB}">
            <xm:f>IF($A$78=Słowniki!$F$19,1,0)</xm:f>
            <x14:dxf>
              <fill>
                <patternFill>
                  <bgColor theme="0"/>
                </patternFill>
              </fill>
            </x14:dxf>
          </x14:cfRule>
          <xm:sqref>T61</xm:sqref>
        </x14:conditionalFormatting>
      </x14:conditionalFormattings>
    </ext>
    <ext xmlns:x14="http://schemas.microsoft.com/office/spreadsheetml/2009/9/main" uri="{CCE6A557-97BC-4b89-ADB6-D9C93CAAB3DF}">
      <x14:dataValidations xmlns:xm="http://schemas.microsoft.com/office/excel/2006/main" xWindow="422" yWindow="577" count="28">
        <x14:dataValidation type="list" allowBlank="1" showErrorMessage="1" promptTitle="Wybierz" prompt="właściwy rodzaj" xr:uid="{00000000-0002-0000-0200-00001A000000}">
          <x14:formula1>
            <xm:f>Słowniki!$J$2</xm:f>
          </x14:formula1>
          <xm:sqref>A69:AL69</xm:sqref>
        </x14:dataValidation>
        <x14:dataValidation type="list" allowBlank="1" showInputMessage="1" showErrorMessage="1" promptTitle="Wybierz" prompt="beneficjenta" xr:uid="{00000000-0002-0000-0200-00001C000000}">
          <x14:formula1>
            <xm:f>Słowniki!$A$3:$A$7</xm:f>
          </x14:formula1>
          <xm:sqref>B17:AL17</xm:sqref>
        </x14:dataValidation>
        <x14:dataValidation type="list" allowBlank="1" showInputMessage="1" showErrorMessage="1" promptTitle="Wybierz" prompt="właściwe" xr:uid="{00000000-0002-0000-0200-00001D000000}">
          <x14:formula1>
            <xm:f>Słowniki!$H$2:$H$5</xm:f>
          </x14:formula1>
          <xm:sqref>B68:AL68</xm:sqref>
        </x14:dataValidation>
        <x14:dataValidation type="list" allowBlank="1" showInputMessage="1" showErrorMessage="1" promptTitle="Wybierz" prompt="właściwe" xr:uid="{00000000-0002-0000-0200-00001E000000}">
          <x14:formula1>
            <xm:f>Słowniki!$AO$1:$AO$2</xm:f>
          </x14:formula1>
          <xm:sqref>B42:AL42</xm:sqref>
        </x14:dataValidation>
        <x14:dataValidation type="list" allowBlank="1" showInputMessage="1" promptTitle="Wprowadź" prompt="dane lub wybierz nie dotyczy" xr:uid="{00000000-0002-0000-0200-000021000000}">
          <x14:formula1>
            <xm:f>Słowniki!$F$26</xm:f>
          </x14:formula1>
          <xm:sqref>B34:AL34 B36:AL36</xm:sqref>
        </x14:dataValidation>
        <x14:dataValidation type="list" allowBlank="1" showInputMessage="1" showErrorMessage="1" promptTitle="Wybierz" prompt="właściwe" xr:uid="{00000000-0002-0000-0200-000022000000}">
          <x14:formula1>
            <xm:f>Słowniki!$U$5:$U$6</xm:f>
          </x14:formula1>
          <xm:sqref>A115:AL115</xm:sqref>
        </x14:dataValidation>
        <x14:dataValidation type="list" allowBlank="1" showInputMessage="1" showErrorMessage="1" promptTitle="Wybierz" prompt="właściwe" xr:uid="{00000000-0002-0000-0200-000023000000}">
          <x14:formula1>
            <xm:f>Słowniki!$U$3:$U$4</xm:f>
          </x14:formula1>
          <xm:sqref>A112:AL112</xm:sqref>
        </x14:dataValidation>
        <x14:dataValidation type="list" allowBlank="1" showInputMessage="1" showErrorMessage="1" promptTitle="Wybierz" prompt="właściwe" xr:uid="{00000000-0002-0000-0200-000024000000}">
          <x14:formula1>
            <xm:f>Słowniki!$U$1:$U$2</xm:f>
          </x14:formula1>
          <xm:sqref>A110:AL110</xm:sqref>
        </x14:dataValidation>
        <x14:dataValidation type="list" allowBlank="1" showInputMessage="1" showErrorMessage="1" promptTitle="Wybierz" prompt="właściwe" xr:uid="{00000000-0002-0000-0200-000025000000}">
          <x14:formula1>
            <xm:f>Słowniki!$E$169:$E$170</xm:f>
          </x14:formula1>
          <xm:sqref>T173:AJ173</xm:sqref>
        </x14:dataValidation>
        <x14:dataValidation type="list" allowBlank="1" showInputMessage="1" showErrorMessage="1" promptTitle="Wybierz" prompt="właściwe" xr:uid="{00000000-0002-0000-0200-000026000000}">
          <x14:formula1>
            <xm:f>Słowniki!$W$3:$W$4</xm:f>
          </x14:formula1>
          <xm:sqref>A178:AL178</xm:sqref>
        </x14:dataValidation>
        <x14:dataValidation type="list" allowBlank="1" showInputMessage="1" showErrorMessage="1" promptTitle="Wybierz" prompt="właściwe" xr:uid="{00000000-0002-0000-0200-000027000000}">
          <x14:formula1>
            <xm:f>Słowniki!$W$1:$W$2</xm:f>
          </x14:formula1>
          <xm:sqref>A176:AL176</xm:sqref>
        </x14:dataValidation>
        <x14:dataValidation type="list" allowBlank="1" showInputMessage="1" showErrorMessage="1" promptTitle="Wybierz" prompt="właściwe" xr:uid="{00000000-0002-0000-0200-000028000000}">
          <x14:formula1>
            <xm:f>Słowniki!$W$5:$W$6</xm:f>
          </x14:formula1>
          <xm:sqref>A180:AL180</xm:sqref>
        </x14:dataValidation>
        <x14:dataValidation type="list" allowBlank="1" showInputMessage="1" showErrorMessage="1" promptTitle="Wybierz" prompt="właściwe" xr:uid="{00000000-0002-0000-0200-000029000000}">
          <x14:formula1>
            <xm:f>Słowniki!$Z$1:$Z$2</xm:f>
          </x14:formula1>
          <xm:sqref>A186:AL186</xm:sqref>
        </x14:dataValidation>
        <x14:dataValidation type="list" allowBlank="1" showInputMessage="1" showErrorMessage="1" promptTitle="Wybierz" prompt="właściwe" xr:uid="{00000000-0002-0000-0200-00002A000000}">
          <x14:formula1>
            <xm:f>Słowniki!$Y$1:$Y$5</xm:f>
          </x14:formula1>
          <xm:sqref>A182:AL182</xm:sqref>
        </x14:dataValidation>
        <x14:dataValidation type="list" allowBlank="1" showInputMessage="1" showErrorMessage="1" promptTitle="Wybierz" prompt="właściwe" xr:uid="{00000000-0002-0000-0200-00002B000000}">
          <x14:formula1>
            <xm:f>Słowniki!$Z$3:$Z$4</xm:f>
          </x14:formula1>
          <xm:sqref>A188:AL188</xm:sqref>
        </x14:dataValidation>
        <x14:dataValidation type="list" allowBlank="1" showInputMessage="1" showErrorMessage="1" promptTitle="Wybierz" prompt="właściwe" xr:uid="{00000000-0002-0000-0200-00002C000000}">
          <x14:formula1>
            <xm:f>Słowniki!$AD$4:$AD$7</xm:f>
          </x14:formula1>
          <xm:sqref>A190:AL190</xm:sqref>
        </x14:dataValidation>
        <x14:dataValidation type="list" allowBlank="1" showInputMessage="1" promptTitle="Wybierz" prompt="właściwe" xr:uid="{00000000-0002-0000-0200-00002D000000}">
          <x14:formula1>
            <xm:f>Słowniki!$A$34:$A$39</xm:f>
          </x14:formula1>
          <xm:sqref>G124:K169</xm:sqref>
        </x14:dataValidation>
        <x14:dataValidation type="list" allowBlank="1" showInputMessage="1" showErrorMessage="1" promptTitle="Wybierz" prompt="właściwe" xr:uid="{00000000-0002-0000-0200-00002E000000}">
          <x14:formula1>
            <xm:f>Słowniki!$E$3:$E$4</xm:f>
          </x14:formula1>
          <xm:sqref>A53:AL53</xm:sqref>
        </x14:dataValidation>
        <x14:dataValidation type="list" allowBlank="1" showInputMessage="1" showErrorMessage="1" promptTitle="Wybierz" prompt="właściwe" xr:uid="{00000000-0002-0000-0200-000030000000}">
          <x14:formula1>
            <xm:f>Słowniki!$C$11:$C$13</xm:f>
          </x14:formula1>
          <xm:sqref>A54:AL54</xm:sqref>
        </x14:dataValidation>
        <x14:dataValidation type="list" allowBlank="1" showInputMessage="1" showErrorMessage="1" promptTitle="Wybierz" prompt="właściwe" xr:uid="{00000000-0002-0000-0200-000031000000}">
          <x14:formula1>
            <xm:f>Słowniki!$F$2:$F$3</xm:f>
          </x14:formula1>
          <xm:sqref>A56:AL56</xm:sqref>
        </x14:dataValidation>
        <x14:dataValidation type="list" allowBlank="1" showInputMessage="1" showErrorMessage="1" promptTitle="Wprowadź" prompt="opcjonalnie dla przedsięwźięć mieszanych" xr:uid="{00000000-0002-0000-0200-000032000000}">
          <x14:formula1>
            <xm:f>Słowniki!$F$3:$F$5</xm:f>
          </x14:formula1>
          <xm:sqref>A60 T60</xm:sqref>
        </x14:dataValidation>
        <x14:dataValidation type="list" allowBlank="1" showInputMessage="1" showErrorMessage="1" promptTitle="Wybierz" prompt="właściwe" xr:uid="{00000000-0002-0000-0200-000033000000}">
          <x14:formula1>
            <xm:f>Słowniki!$W$10:$W$11</xm:f>
          </x14:formula1>
          <xm:sqref>A184:AL184</xm:sqref>
        </x14:dataValidation>
        <x14:dataValidation type="list" allowBlank="1" showInputMessage="1" showErrorMessage="1" promptTitle="Wybierz" prompt="właściwe" xr:uid="{00000000-0002-0000-0200-000034000000}">
          <x14:formula1>
            <xm:f>Słowniki!$W$12:$W$14</xm:f>
          </x14:formula1>
          <xm:sqref>A192:AL192</xm:sqref>
        </x14:dataValidation>
        <x14:dataValidation type="list" allowBlank="1" showInputMessage="1" showErrorMessage="1" promptTitle="Wybierz" prompt="właściwe" xr:uid="{00000000-0002-0000-0200-000035000000}">
          <x14:formula1>
            <xm:f>Słowniki!$C$3:$C$4</xm:f>
          </x14:formula1>
          <xm:sqref>AB7:AE7 N7:P7</xm:sqref>
        </x14:dataValidation>
        <x14:dataValidation type="list" allowBlank="1" showInputMessage="1" showErrorMessage="1" promptTitle="Wybierz" prompt="właściwe" xr:uid="{A78CEF08-B300-4EB9-B3AC-23F04300667A}">
          <x14:formula1>
            <xm:f>Słowniki!$C$49:$C$50</xm:f>
          </x14:formula1>
          <xm:sqref>A117:AL117</xm:sqref>
        </x14:dataValidation>
        <x14:dataValidation type="list" errorStyle="information" allowBlank="1" showInputMessage="1" showErrorMessage="1" promptTitle="Wybierz" prompt="właściwe" xr:uid="{C692CC38-48A4-41AF-9960-9686179C2EC0}">
          <x14:formula1>
            <xm:f>Słowniki!$A$46:$A$60</xm:f>
          </x14:formula1>
          <xm:sqref>B124:F169</xm:sqref>
        </x14:dataValidation>
        <x14:dataValidation type="list" allowBlank="1" showInputMessage="1" showErrorMessage="1" xr:uid="{C72068AE-186A-4938-9C3E-B0633BE8DB88}">
          <x14:formula1>
            <xm:f>Słowniki!$Y$9:$Y$10</xm:f>
          </x14:formula1>
          <xm:sqref>A194:AL194</xm:sqref>
        </x14:dataValidation>
        <x14:dataValidation type="date" operator="greaterThan" allowBlank="1" showInputMessage="1" showErrorMessage="1" promptTitle="Wprowadź" prompt="datę w formacie rrrr-mm-dd_x000a_" xr:uid="{00000000-0002-0000-0200-000036000000}">
          <x14:formula1>
            <xm:f>Słowniki!AQ1</xm:f>
          </x14:formula1>
          <xm:sqref>B43:AL43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usz1"/>
  <dimension ref="A1:BB159"/>
  <sheetViews>
    <sheetView showGridLines="0" view="pageBreakPreview" topLeftCell="A154" zoomScale="115" zoomScaleNormal="160" zoomScaleSheetLayoutView="115" workbookViewId="0">
      <selection activeCell="A152" sqref="A152:AL152"/>
    </sheetView>
  </sheetViews>
  <sheetFormatPr defaultColWidth="9.33203125" defaultRowHeight="13.8" x14ac:dyDescent="0.25"/>
  <cols>
    <col min="1" max="1" width="3.33203125" style="60" customWidth="1"/>
    <col min="2" max="2" width="4" style="60" customWidth="1"/>
    <col min="3" max="3" width="2.33203125" style="60" customWidth="1"/>
    <col min="4" max="4" width="2.5546875" style="60" customWidth="1"/>
    <col min="5" max="5" width="2" style="60" customWidth="1"/>
    <col min="6" max="6" width="1.6640625" style="60" customWidth="1"/>
    <col min="7" max="7" width="1.44140625" style="60" customWidth="1"/>
    <col min="8" max="8" width="2.33203125" style="60" customWidth="1"/>
    <col min="9" max="9" width="2.44140625" style="60" customWidth="1"/>
    <col min="10" max="10" width="1.5546875" style="60" customWidth="1"/>
    <col min="11" max="11" width="1.6640625" style="60" customWidth="1"/>
    <col min="12" max="12" width="5.33203125" style="60" customWidth="1"/>
    <col min="13" max="13" width="0.6640625" style="60" customWidth="1"/>
    <col min="14" max="14" width="3.44140625" style="60" customWidth="1"/>
    <col min="15" max="15" width="2.5546875" style="60" customWidth="1"/>
    <col min="16" max="17" width="1.5546875" style="60" customWidth="1"/>
    <col min="18" max="18" width="1.33203125" style="60" customWidth="1"/>
    <col min="19" max="19" width="2.33203125" style="60" customWidth="1"/>
    <col min="20" max="20" width="1.33203125" style="60" customWidth="1"/>
    <col min="21" max="21" width="1" style="60" customWidth="1"/>
    <col min="22" max="22" width="0.6640625" style="60" customWidth="1"/>
    <col min="23" max="23" width="3" style="60" customWidth="1"/>
    <col min="24" max="24" width="1.33203125" style="60" customWidth="1"/>
    <col min="25" max="25" width="1.44140625" style="60" customWidth="1"/>
    <col min="26" max="27" width="1.33203125" style="60" customWidth="1"/>
    <col min="28" max="28" width="2" style="60" customWidth="1"/>
    <col min="29" max="29" width="1" style="60" customWidth="1"/>
    <col min="30" max="31" width="1.6640625" style="60" customWidth="1"/>
    <col min="32" max="32" width="1.33203125" style="60" customWidth="1"/>
    <col min="33" max="33" width="1.6640625" style="60" customWidth="1"/>
    <col min="34" max="34" width="2.33203125" style="60" customWidth="1"/>
    <col min="35" max="35" width="1.44140625" style="60" customWidth="1"/>
    <col min="36" max="36" width="4" style="60" customWidth="1"/>
    <col min="37" max="37" width="9.33203125" style="60" customWidth="1"/>
    <col min="38" max="38" width="5.6640625" style="60" customWidth="1"/>
    <col min="39" max="39" width="119" style="77" customWidth="1"/>
    <col min="40" max="41" width="10.6640625" style="61" bestFit="1" customWidth="1"/>
    <col min="42" max="42" width="10.44140625" style="60" bestFit="1" customWidth="1"/>
    <col min="43" max="16384" width="9.33203125" style="60"/>
  </cols>
  <sheetData>
    <row r="1" spans="1:54" ht="30"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75"/>
      <c r="AN1" s="70"/>
      <c r="AO1" s="70"/>
      <c r="AP1" s="70"/>
      <c r="AQ1" s="70"/>
      <c r="AR1" s="70"/>
      <c r="AS1" s="70"/>
      <c r="AT1" s="70"/>
      <c r="AU1" s="70"/>
      <c r="AV1" s="70"/>
      <c r="AW1" s="70"/>
      <c r="AX1" s="70"/>
      <c r="AY1" s="70"/>
      <c r="AZ1" s="70"/>
      <c r="BA1" s="70"/>
      <c r="BB1" s="70"/>
    </row>
    <row r="2" spans="1:54" x14ac:dyDescent="0.25">
      <c r="A2" s="69" t="s">
        <v>123</v>
      </c>
      <c r="B2" s="69"/>
      <c r="C2" s="69"/>
      <c r="D2" s="69"/>
      <c r="E2" s="69"/>
      <c r="F2" s="69"/>
      <c r="G2" s="69"/>
      <c r="H2" s="69"/>
      <c r="I2" s="69"/>
      <c r="J2" s="69"/>
      <c r="K2" s="69"/>
      <c r="L2" s="69"/>
      <c r="M2" s="69"/>
      <c r="N2" s="69"/>
      <c r="O2" s="69"/>
      <c r="P2" s="69"/>
      <c r="Q2" s="70"/>
      <c r="R2" s="70"/>
      <c r="S2" s="70"/>
      <c r="T2" s="70"/>
      <c r="U2" s="71"/>
      <c r="V2" s="71"/>
      <c r="W2" s="71"/>
      <c r="X2" s="71"/>
      <c r="Y2" s="72"/>
      <c r="Z2" s="71"/>
      <c r="AB2" s="71"/>
      <c r="AC2" s="71"/>
      <c r="AD2" s="71"/>
      <c r="AE2" s="71"/>
      <c r="AF2" s="71"/>
      <c r="AG2" s="71"/>
      <c r="AH2" s="71"/>
      <c r="AI2" s="71"/>
      <c r="AJ2" s="71"/>
      <c r="AK2" s="71"/>
      <c r="AL2" s="71"/>
      <c r="AM2" s="75"/>
      <c r="AN2" s="70"/>
      <c r="AO2" s="70"/>
      <c r="AP2" s="70"/>
      <c r="AQ2" s="70"/>
      <c r="AR2" s="70"/>
      <c r="AS2" s="70"/>
      <c r="AT2" s="70"/>
      <c r="AU2" s="70"/>
      <c r="AV2" s="70"/>
      <c r="AW2" s="70"/>
      <c r="AX2" s="70"/>
      <c r="AY2" s="70"/>
      <c r="AZ2" s="70"/>
      <c r="BA2" s="70"/>
      <c r="BB2" s="70"/>
    </row>
    <row r="3" spans="1:54" x14ac:dyDescent="0.25">
      <c r="AM3" s="82" t="s">
        <v>160</v>
      </c>
    </row>
    <row r="4" spans="1:54" ht="14.4" x14ac:dyDescent="0.3">
      <c r="A4" s="512"/>
      <c r="B4" s="513"/>
      <c r="C4" s="513"/>
      <c r="D4" s="513"/>
      <c r="E4" s="513"/>
      <c r="F4" s="513"/>
      <c r="G4" s="89"/>
      <c r="H4" s="514">
        <f ca="1">TODAY()</f>
        <v>46184</v>
      </c>
      <c r="I4" s="514"/>
      <c r="J4" s="514"/>
      <c r="K4" s="514"/>
      <c r="L4" s="514"/>
      <c r="M4" s="88"/>
      <c r="N4"/>
      <c r="O4"/>
      <c r="P4"/>
      <c r="Q4"/>
      <c r="R4"/>
      <c r="S4"/>
      <c r="T4"/>
      <c r="U4"/>
      <c r="V4"/>
      <c r="W4"/>
      <c r="X4"/>
      <c r="Y4"/>
      <c r="Z4"/>
      <c r="AA4" s="88"/>
      <c r="AB4" s="88"/>
      <c r="AC4" s="88"/>
      <c r="AD4" s="88"/>
      <c r="AE4" s="88"/>
      <c r="AF4" s="88"/>
      <c r="AG4" s="88"/>
      <c r="AH4" s="88"/>
      <c r="AI4" s="88"/>
      <c r="AJ4" s="88"/>
      <c r="AK4" s="88"/>
      <c r="AL4" s="88"/>
      <c r="AM4" s="76"/>
    </row>
    <row r="5" spans="1:54" ht="14.4" x14ac:dyDescent="0.3">
      <c r="A5" s="515" t="s">
        <v>125</v>
      </c>
      <c r="B5" s="515"/>
      <c r="C5" s="515"/>
      <c r="D5" s="515"/>
      <c r="E5" s="515"/>
      <c r="F5" s="515"/>
      <c r="G5" s="151"/>
      <c r="H5" s="515" t="s">
        <v>124</v>
      </c>
      <c r="I5" s="515"/>
      <c r="J5" s="515"/>
      <c r="K5" s="515"/>
      <c r="L5" s="515"/>
      <c r="M5" s="148"/>
      <c r="N5"/>
      <c r="O5"/>
      <c r="P5"/>
      <c r="Q5"/>
      <c r="R5"/>
      <c r="S5"/>
      <c r="T5"/>
      <c r="U5"/>
      <c r="V5"/>
      <c r="W5"/>
      <c r="X5"/>
      <c r="Y5"/>
      <c r="Z5"/>
      <c r="AA5" s="148"/>
      <c r="AB5" s="148"/>
      <c r="AC5" s="148"/>
      <c r="AD5" s="148"/>
      <c r="AE5" s="148"/>
      <c r="AF5" s="148"/>
      <c r="AG5" s="148"/>
      <c r="AH5" s="148"/>
      <c r="AI5" s="148"/>
      <c r="AJ5" s="148"/>
      <c r="AK5" s="148"/>
      <c r="AL5" s="148"/>
      <c r="AM5" s="76"/>
    </row>
    <row r="6" spans="1:54" ht="14.4" x14ac:dyDescent="0.3">
      <c r="A6" s="153"/>
      <c r="B6" s="153"/>
      <c r="C6" s="153"/>
      <c r="D6" s="153"/>
      <c r="E6" s="153"/>
      <c r="F6" s="153"/>
      <c r="G6" s="151"/>
      <c r="H6" s="148"/>
      <c r="I6" s="148"/>
      <c r="J6" s="148"/>
      <c r="K6" s="148"/>
      <c r="L6" s="148"/>
      <c r="M6" s="148"/>
      <c r="N6"/>
      <c r="O6"/>
      <c r="P6"/>
      <c r="Q6"/>
      <c r="R6"/>
      <c r="S6"/>
      <c r="T6"/>
      <c r="U6"/>
      <c r="V6"/>
      <c r="W6"/>
      <c r="X6"/>
      <c r="Y6"/>
      <c r="Z6"/>
      <c r="AA6" s="148"/>
      <c r="AB6" s="148"/>
      <c r="AC6" s="148"/>
      <c r="AD6" s="148"/>
      <c r="AE6" s="148"/>
      <c r="AF6" s="148"/>
      <c r="AG6" s="148"/>
      <c r="AH6" s="148"/>
      <c r="AI6" s="148"/>
      <c r="AJ6" s="148"/>
      <c r="AK6" s="148"/>
      <c r="AL6" s="148"/>
      <c r="AM6" s="76"/>
    </row>
    <row r="7" spans="1:54" ht="25.2"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row>
    <row r="8" spans="1:54" ht="32.700000000000003"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ht="113.7"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row>
    <row r="10" spans="1:54" ht="14.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76"/>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76"/>
    </row>
    <row r="12" spans="1:54" ht="14.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c r="AM12" s="7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76"/>
    </row>
    <row r="14" spans="1:54"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76"/>
    </row>
    <row r="15" spans="1:54" ht="14.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c r="AM15" s="76"/>
    </row>
    <row r="16" spans="1:54" ht="14.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76"/>
    </row>
    <row r="17" spans="1:39" ht="31.2" customHeight="1" x14ac:dyDescent="0.25">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row>
    <row r="18" spans="1:39" ht="14.4"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ht="14.4" x14ac:dyDescent="0.25">
      <c r="A19" s="326"/>
      <c r="B19" s="36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row>
    <row r="20" spans="1:39" ht="27"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ht="14.4"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52.2"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ht="14.4"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ht="14.4"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ht="14.4"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row>
    <row r="26" spans="1:39" ht="14.4"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row>
    <row r="27" spans="1:39" ht="14.4"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row>
    <row r="28" spans="1:39" ht="14.4" x14ac:dyDescent="0.25">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row>
    <row r="29" spans="1:39" ht="14.4" x14ac:dyDescent="0.25">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row>
    <row r="30" spans="1:39" ht="14.4" x14ac:dyDescent="0.25">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row>
    <row r="31" spans="1:39" ht="14.4" x14ac:dyDescent="0.25">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row>
    <row r="32" spans="1:39" ht="14.4" x14ac:dyDescent="0.25">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101" t="s">
        <v>174</v>
      </c>
    </row>
    <row r="33" spans="1:43" ht="14.4" x14ac:dyDescent="0.25">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101"/>
    </row>
    <row r="34" spans="1:43" ht="14.4" x14ac:dyDescent="0.25">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row>
    <row r="35" spans="1:43" ht="14.4" x14ac:dyDescent="0.25">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76"/>
    </row>
    <row r="36" spans="1:43" ht="14.4" x14ac:dyDescent="0.25">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76"/>
    </row>
    <row r="37" spans="1:43" ht="41.7" customHeight="1" x14ac:dyDescent="0.25">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60"/>
    </row>
    <row r="38" spans="1:43" ht="14.4"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60"/>
    </row>
    <row r="39" spans="1:43" ht="14.4" x14ac:dyDescent="0.25">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row>
    <row r="40" spans="1:43" ht="14.4" x14ac:dyDescent="0.25">
      <c r="A40" s="326" t="s">
        <v>1</v>
      </c>
      <c r="B40" s="519" t="s">
        <v>176</v>
      </c>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row>
    <row r="41" spans="1:43" ht="14.4" x14ac:dyDescent="0.3">
      <c r="A41" s="326"/>
      <c r="B41" s="353" t="e">
        <f>T125</f>
        <v>#DIV/0!</v>
      </c>
      <c r="C41" s="353"/>
      <c r="D41" s="353"/>
      <c r="E41" s="353"/>
      <c r="F41" s="353"/>
      <c r="G41" s="353"/>
      <c r="H41" s="353"/>
      <c r="I41" s="353"/>
      <c r="J41" s="353"/>
      <c r="K41" s="353"/>
      <c r="L41" s="353"/>
      <c r="M41" s="353"/>
      <c r="N41" s="353"/>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100" t="s">
        <v>213</v>
      </c>
    </row>
    <row r="42" spans="1:43" ht="33.450000000000003" customHeight="1" x14ac:dyDescent="0.25">
      <c r="A42" s="535" t="s">
        <v>6</v>
      </c>
      <c r="B42" s="520" t="s">
        <v>1021</v>
      </c>
      <c r="C42" s="520"/>
      <c r="D42" s="520"/>
      <c r="E42" s="520"/>
      <c r="F42" s="520"/>
      <c r="G42" s="520"/>
      <c r="H42" s="520"/>
      <c r="I42" s="520"/>
      <c r="J42" s="520"/>
      <c r="K42" s="520"/>
      <c r="L42" s="520"/>
      <c r="M42" s="520"/>
      <c r="N42" s="520"/>
      <c r="O42" s="520"/>
      <c r="P42" s="520"/>
      <c r="Q42" s="520"/>
      <c r="R42" s="520"/>
      <c r="S42" s="520"/>
      <c r="T42" s="520"/>
      <c r="U42" s="520"/>
      <c r="V42" s="520"/>
      <c r="W42" s="520"/>
      <c r="X42" s="520"/>
      <c r="Y42" s="520"/>
      <c r="Z42" s="520"/>
      <c r="AA42" s="520"/>
      <c r="AB42" s="520"/>
      <c r="AC42" s="520"/>
      <c r="AD42" s="520"/>
      <c r="AE42" s="520"/>
      <c r="AF42" s="520"/>
      <c r="AG42" s="520"/>
      <c r="AH42" s="520"/>
      <c r="AI42" s="520"/>
      <c r="AJ42" s="520"/>
      <c r="AK42" s="520"/>
      <c r="AL42" s="520"/>
      <c r="AM42" s="76"/>
    </row>
    <row r="43" spans="1:43" ht="14.7" customHeight="1" x14ac:dyDescent="0.25">
      <c r="A43" s="326"/>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77" t="s">
        <v>165</v>
      </c>
    </row>
    <row r="44" spans="1:43" ht="14.4" x14ac:dyDescent="0.25">
      <c r="A44" s="535" t="s">
        <v>7</v>
      </c>
      <c r="B44" s="444" t="s">
        <v>885</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76"/>
      <c r="AQ44" s="62"/>
    </row>
    <row r="45" spans="1:43" ht="14.4" x14ac:dyDescent="0.25">
      <c r="A45" s="32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c r="AQ45" s="62"/>
    </row>
    <row r="46" spans="1:43" ht="14.4" x14ac:dyDescent="0.25">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c r="AQ46" s="62"/>
    </row>
    <row r="47" spans="1:43" ht="14.7" customHeight="1" x14ac:dyDescent="0.25">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c r="AQ47" s="62"/>
    </row>
    <row r="48" spans="1:43" ht="14.7"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c r="AM48" s="77" t="s">
        <v>630</v>
      </c>
      <c r="AQ48" s="62"/>
    </row>
    <row r="49" spans="1:43" ht="28.2"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t="e">
        <f>B$41</f>
        <v>#DIV/0!</v>
      </c>
      <c r="AA49" s="341"/>
      <c r="AB49" s="341"/>
      <c r="AC49" s="341"/>
      <c r="AD49" s="341"/>
      <c r="AE49" s="341"/>
      <c r="AF49" s="341"/>
      <c r="AG49" s="341"/>
      <c r="AH49" s="341"/>
      <c r="AI49" s="341"/>
      <c r="AJ49" s="341"/>
      <c r="AK49" s="341" t="e">
        <f>ROUND(Z49/Z$51,5)</f>
        <v>#DIV/0!</v>
      </c>
      <c r="AL49" s="341"/>
      <c r="AM49" s="77" t="s">
        <v>180</v>
      </c>
      <c r="AQ49" s="62"/>
    </row>
    <row r="50" spans="1:43"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Q50" s="61"/>
    </row>
    <row r="51" spans="1:43"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422" t="e">
        <f>SUM(Z48:AJ50)</f>
        <v>#DIV/0!</v>
      </c>
      <c r="AA51" s="422"/>
      <c r="AB51" s="422"/>
      <c r="AC51" s="422"/>
      <c r="AD51" s="422"/>
      <c r="AE51" s="422"/>
      <c r="AF51" s="422"/>
      <c r="AG51" s="422"/>
      <c r="AH51" s="422"/>
      <c r="AI51" s="422"/>
      <c r="AJ51" s="422"/>
      <c r="AK51" s="341" t="e">
        <f>SUM(AK48:AL50)</f>
        <v>#DIV/0!</v>
      </c>
      <c r="AL51" s="341"/>
      <c r="AM51" s="77" t="s">
        <v>1150</v>
      </c>
      <c r="AQ51" s="61"/>
    </row>
    <row r="52" spans="1:43" ht="45" customHeight="1" x14ac:dyDescent="0.25">
      <c r="A52" s="542" t="s">
        <v>864</v>
      </c>
      <c r="B52" s="374" t="s">
        <v>1077</v>
      </c>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c r="AA52" s="374"/>
      <c r="AB52" s="374"/>
      <c r="AC52" s="374"/>
      <c r="AD52" s="374"/>
      <c r="AE52" s="374"/>
      <c r="AF52" s="374"/>
      <c r="AG52" s="374"/>
      <c r="AH52" s="374"/>
      <c r="AI52" s="374"/>
      <c r="AJ52" s="374"/>
      <c r="AK52" s="374"/>
      <c r="AL52" s="374"/>
      <c r="AQ52" s="61"/>
    </row>
    <row r="53" spans="1:43" ht="27.45" customHeight="1" x14ac:dyDescent="0.3">
      <c r="A53" s="343"/>
      <c r="B53" s="536" t="s">
        <v>800</v>
      </c>
      <c r="C53" s="390"/>
      <c r="D53" s="390"/>
      <c r="E53" s="390"/>
      <c r="F53" s="390"/>
      <c r="G53" s="390"/>
      <c r="H53" s="390"/>
      <c r="I53" s="390"/>
      <c r="J53" s="390"/>
      <c r="K53" s="390"/>
      <c r="L53" s="390"/>
      <c r="M53" s="390"/>
      <c r="N53" s="390"/>
      <c r="O53" s="390"/>
      <c r="P53" s="390"/>
      <c r="Q53" s="390"/>
      <c r="R53" s="390"/>
      <c r="S53" s="544"/>
      <c r="T53" s="544"/>
      <c r="U53" s="544"/>
      <c r="V53" s="544"/>
      <c r="W53" s="544"/>
      <c r="X53" s="544"/>
      <c r="Y53" s="544"/>
      <c r="Z53" s="544"/>
      <c r="AA53" s="544"/>
      <c r="AB53" s="544"/>
      <c r="AC53" s="544"/>
      <c r="AD53" s="544"/>
      <c r="AE53" s="544"/>
      <c r="AF53" s="544"/>
      <c r="AG53" s="544"/>
      <c r="AH53" s="544"/>
      <c r="AI53" s="544"/>
      <c r="AJ53" s="544"/>
      <c r="AK53" s="544"/>
      <c r="AL53" s="544"/>
      <c r="AQ53" s="61"/>
    </row>
    <row r="54" spans="1:43" ht="14.4" x14ac:dyDescent="0.3">
      <c r="A54" s="343"/>
      <c r="B54" s="390" t="s">
        <v>703</v>
      </c>
      <c r="C54" s="390"/>
      <c r="D54" s="390"/>
      <c r="E54" s="390"/>
      <c r="F54" s="390"/>
      <c r="G54" s="390"/>
      <c r="H54" s="390"/>
      <c r="I54" s="390"/>
      <c r="J54" s="390"/>
      <c r="K54" s="390"/>
      <c r="L54" s="390"/>
      <c r="M54" s="390"/>
      <c r="N54" s="390"/>
      <c r="O54" s="390"/>
      <c r="P54" s="390"/>
      <c r="Q54" s="390"/>
      <c r="R54" s="390"/>
      <c r="S54" s="387"/>
      <c r="T54" s="387"/>
      <c r="U54" s="387"/>
      <c r="V54" s="387"/>
      <c r="W54" s="387"/>
      <c r="X54" s="387"/>
      <c r="Y54" s="387"/>
      <c r="Z54" s="387"/>
      <c r="AA54" s="387"/>
      <c r="AB54" s="387"/>
      <c r="AC54" s="387"/>
      <c r="AD54" s="387"/>
      <c r="AE54" s="387"/>
      <c r="AF54" s="387"/>
      <c r="AG54" s="387"/>
      <c r="AH54" s="387"/>
      <c r="AI54" s="387"/>
      <c r="AJ54" s="387"/>
      <c r="AK54" s="387"/>
      <c r="AL54" s="387"/>
      <c r="AQ54" s="61"/>
    </row>
    <row r="55" spans="1:43" ht="14.4" x14ac:dyDescent="0.3">
      <c r="A55" s="343"/>
      <c r="B55" s="390" t="s">
        <v>704</v>
      </c>
      <c r="C55" s="390"/>
      <c r="D55" s="390"/>
      <c r="E55" s="390"/>
      <c r="F55" s="390"/>
      <c r="G55" s="390"/>
      <c r="H55" s="390"/>
      <c r="I55" s="390"/>
      <c r="J55" s="390"/>
      <c r="K55" s="390"/>
      <c r="L55" s="390"/>
      <c r="M55" s="390"/>
      <c r="N55" s="390"/>
      <c r="O55" s="390"/>
      <c r="P55" s="390"/>
      <c r="Q55" s="390"/>
      <c r="R55" s="390"/>
      <c r="S55" s="387"/>
      <c r="T55" s="387"/>
      <c r="U55" s="387"/>
      <c r="V55" s="387"/>
      <c r="W55" s="387"/>
      <c r="X55" s="387"/>
      <c r="Y55" s="387"/>
      <c r="Z55" s="387"/>
      <c r="AA55" s="387"/>
      <c r="AB55" s="387"/>
      <c r="AC55" s="387"/>
      <c r="AD55" s="387"/>
      <c r="AE55" s="387"/>
      <c r="AF55" s="387"/>
      <c r="AG55" s="387"/>
      <c r="AH55" s="387"/>
      <c r="AI55" s="387"/>
      <c r="AJ55" s="387"/>
      <c r="AK55" s="387"/>
      <c r="AL55" s="387"/>
      <c r="AQ55" s="61"/>
    </row>
    <row r="56" spans="1:43" ht="14.4" x14ac:dyDescent="0.3">
      <c r="A56" s="343"/>
      <c r="B56" s="390" t="s">
        <v>705</v>
      </c>
      <c r="C56" s="390"/>
      <c r="D56" s="390"/>
      <c r="E56" s="390"/>
      <c r="F56" s="390"/>
      <c r="G56" s="390"/>
      <c r="H56" s="390"/>
      <c r="I56" s="390"/>
      <c r="J56" s="390"/>
      <c r="K56" s="390"/>
      <c r="L56" s="390"/>
      <c r="M56" s="390"/>
      <c r="N56" s="390"/>
      <c r="O56" s="390"/>
      <c r="P56" s="390"/>
      <c r="Q56" s="390"/>
      <c r="R56" s="390"/>
      <c r="S56" s="387"/>
      <c r="T56" s="387"/>
      <c r="U56" s="387"/>
      <c r="V56" s="387"/>
      <c r="W56" s="387"/>
      <c r="X56" s="387"/>
      <c r="Y56" s="387"/>
      <c r="Z56" s="387"/>
      <c r="AA56" s="387"/>
      <c r="AB56" s="387"/>
      <c r="AC56" s="387"/>
      <c r="AD56" s="387"/>
      <c r="AE56" s="387"/>
      <c r="AF56" s="387"/>
      <c r="AG56" s="387"/>
      <c r="AH56" s="387"/>
      <c r="AI56" s="387"/>
      <c r="AJ56" s="387"/>
      <c r="AK56" s="387"/>
      <c r="AL56" s="387"/>
      <c r="AQ56" s="61"/>
    </row>
    <row r="57" spans="1:43" ht="14.4" x14ac:dyDescent="0.3">
      <c r="A57" s="343"/>
      <c r="B57" s="543" t="s">
        <v>801</v>
      </c>
      <c r="C57" s="389"/>
      <c r="D57" s="389"/>
      <c r="E57" s="389"/>
      <c r="F57" s="389"/>
      <c r="G57" s="389"/>
      <c r="H57" s="389"/>
      <c r="I57" s="389"/>
      <c r="J57" s="389"/>
      <c r="K57" s="389"/>
      <c r="L57" s="389"/>
      <c r="M57" s="389"/>
      <c r="N57" s="389"/>
      <c r="O57" s="389"/>
      <c r="P57" s="389"/>
      <c r="Q57" s="389"/>
      <c r="R57" s="389"/>
      <c r="S57" s="387"/>
      <c r="T57" s="387"/>
      <c r="U57" s="387"/>
      <c r="V57" s="387"/>
      <c r="W57" s="387"/>
      <c r="X57" s="387"/>
      <c r="Y57" s="387"/>
      <c r="Z57" s="387"/>
      <c r="AA57" s="387"/>
      <c r="AB57" s="387"/>
      <c r="AC57" s="387"/>
      <c r="AD57" s="387"/>
      <c r="AE57" s="387"/>
      <c r="AF57" s="387"/>
      <c r="AG57" s="387"/>
      <c r="AH57" s="387"/>
      <c r="AI57" s="387"/>
      <c r="AJ57" s="387"/>
      <c r="AK57" s="387"/>
      <c r="AL57" s="387"/>
      <c r="AQ57" s="61"/>
    </row>
    <row r="58" spans="1:43" ht="14.4" x14ac:dyDescent="0.3">
      <c r="A58" s="150" t="s">
        <v>69</v>
      </c>
      <c r="B58" s="328" t="s">
        <v>70</v>
      </c>
      <c r="C58" s="328"/>
      <c r="D58" s="328"/>
      <c r="E58" s="328"/>
      <c r="F58" s="328"/>
      <c r="G58" s="328"/>
      <c r="H58" s="328"/>
      <c r="I58" s="328"/>
      <c r="J58" s="328"/>
      <c r="K58" s="328"/>
      <c r="L58" s="328"/>
      <c r="M58" s="328"/>
      <c r="N58" s="328"/>
      <c r="O58" s="328"/>
      <c r="P58" s="328"/>
      <c r="Q58" s="328"/>
      <c r="R58" s="328"/>
      <c r="S58" s="328"/>
      <c r="T58" s="328"/>
      <c r="U58" s="328"/>
      <c r="V58" s="328"/>
      <c r="W58" s="328"/>
      <c r="X58" s="328"/>
      <c r="Y58" s="328"/>
      <c r="Z58" s="328"/>
      <c r="AA58" s="328"/>
      <c r="AB58" s="328"/>
      <c r="AC58" s="328"/>
      <c r="AD58" s="328"/>
      <c r="AE58" s="328"/>
      <c r="AF58" s="328"/>
      <c r="AG58" s="328"/>
      <c r="AH58" s="328"/>
      <c r="AI58" s="328"/>
      <c r="AJ58" s="328"/>
      <c r="AK58" s="328"/>
      <c r="AL58" s="328"/>
      <c r="AM58" s="76"/>
    </row>
    <row r="59" spans="1:43" ht="100.2" customHeight="1" x14ac:dyDescent="0.25">
      <c r="A59" s="508" t="s">
        <v>1083</v>
      </c>
      <c r="B59" s="508"/>
      <c r="C59" s="508"/>
      <c r="D59" s="508"/>
      <c r="E59" s="508"/>
      <c r="F59" s="508"/>
      <c r="G59" s="508"/>
      <c r="H59" s="508"/>
      <c r="I59" s="508"/>
      <c r="J59" s="508"/>
      <c r="K59" s="508"/>
      <c r="L59" s="508"/>
      <c r="M59" s="508"/>
      <c r="N59" s="508"/>
      <c r="O59" s="508"/>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08"/>
    </row>
    <row r="60" spans="1:43" ht="102" customHeight="1" x14ac:dyDescent="0.25">
      <c r="A60" s="545"/>
      <c r="B60" s="545"/>
      <c r="C60" s="545"/>
      <c r="D60" s="545"/>
      <c r="E60" s="545"/>
      <c r="F60" s="545"/>
      <c r="G60" s="545"/>
      <c r="H60" s="545"/>
      <c r="I60" s="545"/>
      <c r="J60" s="545"/>
      <c r="K60" s="545"/>
      <c r="L60" s="545"/>
      <c r="M60" s="545"/>
      <c r="N60" s="545"/>
      <c r="O60" s="545"/>
      <c r="P60" s="545"/>
      <c r="Q60" s="545"/>
      <c r="R60" s="545"/>
      <c r="S60" s="545"/>
      <c r="T60" s="545"/>
      <c r="U60" s="545"/>
      <c r="V60" s="545"/>
      <c r="W60" s="545"/>
      <c r="X60" s="545"/>
      <c r="Y60" s="545"/>
      <c r="Z60" s="545"/>
      <c r="AA60" s="545"/>
      <c r="AB60" s="545"/>
      <c r="AC60" s="545"/>
      <c r="AD60" s="545"/>
      <c r="AE60" s="545"/>
      <c r="AF60" s="545"/>
      <c r="AG60" s="545"/>
      <c r="AH60" s="545"/>
      <c r="AI60" s="545"/>
      <c r="AJ60" s="545"/>
      <c r="AK60" s="545"/>
      <c r="AL60" s="545"/>
    </row>
    <row r="61" spans="1:43" s="64" customFormat="1" ht="14.4" x14ac:dyDescent="0.3">
      <c r="A61" s="150" t="s">
        <v>90</v>
      </c>
      <c r="B61" s="328" t="s">
        <v>674</v>
      </c>
      <c r="C61" s="328"/>
      <c r="D61" s="328"/>
      <c r="E61" s="328"/>
      <c r="F61" s="328"/>
      <c r="G61" s="328"/>
      <c r="H61" s="328"/>
      <c r="I61" s="328"/>
      <c r="J61" s="328"/>
      <c r="K61" s="328"/>
      <c r="L61" s="328"/>
      <c r="M61" s="328"/>
      <c r="N61" s="328"/>
      <c r="O61" s="328"/>
      <c r="P61" s="328"/>
      <c r="Q61" s="328"/>
      <c r="R61" s="328"/>
      <c r="S61" s="328"/>
      <c r="T61" s="328"/>
      <c r="U61" s="328"/>
      <c r="V61" s="328"/>
      <c r="W61" s="328"/>
      <c r="X61" s="328"/>
      <c r="Y61" s="328"/>
      <c r="Z61" s="328"/>
      <c r="AA61" s="328"/>
      <c r="AB61" s="328"/>
      <c r="AC61" s="328"/>
      <c r="AD61" s="328"/>
      <c r="AE61" s="328"/>
      <c r="AF61" s="328"/>
      <c r="AG61" s="328"/>
      <c r="AH61" s="328"/>
      <c r="AI61" s="328"/>
      <c r="AJ61" s="328"/>
      <c r="AK61" s="328"/>
      <c r="AL61" s="328"/>
      <c r="AM61" s="78"/>
      <c r="AN61" s="65"/>
      <c r="AO61" s="65"/>
    </row>
    <row r="62" spans="1:43" ht="46.2" customHeight="1" x14ac:dyDescent="0.25">
      <c r="A62" s="508" t="s">
        <v>1025</v>
      </c>
      <c r="B62" s="508"/>
      <c r="C62" s="508"/>
      <c r="D62" s="508"/>
      <c r="E62" s="508"/>
      <c r="F62" s="508"/>
      <c r="G62" s="508"/>
      <c r="H62" s="508"/>
      <c r="I62" s="508"/>
      <c r="J62" s="508"/>
      <c r="K62" s="508"/>
      <c r="L62" s="508"/>
      <c r="M62" s="508"/>
      <c r="N62" s="508"/>
      <c r="O62" s="508"/>
      <c r="P62" s="508"/>
      <c r="Q62" s="508"/>
      <c r="R62" s="508"/>
      <c r="S62" s="508"/>
      <c r="T62" s="508"/>
      <c r="U62" s="508"/>
      <c r="V62" s="508"/>
      <c r="W62" s="508"/>
      <c r="X62" s="508"/>
      <c r="Y62" s="508"/>
      <c r="Z62" s="508"/>
      <c r="AA62" s="508"/>
      <c r="AB62" s="508"/>
      <c r="AC62" s="508"/>
      <c r="AD62" s="508"/>
      <c r="AE62" s="508"/>
      <c r="AF62" s="508"/>
      <c r="AG62" s="508"/>
      <c r="AH62" s="508"/>
      <c r="AI62" s="508"/>
      <c r="AJ62" s="508"/>
      <c r="AK62" s="508"/>
      <c r="AL62" s="508"/>
      <c r="AM62" s="290" t="s">
        <v>993</v>
      </c>
    </row>
    <row r="63" spans="1:43" ht="15" customHeight="1" x14ac:dyDescent="0.25">
      <c r="A63" s="509">
        <f>SUM(A65+T65)</f>
        <v>0</v>
      </c>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c r="AA63" s="510"/>
      <c r="AB63" s="510"/>
      <c r="AC63" s="510"/>
      <c r="AD63" s="510"/>
      <c r="AE63" s="510"/>
      <c r="AF63" s="510"/>
      <c r="AG63" s="510"/>
      <c r="AH63" s="510"/>
      <c r="AI63" s="510"/>
      <c r="AJ63" s="510"/>
      <c r="AK63" s="510"/>
      <c r="AL63" s="511"/>
      <c r="AM63" s="290"/>
    </row>
    <row r="64" spans="1:43" ht="14.7" customHeight="1" x14ac:dyDescent="0.25">
      <c r="A64" s="446" t="s">
        <v>240</v>
      </c>
      <c r="B64" s="447"/>
      <c r="C64" s="447"/>
      <c r="D64" s="447"/>
      <c r="E64" s="447"/>
      <c r="F64" s="447"/>
      <c r="G64" s="447"/>
      <c r="H64" s="447"/>
      <c r="I64" s="447"/>
      <c r="J64" s="447"/>
      <c r="K64" s="447"/>
      <c r="L64" s="447"/>
      <c r="M64" s="447"/>
      <c r="N64" s="447"/>
      <c r="O64" s="447"/>
      <c r="P64" s="447"/>
      <c r="Q64" s="447"/>
      <c r="R64" s="447"/>
      <c r="S64" s="448"/>
      <c r="T64" s="446" t="s">
        <v>241</v>
      </c>
      <c r="U64" s="447"/>
      <c r="V64" s="447"/>
      <c r="W64" s="447"/>
      <c r="X64" s="447"/>
      <c r="Y64" s="447"/>
      <c r="Z64" s="447"/>
      <c r="AA64" s="447"/>
      <c r="AB64" s="447"/>
      <c r="AC64" s="447"/>
      <c r="AD64" s="447"/>
      <c r="AE64" s="447"/>
      <c r="AF64" s="447"/>
      <c r="AG64" s="447"/>
      <c r="AH64" s="447"/>
      <c r="AI64" s="447"/>
      <c r="AJ64" s="447"/>
      <c r="AK64" s="447"/>
      <c r="AL64" s="447"/>
      <c r="AM64" s="290"/>
    </row>
    <row r="65" spans="1:48" ht="14.7" customHeight="1" x14ac:dyDescent="0.25">
      <c r="A65" s="416"/>
      <c r="B65" s="416"/>
      <c r="C65" s="416"/>
      <c r="D65" s="416"/>
      <c r="E65" s="416"/>
      <c r="F65" s="416"/>
      <c r="G65" s="416"/>
      <c r="H65" s="416"/>
      <c r="I65" s="416"/>
      <c r="J65" s="416"/>
      <c r="K65" s="416"/>
      <c r="L65" s="416"/>
      <c r="M65" s="416"/>
      <c r="N65" s="416"/>
      <c r="O65" s="416"/>
      <c r="P65" s="416"/>
      <c r="Q65" s="416"/>
      <c r="R65" s="416"/>
      <c r="S65" s="416"/>
      <c r="T65" s="416"/>
      <c r="U65" s="416"/>
      <c r="V65" s="416"/>
      <c r="W65" s="416"/>
      <c r="X65" s="416"/>
      <c r="Y65" s="416"/>
      <c r="Z65" s="416"/>
      <c r="AA65" s="416"/>
      <c r="AB65" s="416"/>
      <c r="AC65" s="416"/>
      <c r="AD65" s="416"/>
      <c r="AE65" s="416"/>
      <c r="AF65" s="416"/>
      <c r="AG65" s="416"/>
      <c r="AH65" s="416"/>
      <c r="AI65" s="416"/>
      <c r="AJ65" s="416"/>
      <c r="AK65" s="416"/>
      <c r="AL65" s="416"/>
      <c r="AM65" s="290"/>
    </row>
    <row r="66" spans="1:48" ht="14.4" x14ac:dyDescent="0.25">
      <c r="A66" s="525" t="s">
        <v>898</v>
      </c>
      <c r="B66" s="441"/>
      <c r="C66" s="441"/>
      <c r="D66" s="441"/>
      <c r="E66" s="441"/>
      <c r="F66" s="441"/>
      <c r="G66" s="441"/>
      <c r="H66" s="441"/>
      <c r="I66" s="441"/>
      <c r="J66" s="441"/>
      <c r="K66" s="441"/>
      <c r="L66" s="441"/>
      <c r="M66" s="441"/>
      <c r="N66" s="441"/>
      <c r="O66" s="441"/>
      <c r="P66" s="441"/>
      <c r="Q66" s="441"/>
      <c r="R66" s="441"/>
      <c r="S66" s="442"/>
      <c r="T66" s="361" t="s">
        <v>897</v>
      </c>
      <c r="U66" s="362"/>
      <c r="V66" s="362"/>
      <c r="W66" s="362"/>
      <c r="X66" s="362"/>
      <c r="Y66" s="362"/>
      <c r="Z66" s="362"/>
      <c r="AA66" s="362"/>
      <c r="AB66" s="362"/>
      <c r="AC66" s="362"/>
      <c r="AD66" s="362"/>
      <c r="AE66" s="362"/>
      <c r="AF66" s="362"/>
      <c r="AG66" s="362"/>
      <c r="AH66" s="362"/>
      <c r="AI66" s="362"/>
      <c r="AJ66" s="362"/>
      <c r="AK66" s="362"/>
      <c r="AL66" s="363"/>
      <c r="AM66" s="290"/>
    </row>
    <row r="67" spans="1:48" ht="14.4" x14ac:dyDescent="0.3">
      <c r="A67" s="410"/>
      <c r="B67" s="411"/>
      <c r="C67" s="411"/>
      <c r="D67" s="411"/>
      <c r="E67" s="411"/>
      <c r="F67" s="411"/>
      <c r="G67" s="411"/>
      <c r="H67" s="411"/>
      <c r="I67" s="411"/>
      <c r="J67" s="411"/>
      <c r="K67" s="411"/>
      <c r="L67" s="411"/>
      <c r="M67" s="411"/>
      <c r="N67" s="411"/>
      <c r="O67" s="411"/>
      <c r="P67" s="411"/>
      <c r="Q67" s="411"/>
      <c r="R67" s="411"/>
      <c r="S67" s="412"/>
      <c r="T67" s="410"/>
      <c r="U67" s="411"/>
      <c r="V67" s="411"/>
      <c r="W67" s="411"/>
      <c r="X67" s="411"/>
      <c r="Y67" s="411"/>
      <c r="Z67" s="411"/>
      <c r="AA67" s="411"/>
      <c r="AB67" s="411"/>
      <c r="AC67" s="411"/>
      <c r="AD67" s="411"/>
      <c r="AE67" s="411"/>
      <c r="AF67" s="411"/>
      <c r="AG67" s="411"/>
      <c r="AH67" s="411"/>
      <c r="AI67" s="411"/>
      <c r="AJ67" s="411"/>
      <c r="AK67" s="411"/>
      <c r="AL67" s="412"/>
      <c r="AM67" s="290"/>
    </row>
    <row r="68" spans="1:48" ht="28.95" customHeight="1" x14ac:dyDescent="0.25">
      <c r="A68" s="439" t="s">
        <v>995</v>
      </c>
      <c r="B68" s="439"/>
      <c r="C68" s="439"/>
      <c r="D68" s="439"/>
      <c r="E68" s="439"/>
      <c r="F68" s="439"/>
      <c r="G68" s="439"/>
      <c r="H68" s="439"/>
      <c r="I68" s="439"/>
      <c r="J68" s="439"/>
      <c r="K68" s="439"/>
      <c r="L68" s="439"/>
      <c r="M68" s="439"/>
      <c r="N68" s="439"/>
      <c r="O68" s="439"/>
      <c r="P68" s="439"/>
      <c r="Q68" s="439"/>
      <c r="R68" s="439"/>
      <c r="S68" s="439"/>
      <c r="T68" s="439"/>
      <c r="U68" s="439"/>
      <c r="V68" s="439"/>
      <c r="W68" s="439"/>
      <c r="X68" s="439"/>
      <c r="Y68" s="439"/>
      <c r="Z68" s="439"/>
      <c r="AA68" s="439"/>
      <c r="AB68" s="439"/>
      <c r="AC68" s="439"/>
      <c r="AD68" s="439"/>
      <c r="AE68" s="439"/>
      <c r="AF68" s="439"/>
      <c r="AG68" s="439"/>
      <c r="AH68" s="439"/>
      <c r="AI68" s="439"/>
      <c r="AJ68" s="439"/>
      <c r="AK68" s="439"/>
      <c r="AL68" s="439"/>
      <c r="AM68" s="290" t="s">
        <v>996</v>
      </c>
    </row>
    <row r="69" spans="1:48" ht="14.4" x14ac:dyDescent="0.3">
      <c r="A69" s="418">
        <f>A63+A67+T67</f>
        <v>0</v>
      </c>
      <c r="B69" s="418"/>
      <c r="C69" s="418"/>
      <c r="D69" s="418"/>
      <c r="E69" s="418"/>
      <c r="F69" s="418"/>
      <c r="G69" s="418"/>
      <c r="H69" s="418"/>
      <c r="I69" s="418"/>
      <c r="J69" s="418"/>
      <c r="K69" s="418"/>
      <c r="L69" s="418"/>
      <c r="M69" s="418"/>
      <c r="N69" s="418"/>
      <c r="O69" s="418"/>
      <c r="P69" s="418"/>
      <c r="Q69" s="418"/>
      <c r="R69" s="418"/>
      <c r="S69" s="418"/>
      <c r="T69" s="418"/>
      <c r="U69" s="418"/>
      <c r="V69" s="418"/>
      <c r="W69" s="418"/>
      <c r="X69" s="418"/>
      <c r="Y69" s="418"/>
      <c r="Z69" s="418"/>
      <c r="AA69" s="418"/>
      <c r="AB69" s="418"/>
      <c r="AC69" s="418"/>
      <c r="AD69" s="418"/>
      <c r="AE69" s="418"/>
      <c r="AF69" s="418"/>
      <c r="AG69" s="418"/>
      <c r="AH69" s="418"/>
      <c r="AI69" s="418"/>
      <c r="AJ69" s="418"/>
      <c r="AK69" s="418"/>
      <c r="AL69" s="418"/>
      <c r="AM69" s="290"/>
    </row>
    <row r="70" spans="1:48" ht="14.4" x14ac:dyDescent="0.25">
      <c r="A70" s="351" t="s">
        <v>658</v>
      </c>
      <c r="B70" s="351"/>
      <c r="C70" s="351"/>
      <c r="D70" s="351"/>
      <c r="E70" s="351"/>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c r="AH70" s="351"/>
      <c r="AI70" s="351"/>
      <c r="AJ70" s="351"/>
      <c r="AK70" s="351"/>
      <c r="AL70" s="351"/>
    </row>
    <row r="71" spans="1:48" ht="14.4" x14ac:dyDescent="0.25">
      <c r="A71" s="355"/>
      <c r="B71" s="355"/>
      <c r="C71" s="355"/>
      <c r="D71" s="355"/>
      <c r="E71" s="355"/>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row>
    <row r="72" spans="1:48" ht="14.4" x14ac:dyDescent="0.25">
      <c r="A72" s="351" t="s">
        <v>659</v>
      </c>
      <c r="B72" s="351"/>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c r="AH72" s="351"/>
      <c r="AI72" s="351"/>
      <c r="AJ72" s="351"/>
      <c r="AK72" s="351"/>
      <c r="AL72" s="351"/>
    </row>
    <row r="73" spans="1:48" ht="14.4" x14ac:dyDescent="0.25">
      <c r="A73" s="355"/>
      <c r="B73" s="355"/>
      <c r="C73" s="355"/>
      <c r="D73" s="355"/>
      <c r="E73" s="355"/>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c r="AL73" s="355"/>
    </row>
    <row r="74" spans="1:48" ht="15" customHeight="1" x14ac:dyDescent="0.25">
      <c r="A74" s="149" t="s">
        <v>91</v>
      </c>
      <c r="B74" s="351" t="s">
        <v>97</v>
      </c>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c r="AH74" s="351"/>
      <c r="AI74" s="351"/>
      <c r="AJ74" s="351"/>
      <c r="AK74" s="351"/>
      <c r="AL74" s="351"/>
      <c r="AM74" s="335"/>
      <c r="AN74" s="335"/>
      <c r="AO74" s="335"/>
      <c r="AP74" s="335"/>
      <c r="AQ74" s="335"/>
      <c r="AR74" s="335"/>
      <c r="AS74" s="335"/>
      <c r="AT74" s="335"/>
      <c r="AU74" s="335"/>
    </row>
    <row r="75" spans="1:48" ht="45" customHeight="1" x14ac:dyDescent="0.25">
      <c r="A75" s="354" t="s">
        <v>909</v>
      </c>
      <c r="B75" s="354"/>
      <c r="C75" s="354"/>
      <c r="D75" s="354"/>
      <c r="E75" s="354"/>
      <c r="F75" s="354"/>
      <c r="G75" s="354"/>
      <c r="H75" s="354"/>
      <c r="I75" s="354"/>
      <c r="J75" s="354"/>
      <c r="K75" s="354"/>
      <c r="L75" s="354"/>
      <c r="M75" s="354"/>
      <c r="N75" s="354"/>
      <c r="O75" s="354"/>
      <c r="P75" s="354"/>
      <c r="Q75" s="354"/>
      <c r="R75" s="354"/>
      <c r="S75" s="354"/>
      <c r="T75" s="354"/>
      <c r="U75" s="354"/>
      <c r="V75" s="354"/>
      <c r="W75" s="354"/>
      <c r="X75" s="354"/>
      <c r="Y75" s="354"/>
      <c r="Z75" s="354"/>
      <c r="AA75" s="354"/>
      <c r="AB75" s="354"/>
      <c r="AC75" s="354"/>
      <c r="AD75" s="354"/>
      <c r="AE75" s="354"/>
      <c r="AF75" s="354"/>
      <c r="AG75" s="354"/>
      <c r="AH75" s="354"/>
      <c r="AI75" s="354"/>
      <c r="AJ75" s="354"/>
      <c r="AK75" s="354"/>
      <c r="AL75" s="354"/>
      <c r="AM75" s="335"/>
      <c r="AN75" s="335"/>
      <c r="AO75" s="335"/>
      <c r="AP75" s="335"/>
      <c r="AQ75" s="335"/>
      <c r="AR75" s="335"/>
      <c r="AS75" s="335"/>
      <c r="AT75" s="335"/>
      <c r="AU75" s="335"/>
    </row>
    <row r="76" spans="1:48" ht="14.4" x14ac:dyDescent="0.25">
      <c r="A76" s="328" t="s">
        <v>732</v>
      </c>
      <c r="B76" s="328"/>
      <c r="C76" s="328"/>
      <c r="D76" s="328"/>
      <c r="E76" s="328"/>
      <c r="F76" s="328"/>
      <c r="G76" s="328"/>
      <c r="H76" s="328"/>
      <c r="I76" s="328"/>
      <c r="J76" s="328"/>
      <c r="K76" s="328"/>
      <c r="L76" s="328"/>
      <c r="M76" s="328"/>
      <c r="N76" s="328"/>
      <c r="O76" s="328"/>
      <c r="P76" s="328"/>
      <c r="Q76" s="328"/>
      <c r="R76" s="328"/>
      <c r="S76" s="328"/>
      <c r="T76" s="328"/>
      <c r="U76" s="328"/>
      <c r="V76" s="328"/>
      <c r="W76" s="328"/>
      <c r="X76" s="328"/>
      <c r="Y76" s="328"/>
      <c r="Z76" s="328"/>
      <c r="AA76" s="328"/>
      <c r="AB76" s="328"/>
      <c r="AC76" s="328"/>
      <c r="AD76" s="328"/>
      <c r="AE76" s="328"/>
      <c r="AF76" s="328"/>
      <c r="AG76" s="328"/>
      <c r="AH76" s="328"/>
      <c r="AI76" s="328"/>
      <c r="AJ76" s="328"/>
      <c r="AK76" s="328"/>
      <c r="AL76" s="328"/>
    </row>
    <row r="77" spans="1:48" ht="14.4" x14ac:dyDescent="0.25">
      <c r="A77" s="355"/>
      <c r="B77" s="355"/>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AG77" s="355"/>
      <c r="AH77" s="355"/>
      <c r="AI77" s="355"/>
      <c r="AJ77" s="355"/>
      <c r="AK77" s="355"/>
      <c r="AL77" s="355"/>
      <c r="AM77" s="77" t="s">
        <v>137</v>
      </c>
    </row>
    <row r="78" spans="1:48" ht="52.5" customHeight="1" x14ac:dyDescent="0.25">
      <c r="A78" s="332" t="s">
        <v>913</v>
      </c>
      <c r="B78" s="332"/>
      <c r="C78" s="332"/>
      <c r="D78" s="332"/>
      <c r="E78" s="332"/>
      <c r="F78" s="332"/>
      <c r="G78" s="332"/>
      <c r="H78" s="332"/>
      <c r="I78" s="332"/>
      <c r="J78" s="332"/>
      <c r="K78" s="332"/>
      <c r="L78" s="332"/>
      <c r="M78" s="332"/>
      <c r="N78" s="332"/>
      <c r="O78" s="332"/>
      <c r="P78" s="332"/>
      <c r="Q78" s="332"/>
      <c r="R78" s="332"/>
      <c r="S78" s="332"/>
      <c r="T78" s="332"/>
      <c r="U78" s="332"/>
      <c r="V78" s="332"/>
      <c r="W78" s="332"/>
      <c r="X78" s="332"/>
      <c r="Y78" s="332"/>
      <c r="Z78" s="332"/>
      <c r="AA78" s="332"/>
      <c r="AB78" s="332"/>
      <c r="AC78" s="332"/>
      <c r="AD78" s="332"/>
      <c r="AE78" s="332"/>
      <c r="AF78" s="332"/>
      <c r="AG78" s="332"/>
      <c r="AH78" s="332"/>
      <c r="AI78" s="332"/>
      <c r="AJ78" s="332"/>
      <c r="AK78" s="332"/>
      <c r="AL78" s="332"/>
      <c r="AM78" s="335" t="s">
        <v>914</v>
      </c>
      <c r="AN78" s="335"/>
      <c r="AO78" s="335"/>
      <c r="AP78" s="335"/>
      <c r="AQ78" s="335"/>
      <c r="AR78" s="335"/>
      <c r="AS78" s="335"/>
      <c r="AT78" s="335"/>
    </row>
    <row r="79" spans="1:48" ht="14.4" x14ac:dyDescent="0.25">
      <c r="A79" s="336"/>
      <c r="B79" s="336"/>
      <c r="C79" s="336"/>
      <c r="D79" s="336"/>
      <c r="E79" s="336"/>
      <c r="F79" s="336"/>
      <c r="G79" s="336"/>
      <c r="H79" s="336"/>
      <c r="I79" s="336"/>
      <c r="J79" s="336"/>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6"/>
      <c r="AI79" s="336"/>
      <c r="AJ79" s="336"/>
      <c r="AK79" s="336"/>
      <c r="AL79" s="336"/>
    </row>
    <row r="80" spans="1:48" ht="29.7" customHeight="1" x14ac:dyDescent="0.25">
      <c r="A80" s="332" t="s">
        <v>733</v>
      </c>
      <c r="B80" s="332"/>
      <c r="C80" s="332"/>
      <c r="D80" s="332"/>
      <c r="E80" s="332"/>
      <c r="F80" s="332"/>
      <c r="G80" s="332"/>
      <c r="H80" s="332"/>
      <c r="I80" s="332"/>
      <c r="J80" s="332"/>
      <c r="K80" s="332"/>
      <c r="L80" s="332"/>
      <c r="M80" s="332"/>
      <c r="N80" s="332"/>
      <c r="O80" s="332"/>
      <c r="P80" s="332"/>
      <c r="Q80" s="332"/>
      <c r="R80" s="332"/>
      <c r="S80" s="332"/>
      <c r="T80" s="332"/>
      <c r="U80" s="332"/>
      <c r="V80" s="332"/>
      <c r="W80" s="332"/>
      <c r="X80" s="332"/>
      <c r="Y80" s="332"/>
      <c r="Z80" s="332"/>
      <c r="AA80" s="332"/>
      <c r="AB80" s="332"/>
      <c r="AC80" s="332"/>
      <c r="AD80" s="332"/>
      <c r="AE80" s="332"/>
      <c r="AF80" s="332"/>
      <c r="AG80" s="332"/>
      <c r="AH80" s="332"/>
      <c r="AI80" s="332"/>
      <c r="AJ80" s="332"/>
      <c r="AK80" s="332"/>
      <c r="AL80" s="332"/>
      <c r="AM80" s="335" t="s">
        <v>914</v>
      </c>
      <c r="AN80" s="335"/>
      <c r="AO80" s="335"/>
      <c r="AP80" s="335"/>
      <c r="AQ80" s="335"/>
      <c r="AR80" s="335"/>
      <c r="AS80" s="335"/>
      <c r="AT80" s="335"/>
      <c r="AU80" s="335"/>
      <c r="AV80" s="335"/>
    </row>
    <row r="81" spans="1:52" ht="12.45" customHeight="1" x14ac:dyDescent="0.25">
      <c r="A81" s="336"/>
      <c r="B81" s="336"/>
      <c r="C81" s="336"/>
      <c r="D81" s="336"/>
      <c r="E81" s="336"/>
      <c r="F81" s="336"/>
      <c r="G81" s="336"/>
      <c r="H81" s="336"/>
      <c r="I81" s="336"/>
      <c r="J81" s="336"/>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6"/>
      <c r="AI81" s="336"/>
      <c r="AJ81" s="336"/>
      <c r="AK81" s="336"/>
      <c r="AL81" s="336"/>
      <c r="AP81" s="61"/>
      <c r="AQ81" s="61"/>
      <c r="AR81" s="61"/>
      <c r="AS81" s="61"/>
      <c r="AT81" s="61"/>
      <c r="AU81" s="61"/>
      <c r="AV81" s="61"/>
    </row>
    <row r="82" spans="1:52" ht="33" customHeight="1" x14ac:dyDescent="0.25">
      <c r="A82" s="308" t="s">
        <v>734</v>
      </c>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c r="AH82" s="308"/>
      <c r="AI82" s="308"/>
      <c r="AJ82" s="308"/>
      <c r="AK82" s="308"/>
      <c r="AL82" s="308"/>
      <c r="AP82" s="61"/>
      <c r="AQ82" s="61"/>
      <c r="AR82" s="61"/>
      <c r="AS82" s="61"/>
      <c r="AT82" s="61"/>
      <c r="AU82" s="61"/>
      <c r="AV82" s="61"/>
    </row>
    <row r="83" spans="1:52" ht="14.7" customHeight="1" x14ac:dyDescent="0.25">
      <c r="A83" s="336"/>
      <c r="B83" s="336"/>
      <c r="C83" s="336"/>
      <c r="D83" s="336"/>
      <c r="E83" s="336"/>
      <c r="F83" s="336"/>
      <c r="G83" s="336"/>
      <c r="H83" s="336"/>
      <c r="I83" s="336"/>
      <c r="J83" s="33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6"/>
      <c r="AI83" s="336"/>
      <c r="AJ83" s="336"/>
      <c r="AK83" s="336"/>
      <c r="AL83" s="336"/>
      <c r="AM83" s="335" t="s">
        <v>914</v>
      </c>
      <c r="AN83" s="335"/>
      <c r="AO83" s="335"/>
      <c r="AP83" s="335"/>
      <c r="AQ83" s="335"/>
      <c r="AR83" s="335"/>
      <c r="AS83" s="335"/>
      <c r="AT83" s="335"/>
      <c r="AU83" s="335"/>
      <c r="AV83" s="335"/>
    </row>
    <row r="84" spans="1:52" ht="14.4" x14ac:dyDescent="0.25">
      <c r="A84" s="328" t="s">
        <v>687</v>
      </c>
      <c r="B84" s="328"/>
      <c r="C84" s="328"/>
      <c r="D84" s="328"/>
      <c r="E84" s="328"/>
      <c r="F84" s="328"/>
      <c r="G84" s="328"/>
      <c r="H84" s="328"/>
      <c r="I84" s="328"/>
      <c r="J84" s="328"/>
      <c r="K84" s="328"/>
      <c r="L84" s="328"/>
      <c r="M84" s="328"/>
      <c r="N84" s="328"/>
      <c r="O84" s="328"/>
      <c r="P84" s="328"/>
      <c r="Q84" s="328"/>
      <c r="R84" s="328"/>
      <c r="S84" s="328"/>
      <c r="T84" s="328"/>
      <c r="U84" s="328"/>
      <c r="V84" s="328"/>
      <c r="W84" s="328"/>
      <c r="X84" s="328"/>
      <c r="Y84" s="328"/>
      <c r="Z84" s="328"/>
      <c r="AA84" s="328"/>
      <c r="AB84" s="328"/>
      <c r="AC84" s="328"/>
      <c r="AD84" s="328"/>
      <c r="AE84" s="328"/>
      <c r="AF84" s="328"/>
      <c r="AG84" s="328"/>
      <c r="AH84" s="328"/>
      <c r="AI84" s="328"/>
      <c r="AJ84" s="328"/>
      <c r="AK84" s="328"/>
      <c r="AL84" s="328"/>
      <c r="AM84" s="79"/>
      <c r="AN84" s="66"/>
      <c r="AO84" s="66"/>
      <c r="AP84" s="66"/>
      <c r="AQ84" s="66"/>
      <c r="AR84" s="66"/>
      <c r="AS84" s="66"/>
      <c r="AT84" s="66"/>
      <c r="AU84" s="66"/>
      <c r="AV84" s="66"/>
      <c r="AW84" s="66"/>
      <c r="AX84" s="66"/>
      <c r="AY84" s="66"/>
      <c r="AZ84" s="66"/>
    </row>
    <row r="85" spans="1:52" ht="31.5" customHeight="1" x14ac:dyDescent="0.25">
      <c r="A85" s="391" t="s">
        <v>735</v>
      </c>
      <c r="B85" s="391"/>
      <c r="C85" s="391"/>
      <c r="D85" s="391"/>
      <c r="E85" s="391"/>
      <c r="F85" s="391"/>
      <c r="G85" s="391"/>
      <c r="H85" s="391"/>
      <c r="I85" s="391"/>
      <c r="J85" s="391"/>
      <c r="K85" s="391"/>
      <c r="L85" s="391"/>
      <c r="M85" s="391"/>
      <c r="N85" s="391"/>
      <c r="O85" s="391"/>
      <c r="P85" s="391"/>
      <c r="Q85" s="391"/>
      <c r="R85" s="391"/>
      <c r="S85" s="391"/>
      <c r="T85" s="391"/>
      <c r="U85" s="391"/>
      <c r="V85" s="391"/>
      <c r="W85" s="391"/>
      <c r="X85" s="391"/>
      <c r="Y85" s="391"/>
      <c r="Z85" s="391"/>
      <c r="AA85" s="391"/>
      <c r="AB85" s="391"/>
      <c r="AC85" s="391"/>
      <c r="AD85" s="391"/>
      <c r="AE85" s="391"/>
      <c r="AF85" s="391"/>
      <c r="AG85" s="391"/>
      <c r="AH85" s="391"/>
      <c r="AI85" s="391"/>
      <c r="AJ85" s="391"/>
      <c r="AK85" s="391"/>
      <c r="AL85" s="391"/>
      <c r="AM85" s="76"/>
    </row>
    <row r="86" spans="1:52" ht="26.7" customHeight="1" x14ac:dyDescent="0.25">
      <c r="A86" s="392" t="s">
        <v>736</v>
      </c>
      <c r="B86" s="392"/>
      <c r="C86" s="392"/>
      <c r="D86" s="392"/>
      <c r="E86" s="392"/>
      <c r="F86" s="392"/>
      <c r="G86" s="392"/>
      <c r="H86" s="392"/>
      <c r="I86" s="392"/>
      <c r="J86" s="392"/>
      <c r="K86" s="392"/>
      <c r="L86" s="392"/>
      <c r="M86" s="392"/>
      <c r="N86" s="392"/>
      <c r="O86" s="392"/>
      <c r="P86" s="392"/>
      <c r="Q86" s="392"/>
      <c r="R86" s="392"/>
      <c r="S86" s="392"/>
      <c r="T86" s="392"/>
      <c r="U86" s="392"/>
      <c r="V86" s="392"/>
      <c r="W86" s="392"/>
      <c r="X86" s="392"/>
      <c r="Y86" s="392"/>
      <c r="Z86" s="392"/>
      <c r="AA86" s="392"/>
      <c r="AB86" s="392"/>
      <c r="AC86" s="392"/>
      <c r="AD86" s="392"/>
      <c r="AE86" s="392"/>
      <c r="AF86" s="392"/>
      <c r="AG86" s="392"/>
      <c r="AH86" s="392"/>
      <c r="AI86" s="392"/>
      <c r="AJ86" s="392"/>
      <c r="AK86" s="392"/>
      <c r="AL86" s="392"/>
      <c r="AM86" s="83"/>
    </row>
    <row r="87" spans="1:52" ht="53.7" customHeight="1" x14ac:dyDescent="0.25">
      <c r="A87" s="332" t="s">
        <v>878</v>
      </c>
      <c r="B87" s="332"/>
      <c r="C87" s="332"/>
      <c r="D87" s="332"/>
      <c r="E87" s="332"/>
      <c r="F87" s="332"/>
      <c r="G87" s="332"/>
      <c r="H87" s="332"/>
      <c r="I87" s="332"/>
      <c r="J87" s="332"/>
      <c r="K87" s="332"/>
      <c r="L87" s="332"/>
      <c r="M87" s="332"/>
      <c r="N87" s="332"/>
      <c r="O87" s="332"/>
      <c r="P87" s="332"/>
      <c r="Q87" s="332"/>
      <c r="R87" s="332"/>
      <c r="S87" s="332"/>
      <c r="T87" s="332"/>
      <c r="U87" s="332"/>
      <c r="V87" s="332"/>
      <c r="W87" s="332"/>
      <c r="X87" s="332"/>
      <c r="Y87" s="332"/>
      <c r="Z87" s="332"/>
      <c r="AA87" s="332"/>
      <c r="AB87" s="332"/>
      <c r="AC87" s="332"/>
      <c r="AD87" s="332"/>
      <c r="AE87" s="332"/>
      <c r="AF87" s="332"/>
      <c r="AG87" s="332"/>
      <c r="AH87" s="332"/>
      <c r="AI87" s="332"/>
      <c r="AJ87" s="332"/>
      <c r="AK87" s="332"/>
      <c r="AL87" s="332"/>
      <c r="AM87" s="76" t="s">
        <v>879</v>
      </c>
    </row>
    <row r="88" spans="1:52" ht="45" customHeight="1" x14ac:dyDescent="0.25">
      <c r="A88" s="333" t="s">
        <v>739</v>
      </c>
      <c r="B88" s="333"/>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80" t="str">
        <f>IF(A$88=Słowniki!P1,"Po wydrukowaniu należy przystawić imienną pieczęć i podpisać oświadczenie","")</f>
        <v/>
      </c>
    </row>
    <row r="89" spans="1:52" ht="39" customHeight="1" x14ac:dyDescent="0.25">
      <c r="A89" s="486" t="s">
        <v>847</v>
      </c>
      <c r="B89" s="487"/>
      <c r="C89" s="487"/>
      <c r="D89" s="487"/>
      <c r="E89" s="487"/>
      <c r="F89" s="487"/>
      <c r="G89" s="487"/>
      <c r="H89" s="487"/>
      <c r="I89" s="487"/>
      <c r="J89" s="487"/>
      <c r="K89" s="487"/>
      <c r="L89" s="487"/>
      <c r="M89" s="487"/>
      <c r="N89" s="487"/>
      <c r="O89" s="48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76"/>
    </row>
    <row r="90" spans="1:52" ht="41.7" customHeight="1" x14ac:dyDescent="0.25">
      <c r="A90" s="308" t="s">
        <v>1109</v>
      </c>
      <c r="B90" s="332"/>
      <c r="C90" s="332"/>
      <c r="D90" s="332"/>
      <c r="E90" s="332"/>
      <c r="F90" s="332"/>
      <c r="G90" s="332"/>
      <c r="H90" s="332"/>
      <c r="I90" s="332"/>
      <c r="J90" s="332"/>
      <c r="K90" s="332"/>
      <c r="L90" s="332"/>
      <c r="M90" s="332"/>
      <c r="N90" s="332"/>
      <c r="O90" s="332"/>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row>
    <row r="91" spans="1:52" ht="45" customHeight="1" x14ac:dyDescent="0.25">
      <c r="A91" s="333" t="s">
        <v>742</v>
      </c>
      <c r="B91" s="333"/>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80"/>
    </row>
    <row r="92" spans="1:52" ht="45" customHeight="1" x14ac:dyDescent="0.25">
      <c r="A92" s="404" t="s">
        <v>929</v>
      </c>
      <c r="B92" s="404"/>
      <c r="C92" s="404"/>
      <c r="D92" s="404"/>
      <c r="E92" s="404"/>
      <c r="F92" s="404"/>
      <c r="G92" s="404"/>
      <c r="H92" s="404"/>
      <c r="I92" s="404"/>
      <c r="J92" s="404"/>
      <c r="K92" s="404"/>
      <c r="L92" s="404"/>
      <c r="M92" s="404"/>
      <c r="N92" s="404"/>
      <c r="O92" s="404"/>
      <c r="P92" s="404"/>
      <c r="Q92" s="404"/>
      <c r="R92" s="404"/>
      <c r="S92" s="404"/>
      <c r="T92" s="404"/>
      <c r="U92" s="404"/>
      <c r="V92" s="404"/>
      <c r="W92" s="404"/>
      <c r="X92" s="404"/>
      <c r="Y92" s="404"/>
      <c r="Z92" s="404"/>
      <c r="AA92" s="404"/>
      <c r="AB92" s="404"/>
      <c r="AC92" s="404"/>
      <c r="AD92" s="404"/>
      <c r="AE92" s="404"/>
      <c r="AF92" s="404"/>
      <c r="AG92" s="404"/>
      <c r="AH92" s="404"/>
      <c r="AI92" s="404"/>
      <c r="AJ92" s="404"/>
      <c r="AK92" s="404"/>
      <c r="AL92" s="404"/>
      <c r="AM92" s="80"/>
    </row>
    <row r="93" spans="1:52" ht="157.94999999999999" customHeight="1" x14ac:dyDescent="0.3">
      <c r="A93" s="318" t="s">
        <v>1006</v>
      </c>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20"/>
      <c r="AJ93" s="321" t="e">
        <f>ROUNDDOWN(A79/(A79+A81),4)</f>
        <v>#DIV/0!</v>
      </c>
      <c r="AK93" s="322"/>
      <c r="AL93" s="322"/>
      <c r="AM93" s="80"/>
    </row>
    <row r="94" spans="1:52" ht="82.2" customHeight="1" x14ac:dyDescent="0.25">
      <c r="A94" s="314" t="s">
        <v>1031</v>
      </c>
      <c r="B94" s="315"/>
      <c r="C94" s="315"/>
      <c r="D94" s="315"/>
      <c r="E94" s="315"/>
      <c r="F94" s="315"/>
      <c r="G94" s="315"/>
      <c r="H94" s="315"/>
      <c r="I94" s="315"/>
      <c r="J94" s="315"/>
      <c r="K94" s="315"/>
      <c r="L94" s="315"/>
      <c r="M94" s="315"/>
      <c r="N94" s="315"/>
      <c r="O94" s="315"/>
      <c r="P94" s="315"/>
      <c r="Q94" s="315"/>
      <c r="R94" s="315"/>
      <c r="S94" s="315"/>
      <c r="T94" s="315"/>
      <c r="U94" s="315"/>
      <c r="V94" s="315"/>
      <c r="W94" s="315"/>
      <c r="X94" s="315"/>
      <c r="Y94" s="315"/>
      <c r="Z94" s="315"/>
      <c r="AA94" s="315"/>
      <c r="AB94" s="315"/>
      <c r="AC94" s="315"/>
      <c r="AD94" s="315"/>
      <c r="AE94" s="315"/>
      <c r="AF94" s="315"/>
      <c r="AG94" s="315"/>
      <c r="AH94" s="315"/>
      <c r="AI94" s="315"/>
      <c r="AJ94" s="315"/>
      <c r="AK94" s="315"/>
      <c r="AL94" s="315"/>
      <c r="AM94" s="80"/>
    </row>
    <row r="95" spans="1:52" ht="140.69999999999999" customHeight="1" x14ac:dyDescent="0.25">
      <c r="A95" s="316"/>
      <c r="B95" s="317"/>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c r="AA95" s="317"/>
      <c r="AB95" s="317"/>
      <c r="AC95" s="317"/>
      <c r="AD95" s="317"/>
      <c r="AE95" s="317"/>
      <c r="AF95" s="317"/>
      <c r="AG95" s="317"/>
      <c r="AH95" s="317"/>
      <c r="AI95" s="317"/>
      <c r="AJ95" s="317"/>
      <c r="AK95" s="317"/>
      <c r="AL95" s="317"/>
      <c r="AM95" s="80"/>
    </row>
    <row r="96" spans="1:52" ht="139.5" customHeight="1" x14ac:dyDescent="0.25">
      <c r="A96" s="308" t="s">
        <v>1110</v>
      </c>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c r="AD96" s="308"/>
      <c r="AE96" s="308"/>
      <c r="AF96" s="308"/>
      <c r="AG96" s="308"/>
      <c r="AH96" s="308"/>
      <c r="AI96" s="308"/>
      <c r="AJ96" s="308"/>
      <c r="AK96" s="308"/>
      <c r="AL96" s="308"/>
      <c r="AM96" s="76"/>
    </row>
    <row r="97" spans="1:40" ht="84.75" customHeight="1" x14ac:dyDescent="0.25">
      <c r="A97" s="135" t="s">
        <v>127</v>
      </c>
      <c r="B97" s="311" t="s">
        <v>812</v>
      </c>
      <c r="C97" s="312"/>
      <c r="D97" s="312"/>
      <c r="E97" s="312"/>
      <c r="F97" s="313"/>
      <c r="G97" s="325" t="s">
        <v>813</v>
      </c>
      <c r="H97" s="325"/>
      <c r="I97" s="325"/>
      <c r="J97" s="325"/>
      <c r="K97" s="325"/>
      <c r="L97" s="325" t="s">
        <v>185</v>
      </c>
      <c r="M97" s="325"/>
      <c r="N97" s="325"/>
      <c r="O97" s="325"/>
      <c r="P97" s="325" t="s">
        <v>184</v>
      </c>
      <c r="Q97" s="325"/>
      <c r="R97" s="325"/>
      <c r="S97" s="325"/>
      <c r="T97" s="325" t="s">
        <v>665</v>
      </c>
      <c r="U97" s="325"/>
      <c r="V97" s="325"/>
      <c r="W97" s="325"/>
      <c r="X97" s="325"/>
      <c r="Y97" s="325"/>
      <c r="Z97" s="325"/>
      <c r="AA97" s="325" t="s">
        <v>664</v>
      </c>
      <c r="AB97" s="325"/>
      <c r="AC97" s="325"/>
      <c r="AD97" s="325"/>
      <c r="AE97" s="325"/>
      <c r="AF97" s="325"/>
      <c r="AG97" s="325"/>
      <c r="AH97" s="325" t="s">
        <v>179</v>
      </c>
      <c r="AI97" s="325"/>
      <c r="AJ97" s="325"/>
      <c r="AK97" s="325" t="s">
        <v>186</v>
      </c>
      <c r="AL97" s="325"/>
      <c r="AM97" s="144" t="s">
        <v>221</v>
      </c>
    </row>
    <row r="98" spans="1:40" ht="14.1" customHeight="1" x14ac:dyDescent="0.25">
      <c r="A98" s="135">
        <v>1</v>
      </c>
      <c r="B98" s="311">
        <v>2</v>
      </c>
      <c r="C98" s="312"/>
      <c r="D98" s="312"/>
      <c r="E98" s="312"/>
      <c r="F98" s="312"/>
      <c r="G98" s="311">
        <v>3</v>
      </c>
      <c r="H98" s="312"/>
      <c r="I98" s="312"/>
      <c r="J98" s="312"/>
      <c r="K98" s="313"/>
      <c r="L98" s="311">
        <v>4</v>
      </c>
      <c r="M98" s="312"/>
      <c r="N98" s="312"/>
      <c r="O98" s="313"/>
      <c r="P98" s="311">
        <v>5</v>
      </c>
      <c r="Q98" s="312"/>
      <c r="R98" s="312"/>
      <c r="S98" s="313"/>
      <c r="T98" s="311">
        <v>6</v>
      </c>
      <c r="U98" s="312"/>
      <c r="V98" s="312"/>
      <c r="W98" s="312"/>
      <c r="X98" s="312"/>
      <c r="Y98" s="312"/>
      <c r="Z98" s="313"/>
      <c r="AA98" s="311" t="s">
        <v>821</v>
      </c>
      <c r="AB98" s="312"/>
      <c r="AC98" s="312"/>
      <c r="AD98" s="312"/>
      <c r="AE98" s="312"/>
      <c r="AF98" s="312"/>
      <c r="AG98" s="313"/>
      <c r="AH98" s="311">
        <v>8</v>
      </c>
      <c r="AI98" s="312"/>
      <c r="AJ98" s="313"/>
      <c r="AK98" s="311" t="s">
        <v>666</v>
      </c>
      <c r="AL98" s="313"/>
      <c r="AM98" s="144"/>
    </row>
    <row r="99" spans="1:40" ht="51.45" customHeight="1" x14ac:dyDescent="0.25">
      <c r="A99" s="128">
        <v>1</v>
      </c>
      <c r="B99" s="467"/>
      <c r="C99" s="468"/>
      <c r="D99" s="468"/>
      <c r="E99" s="468"/>
      <c r="F99" s="469"/>
      <c r="G99" s="300"/>
      <c r="H99" s="301"/>
      <c r="I99" s="301"/>
      <c r="J99" s="301"/>
      <c r="K99" s="302"/>
      <c r="L99" s="306"/>
      <c r="M99" s="307"/>
      <c r="N99" s="307"/>
      <c r="O99" s="307"/>
      <c r="P99" s="294">
        <f>IF(OR(B99=Słowniki!A$46,B99=Słowniki!A$56,B99=Słowniki!A$58,B99=Słowniki!A$59),0.08,0.23)</f>
        <v>0.23</v>
      </c>
      <c r="Q99" s="295"/>
      <c r="R99" s="295"/>
      <c r="S99" s="295"/>
      <c r="T99" s="528">
        <v>1</v>
      </c>
      <c r="U99" s="528"/>
      <c r="V99" s="528"/>
      <c r="W99" s="528"/>
      <c r="X99" s="528"/>
      <c r="Y99" s="528"/>
      <c r="Z99" s="529"/>
      <c r="AA99" s="526">
        <f>L99+ROUND(L99*P99*T99,2)</f>
        <v>0</v>
      </c>
      <c r="AB99" s="530"/>
      <c r="AC99" s="530"/>
      <c r="AD99" s="530"/>
      <c r="AE99" s="530"/>
      <c r="AF99" s="530"/>
      <c r="AG99" s="527"/>
      <c r="AH99" s="531" t="e">
        <f>AJ$93</f>
        <v>#DIV/0!</v>
      </c>
      <c r="AI99" s="532"/>
      <c r="AJ99" s="533"/>
      <c r="AK99" s="526" t="e">
        <f>ROUND(AA99*AH99,2)</f>
        <v>#DIV/0!</v>
      </c>
      <c r="AL99" s="527"/>
      <c r="AN99" s="77"/>
    </row>
    <row r="100" spans="1:40" ht="51.45" customHeight="1" x14ac:dyDescent="0.25">
      <c r="A100" s="128">
        <v>2</v>
      </c>
      <c r="B100" s="467"/>
      <c r="C100" s="468"/>
      <c r="D100" s="468"/>
      <c r="E100" s="468"/>
      <c r="F100" s="469"/>
      <c r="G100" s="300"/>
      <c r="H100" s="301"/>
      <c r="I100" s="301"/>
      <c r="J100" s="301"/>
      <c r="K100" s="302"/>
      <c r="L100" s="306"/>
      <c r="M100" s="307"/>
      <c r="N100" s="307"/>
      <c r="O100" s="307"/>
      <c r="P100" s="294">
        <f>IF(OR(B100=Słowniki!A$46,B100=Słowniki!A$56,B100=Słowniki!A$58,B100=Słowniki!A$59),0.08,0.23)</f>
        <v>0.23</v>
      </c>
      <c r="Q100" s="295"/>
      <c r="R100" s="295"/>
      <c r="S100" s="295"/>
      <c r="T100" s="528">
        <v>1</v>
      </c>
      <c r="U100" s="528"/>
      <c r="V100" s="528"/>
      <c r="W100" s="528"/>
      <c r="X100" s="528"/>
      <c r="Y100" s="528"/>
      <c r="Z100" s="529"/>
      <c r="AA100" s="526">
        <f t="shared" ref="AA100:AA120" si="0">L100+ROUND(L100*P100*T100,2)</f>
        <v>0</v>
      </c>
      <c r="AB100" s="530"/>
      <c r="AC100" s="530"/>
      <c r="AD100" s="530"/>
      <c r="AE100" s="530"/>
      <c r="AF100" s="530"/>
      <c r="AG100" s="527"/>
      <c r="AH100" s="531" t="e">
        <f t="shared" ref="AH100:AH119" si="1">AJ$93</f>
        <v>#DIV/0!</v>
      </c>
      <c r="AI100" s="532"/>
      <c r="AJ100" s="533"/>
      <c r="AK100" s="526" t="e">
        <f t="shared" ref="AK100:AK120" si="2">ROUND(AA100*AH100,2)</f>
        <v>#DIV/0!</v>
      </c>
      <c r="AL100" s="527"/>
      <c r="AN100" s="77"/>
    </row>
    <row r="101" spans="1:40" ht="51.45" customHeight="1" x14ac:dyDescent="0.25">
      <c r="A101" s="128">
        <v>3</v>
      </c>
      <c r="B101" s="467"/>
      <c r="C101" s="468"/>
      <c r="D101" s="468"/>
      <c r="E101" s="468"/>
      <c r="F101" s="469"/>
      <c r="G101" s="300"/>
      <c r="H101" s="301"/>
      <c r="I101" s="301"/>
      <c r="J101" s="301"/>
      <c r="K101" s="302"/>
      <c r="L101" s="306"/>
      <c r="M101" s="307"/>
      <c r="N101" s="307"/>
      <c r="O101" s="307"/>
      <c r="P101" s="294">
        <f>IF(OR(B101=Słowniki!A$46,B101=Słowniki!A$56,B101=Słowniki!A$58,B101=Słowniki!A$59),0.08,0.23)</f>
        <v>0.23</v>
      </c>
      <c r="Q101" s="295"/>
      <c r="R101" s="295"/>
      <c r="S101" s="295"/>
      <c r="T101" s="528">
        <v>1</v>
      </c>
      <c r="U101" s="528"/>
      <c r="V101" s="528"/>
      <c r="W101" s="528"/>
      <c r="X101" s="528"/>
      <c r="Y101" s="528"/>
      <c r="Z101" s="529"/>
      <c r="AA101" s="526">
        <f t="shared" si="0"/>
        <v>0</v>
      </c>
      <c r="AB101" s="530"/>
      <c r="AC101" s="530"/>
      <c r="AD101" s="530"/>
      <c r="AE101" s="530"/>
      <c r="AF101" s="530"/>
      <c r="AG101" s="527"/>
      <c r="AH101" s="531" t="e">
        <f t="shared" si="1"/>
        <v>#DIV/0!</v>
      </c>
      <c r="AI101" s="532"/>
      <c r="AJ101" s="533"/>
      <c r="AK101" s="526" t="e">
        <f t="shared" si="2"/>
        <v>#DIV/0!</v>
      </c>
      <c r="AL101" s="527"/>
      <c r="AN101" s="77"/>
    </row>
    <row r="102" spans="1:40" ht="51.45" customHeight="1" x14ac:dyDescent="0.25">
      <c r="A102" s="128">
        <v>4</v>
      </c>
      <c r="B102" s="467"/>
      <c r="C102" s="468"/>
      <c r="D102" s="468"/>
      <c r="E102" s="468"/>
      <c r="F102" s="469"/>
      <c r="G102" s="300"/>
      <c r="H102" s="301"/>
      <c r="I102" s="301"/>
      <c r="J102" s="301"/>
      <c r="K102" s="302"/>
      <c r="L102" s="306"/>
      <c r="M102" s="307"/>
      <c r="N102" s="307"/>
      <c r="O102" s="307"/>
      <c r="P102" s="294">
        <f>IF(OR(B102=Słowniki!A$46,B102=Słowniki!A$56,B102=Słowniki!A$58,B102=Słowniki!A$59),0.08,0.23)</f>
        <v>0.23</v>
      </c>
      <c r="Q102" s="295"/>
      <c r="R102" s="295"/>
      <c r="S102" s="295"/>
      <c r="T102" s="528">
        <v>1</v>
      </c>
      <c r="U102" s="528"/>
      <c r="V102" s="528"/>
      <c r="W102" s="528"/>
      <c r="X102" s="528"/>
      <c r="Y102" s="528"/>
      <c r="Z102" s="529"/>
      <c r="AA102" s="526">
        <f t="shared" si="0"/>
        <v>0</v>
      </c>
      <c r="AB102" s="530"/>
      <c r="AC102" s="530"/>
      <c r="AD102" s="530"/>
      <c r="AE102" s="530"/>
      <c r="AF102" s="530"/>
      <c r="AG102" s="527"/>
      <c r="AH102" s="531" t="e">
        <f t="shared" si="1"/>
        <v>#DIV/0!</v>
      </c>
      <c r="AI102" s="532"/>
      <c r="AJ102" s="533"/>
      <c r="AK102" s="526" t="e">
        <f t="shared" si="2"/>
        <v>#DIV/0!</v>
      </c>
      <c r="AL102" s="527"/>
      <c r="AN102" s="77"/>
    </row>
    <row r="103" spans="1:40" ht="51.45" customHeight="1" x14ac:dyDescent="0.25">
      <c r="A103" s="128">
        <v>5</v>
      </c>
      <c r="B103" s="467"/>
      <c r="C103" s="468"/>
      <c r="D103" s="468"/>
      <c r="E103" s="468"/>
      <c r="F103" s="469"/>
      <c r="G103" s="300"/>
      <c r="H103" s="301"/>
      <c r="I103" s="301"/>
      <c r="J103" s="301"/>
      <c r="K103" s="302"/>
      <c r="L103" s="306"/>
      <c r="M103" s="307"/>
      <c r="N103" s="307"/>
      <c r="O103" s="307"/>
      <c r="P103" s="294">
        <f>IF(OR(B103=Słowniki!A$46,B103=Słowniki!A$56,B103=Słowniki!A$58,B103=Słowniki!A$59),0.08,0.23)</f>
        <v>0.23</v>
      </c>
      <c r="Q103" s="295"/>
      <c r="R103" s="295"/>
      <c r="S103" s="295"/>
      <c r="T103" s="528">
        <v>1</v>
      </c>
      <c r="U103" s="528"/>
      <c r="V103" s="528"/>
      <c r="W103" s="528"/>
      <c r="X103" s="528"/>
      <c r="Y103" s="528"/>
      <c r="Z103" s="529"/>
      <c r="AA103" s="526">
        <f t="shared" si="0"/>
        <v>0</v>
      </c>
      <c r="AB103" s="530"/>
      <c r="AC103" s="530"/>
      <c r="AD103" s="530"/>
      <c r="AE103" s="530"/>
      <c r="AF103" s="530"/>
      <c r="AG103" s="527"/>
      <c r="AH103" s="531" t="e">
        <f t="shared" si="1"/>
        <v>#DIV/0!</v>
      </c>
      <c r="AI103" s="532"/>
      <c r="AJ103" s="533"/>
      <c r="AK103" s="526" t="e">
        <f t="shared" si="2"/>
        <v>#DIV/0!</v>
      </c>
      <c r="AL103" s="527"/>
      <c r="AN103" s="77"/>
    </row>
    <row r="104" spans="1:40" ht="51.45" customHeight="1" x14ac:dyDescent="0.25">
      <c r="A104" s="128">
        <v>6</v>
      </c>
      <c r="B104" s="467"/>
      <c r="C104" s="468"/>
      <c r="D104" s="468"/>
      <c r="E104" s="468"/>
      <c r="F104" s="469"/>
      <c r="G104" s="300"/>
      <c r="H104" s="301"/>
      <c r="I104" s="301"/>
      <c r="J104" s="301"/>
      <c r="K104" s="302"/>
      <c r="L104" s="306"/>
      <c r="M104" s="307"/>
      <c r="N104" s="307"/>
      <c r="O104" s="307"/>
      <c r="P104" s="294">
        <f>IF(OR(B104=Słowniki!A$46,B104=Słowniki!A$56,B104=Słowniki!A$58,B104=Słowniki!A$59),0.08,0.23)</f>
        <v>0.23</v>
      </c>
      <c r="Q104" s="295"/>
      <c r="R104" s="295"/>
      <c r="S104" s="295"/>
      <c r="T104" s="528">
        <v>1</v>
      </c>
      <c r="U104" s="528"/>
      <c r="V104" s="528"/>
      <c r="W104" s="528"/>
      <c r="X104" s="528"/>
      <c r="Y104" s="528"/>
      <c r="Z104" s="529"/>
      <c r="AA104" s="526">
        <f t="shared" si="0"/>
        <v>0</v>
      </c>
      <c r="AB104" s="530"/>
      <c r="AC104" s="530"/>
      <c r="AD104" s="530"/>
      <c r="AE104" s="530"/>
      <c r="AF104" s="530"/>
      <c r="AG104" s="527"/>
      <c r="AH104" s="531" t="e">
        <f t="shared" si="1"/>
        <v>#DIV/0!</v>
      </c>
      <c r="AI104" s="532"/>
      <c r="AJ104" s="533"/>
      <c r="AK104" s="526" t="e">
        <f t="shared" si="2"/>
        <v>#DIV/0!</v>
      </c>
      <c r="AL104" s="527"/>
      <c r="AN104" s="77"/>
    </row>
    <row r="105" spans="1:40" ht="51.45" customHeight="1" x14ac:dyDescent="0.25">
      <c r="A105" s="128">
        <v>7</v>
      </c>
      <c r="B105" s="467"/>
      <c r="C105" s="468"/>
      <c r="D105" s="468"/>
      <c r="E105" s="468"/>
      <c r="F105" s="469"/>
      <c r="G105" s="300"/>
      <c r="H105" s="301"/>
      <c r="I105" s="301"/>
      <c r="J105" s="301"/>
      <c r="K105" s="302"/>
      <c r="L105" s="306"/>
      <c r="M105" s="307"/>
      <c r="N105" s="307"/>
      <c r="O105" s="307"/>
      <c r="P105" s="294">
        <f>IF(OR(B105=Słowniki!A$46,B105=Słowniki!A$56,B105=Słowniki!A$58,B105=Słowniki!A$59),0.08,0.23)</f>
        <v>0.23</v>
      </c>
      <c r="Q105" s="295"/>
      <c r="R105" s="295"/>
      <c r="S105" s="295"/>
      <c r="T105" s="528">
        <v>1</v>
      </c>
      <c r="U105" s="528"/>
      <c r="V105" s="528"/>
      <c r="W105" s="528"/>
      <c r="X105" s="528"/>
      <c r="Y105" s="528"/>
      <c r="Z105" s="529"/>
      <c r="AA105" s="526">
        <f t="shared" si="0"/>
        <v>0</v>
      </c>
      <c r="AB105" s="530"/>
      <c r="AC105" s="530"/>
      <c r="AD105" s="530"/>
      <c r="AE105" s="530"/>
      <c r="AF105" s="530"/>
      <c r="AG105" s="527"/>
      <c r="AH105" s="531" t="e">
        <f t="shared" si="1"/>
        <v>#DIV/0!</v>
      </c>
      <c r="AI105" s="532"/>
      <c r="AJ105" s="533"/>
      <c r="AK105" s="526" t="e">
        <f t="shared" si="2"/>
        <v>#DIV/0!</v>
      </c>
      <c r="AL105" s="527"/>
      <c r="AN105" s="77"/>
    </row>
    <row r="106" spans="1:40" ht="51.45" customHeight="1" x14ac:dyDescent="0.25">
      <c r="A106" s="128">
        <v>8</v>
      </c>
      <c r="B106" s="467"/>
      <c r="C106" s="468"/>
      <c r="D106" s="468"/>
      <c r="E106" s="468"/>
      <c r="F106" s="469"/>
      <c r="G106" s="300"/>
      <c r="H106" s="301"/>
      <c r="I106" s="301"/>
      <c r="J106" s="301"/>
      <c r="K106" s="302"/>
      <c r="L106" s="306"/>
      <c r="M106" s="307"/>
      <c r="N106" s="307"/>
      <c r="O106" s="307"/>
      <c r="P106" s="294">
        <f>IF(OR(B106=Słowniki!A$46,B106=Słowniki!A$56,B106=Słowniki!A$58,B106=Słowniki!A$59),0.08,0.23)</f>
        <v>0.23</v>
      </c>
      <c r="Q106" s="295"/>
      <c r="R106" s="295"/>
      <c r="S106" s="295"/>
      <c r="T106" s="528">
        <v>1</v>
      </c>
      <c r="U106" s="528"/>
      <c r="V106" s="528"/>
      <c r="W106" s="528"/>
      <c r="X106" s="528"/>
      <c r="Y106" s="528"/>
      <c r="Z106" s="529"/>
      <c r="AA106" s="526">
        <f t="shared" si="0"/>
        <v>0</v>
      </c>
      <c r="AB106" s="530"/>
      <c r="AC106" s="530"/>
      <c r="AD106" s="530"/>
      <c r="AE106" s="530"/>
      <c r="AF106" s="530"/>
      <c r="AG106" s="527"/>
      <c r="AH106" s="531" t="e">
        <f t="shared" si="1"/>
        <v>#DIV/0!</v>
      </c>
      <c r="AI106" s="532"/>
      <c r="AJ106" s="533"/>
      <c r="AK106" s="526" t="e">
        <f t="shared" si="2"/>
        <v>#DIV/0!</v>
      </c>
      <c r="AL106" s="527"/>
      <c r="AN106" s="77"/>
    </row>
    <row r="107" spans="1:40" ht="51.45" customHeight="1" x14ac:dyDescent="0.25">
      <c r="A107" s="128">
        <v>9</v>
      </c>
      <c r="B107" s="467"/>
      <c r="C107" s="468"/>
      <c r="D107" s="468"/>
      <c r="E107" s="468"/>
      <c r="F107" s="469"/>
      <c r="G107" s="300"/>
      <c r="H107" s="301"/>
      <c r="I107" s="301"/>
      <c r="J107" s="301"/>
      <c r="K107" s="302"/>
      <c r="L107" s="306"/>
      <c r="M107" s="307"/>
      <c r="N107" s="307"/>
      <c r="O107" s="307"/>
      <c r="P107" s="294">
        <f>IF(OR(B107=Słowniki!A$46,B107=Słowniki!A$56,B107=Słowniki!A$58,B107=Słowniki!A$59),0.08,0.23)</f>
        <v>0.23</v>
      </c>
      <c r="Q107" s="295"/>
      <c r="R107" s="295"/>
      <c r="S107" s="295"/>
      <c r="T107" s="528">
        <v>1</v>
      </c>
      <c r="U107" s="528"/>
      <c r="V107" s="528"/>
      <c r="W107" s="528"/>
      <c r="X107" s="528"/>
      <c r="Y107" s="528"/>
      <c r="Z107" s="529"/>
      <c r="AA107" s="526">
        <f t="shared" si="0"/>
        <v>0</v>
      </c>
      <c r="AB107" s="530"/>
      <c r="AC107" s="530"/>
      <c r="AD107" s="530"/>
      <c r="AE107" s="530"/>
      <c r="AF107" s="530"/>
      <c r="AG107" s="527"/>
      <c r="AH107" s="531" t="e">
        <f t="shared" si="1"/>
        <v>#DIV/0!</v>
      </c>
      <c r="AI107" s="532"/>
      <c r="AJ107" s="533"/>
      <c r="AK107" s="526" t="e">
        <f t="shared" si="2"/>
        <v>#DIV/0!</v>
      </c>
      <c r="AL107" s="527"/>
      <c r="AN107" s="77"/>
    </row>
    <row r="108" spans="1:40" ht="51.45" customHeight="1" x14ac:dyDescent="0.25">
      <c r="A108" s="128">
        <v>10</v>
      </c>
      <c r="B108" s="467"/>
      <c r="C108" s="468"/>
      <c r="D108" s="468"/>
      <c r="E108" s="468"/>
      <c r="F108" s="469"/>
      <c r="G108" s="300"/>
      <c r="H108" s="301"/>
      <c r="I108" s="301"/>
      <c r="J108" s="301"/>
      <c r="K108" s="302"/>
      <c r="L108" s="306"/>
      <c r="M108" s="307"/>
      <c r="N108" s="307"/>
      <c r="O108" s="307"/>
      <c r="P108" s="294">
        <f>IF(OR(B108=Słowniki!A$46,B108=Słowniki!A$56,B108=Słowniki!A$58,B108=Słowniki!A$59),0.08,0.23)</f>
        <v>0.23</v>
      </c>
      <c r="Q108" s="295"/>
      <c r="R108" s="295"/>
      <c r="S108" s="295"/>
      <c r="T108" s="528">
        <v>1</v>
      </c>
      <c r="U108" s="528"/>
      <c r="V108" s="528"/>
      <c r="W108" s="528"/>
      <c r="X108" s="528"/>
      <c r="Y108" s="528"/>
      <c r="Z108" s="529"/>
      <c r="AA108" s="526">
        <f>L108+ROUND(L108*P108*T108,2)</f>
        <v>0</v>
      </c>
      <c r="AB108" s="530"/>
      <c r="AC108" s="530"/>
      <c r="AD108" s="530"/>
      <c r="AE108" s="530"/>
      <c r="AF108" s="530"/>
      <c r="AG108" s="527"/>
      <c r="AH108" s="531" t="e">
        <f t="shared" si="1"/>
        <v>#DIV/0!</v>
      </c>
      <c r="AI108" s="532"/>
      <c r="AJ108" s="533"/>
      <c r="AK108" s="526" t="e">
        <f t="shared" si="2"/>
        <v>#DIV/0!</v>
      </c>
      <c r="AL108" s="527"/>
      <c r="AN108" s="77"/>
    </row>
    <row r="109" spans="1:40" ht="51.45" customHeight="1" x14ac:dyDescent="0.25">
      <c r="A109" s="128">
        <v>11</v>
      </c>
      <c r="B109" s="467"/>
      <c r="C109" s="468"/>
      <c r="D109" s="468"/>
      <c r="E109" s="468"/>
      <c r="F109" s="469"/>
      <c r="G109" s="300"/>
      <c r="H109" s="301"/>
      <c r="I109" s="301"/>
      <c r="J109" s="301"/>
      <c r="K109" s="302"/>
      <c r="L109" s="306"/>
      <c r="M109" s="307"/>
      <c r="N109" s="307"/>
      <c r="O109" s="307"/>
      <c r="P109" s="294">
        <f>IF(OR(B109=Słowniki!A$46,B109=Słowniki!A$56,B109=Słowniki!A$58,B109=Słowniki!A$59),0.08,0.23)</f>
        <v>0.23</v>
      </c>
      <c r="Q109" s="295"/>
      <c r="R109" s="295"/>
      <c r="S109" s="295"/>
      <c r="T109" s="528">
        <v>1</v>
      </c>
      <c r="U109" s="528"/>
      <c r="V109" s="528"/>
      <c r="W109" s="528"/>
      <c r="X109" s="528"/>
      <c r="Y109" s="528"/>
      <c r="Z109" s="529"/>
      <c r="AA109" s="526">
        <f t="shared" si="0"/>
        <v>0</v>
      </c>
      <c r="AB109" s="530"/>
      <c r="AC109" s="530"/>
      <c r="AD109" s="530"/>
      <c r="AE109" s="530"/>
      <c r="AF109" s="530"/>
      <c r="AG109" s="527"/>
      <c r="AH109" s="531" t="e">
        <f t="shared" si="1"/>
        <v>#DIV/0!</v>
      </c>
      <c r="AI109" s="532"/>
      <c r="AJ109" s="533"/>
      <c r="AK109" s="526" t="e">
        <f t="shared" si="2"/>
        <v>#DIV/0!</v>
      </c>
      <c r="AL109" s="527"/>
      <c r="AN109" s="77"/>
    </row>
    <row r="110" spans="1:40" ht="51.45" customHeight="1" x14ac:dyDescent="0.25">
      <c r="A110" s="128">
        <v>12</v>
      </c>
      <c r="B110" s="467"/>
      <c r="C110" s="468"/>
      <c r="D110" s="468"/>
      <c r="E110" s="468"/>
      <c r="F110" s="469"/>
      <c r="G110" s="300"/>
      <c r="H110" s="301"/>
      <c r="I110" s="301"/>
      <c r="J110" s="301"/>
      <c r="K110" s="302"/>
      <c r="L110" s="306"/>
      <c r="M110" s="307"/>
      <c r="N110" s="307"/>
      <c r="O110" s="307"/>
      <c r="P110" s="294">
        <f>IF(OR(B110=Słowniki!A$46,B110=Słowniki!A$56,B110=Słowniki!A$58,B110=Słowniki!A$59),0.08,0.23)</f>
        <v>0.23</v>
      </c>
      <c r="Q110" s="295"/>
      <c r="R110" s="295"/>
      <c r="S110" s="295"/>
      <c r="T110" s="528">
        <v>1</v>
      </c>
      <c r="U110" s="528"/>
      <c r="V110" s="528"/>
      <c r="W110" s="528"/>
      <c r="X110" s="528"/>
      <c r="Y110" s="528"/>
      <c r="Z110" s="529"/>
      <c r="AA110" s="526">
        <f t="shared" si="0"/>
        <v>0</v>
      </c>
      <c r="AB110" s="530"/>
      <c r="AC110" s="530"/>
      <c r="AD110" s="530"/>
      <c r="AE110" s="530"/>
      <c r="AF110" s="530"/>
      <c r="AG110" s="527"/>
      <c r="AH110" s="531" t="e">
        <f t="shared" si="1"/>
        <v>#DIV/0!</v>
      </c>
      <c r="AI110" s="532"/>
      <c r="AJ110" s="533"/>
      <c r="AK110" s="526" t="e">
        <f t="shared" si="2"/>
        <v>#DIV/0!</v>
      </c>
      <c r="AL110" s="527"/>
      <c r="AN110" s="77"/>
    </row>
    <row r="111" spans="1:40" ht="51.45" customHeight="1" x14ac:dyDescent="0.25">
      <c r="A111" s="128">
        <v>13</v>
      </c>
      <c r="B111" s="467"/>
      <c r="C111" s="468"/>
      <c r="D111" s="468"/>
      <c r="E111" s="468"/>
      <c r="F111" s="469"/>
      <c r="G111" s="300"/>
      <c r="H111" s="301"/>
      <c r="I111" s="301"/>
      <c r="J111" s="301"/>
      <c r="K111" s="302"/>
      <c r="L111" s="306"/>
      <c r="M111" s="307"/>
      <c r="N111" s="307"/>
      <c r="O111" s="307"/>
      <c r="P111" s="294">
        <f>IF(OR(B111=Słowniki!A$46,B111=Słowniki!A$56,B111=Słowniki!A$58,B111=Słowniki!A$59),0.08,0.23)</f>
        <v>0.23</v>
      </c>
      <c r="Q111" s="295"/>
      <c r="R111" s="295"/>
      <c r="S111" s="295"/>
      <c r="T111" s="528">
        <v>1</v>
      </c>
      <c r="U111" s="528"/>
      <c r="V111" s="528"/>
      <c r="W111" s="528"/>
      <c r="X111" s="528"/>
      <c r="Y111" s="528"/>
      <c r="Z111" s="529"/>
      <c r="AA111" s="526">
        <f t="shared" si="0"/>
        <v>0</v>
      </c>
      <c r="AB111" s="530"/>
      <c r="AC111" s="530"/>
      <c r="AD111" s="530"/>
      <c r="AE111" s="530"/>
      <c r="AF111" s="530"/>
      <c r="AG111" s="527"/>
      <c r="AH111" s="531" t="e">
        <f t="shared" si="1"/>
        <v>#DIV/0!</v>
      </c>
      <c r="AI111" s="532"/>
      <c r="AJ111" s="533"/>
      <c r="AK111" s="526" t="e">
        <f t="shared" si="2"/>
        <v>#DIV/0!</v>
      </c>
      <c r="AL111" s="527"/>
      <c r="AN111" s="77"/>
    </row>
    <row r="112" spans="1:40" ht="51.45" customHeight="1" x14ac:dyDescent="0.25">
      <c r="A112" s="128">
        <v>14</v>
      </c>
      <c r="B112" s="467"/>
      <c r="C112" s="468"/>
      <c r="D112" s="468"/>
      <c r="E112" s="468"/>
      <c r="F112" s="469"/>
      <c r="G112" s="300"/>
      <c r="H112" s="301"/>
      <c r="I112" s="301"/>
      <c r="J112" s="301"/>
      <c r="K112" s="302"/>
      <c r="L112" s="306"/>
      <c r="M112" s="307"/>
      <c r="N112" s="307"/>
      <c r="O112" s="307"/>
      <c r="P112" s="294">
        <f>IF(OR(B112=Słowniki!A$46,B112=Słowniki!A$56,B112=Słowniki!A$58,B112=Słowniki!A$59),0.08,0.23)</f>
        <v>0.23</v>
      </c>
      <c r="Q112" s="295"/>
      <c r="R112" s="295"/>
      <c r="S112" s="295"/>
      <c r="T112" s="528">
        <v>1</v>
      </c>
      <c r="U112" s="528"/>
      <c r="V112" s="528"/>
      <c r="W112" s="528"/>
      <c r="X112" s="528"/>
      <c r="Y112" s="528"/>
      <c r="Z112" s="529"/>
      <c r="AA112" s="526">
        <f t="shared" si="0"/>
        <v>0</v>
      </c>
      <c r="AB112" s="530"/>
      <c r="AC112" s="530"/>
      <c r="AD112" s="530"/>
      <c r="AE112" s="530"/>
      <c r="AF112" s="530"/>
      <c r="AG112" s="527"/>
      <c r="AH112" s="531" t="e">
        <f t="shared" si="1"/>
        <v>#DIV/0!</v>
      </c>
      <c r="AI112" s="532"/>
      <c r="AJ112" s="533"/>
      <c r="AK112" s="526" t="e">
        <f t="shared" si="2"/>
        <v>#DIV/0!</v>
      </c>
      <c r="AL112" s="527"/>
      <c r="AN112" s="77"/>
    </row>
    <row r="113" spans="1:40" ht="51.45" customHeight="1" x14ac:dyDescent="0.25">
      <c r="A113" s="128">
        <v>15</v>
      </c>
      <c r="B113" s="467"/>
      <c r="C113" s="468"/>
      <c r="D113" s="468"/>
      <c r="E113" s="468"/>
      <c r="F113" s="469"/>
      <c r="G113" s="300"/>
      <c r="H113" s="301"/>
      <c r="I113" s="301"/>
      <c r="J113" s="301"/>
      <c r="K113" s="302"/>
      <c r="L113" s="306"/>
      <c r="M113" s="307"/>
      <c r="N113" s="307"/>
      <c r="O113" s="307"/>
      <c r="P113" s="294">
        <f>IF(OR(B113=Słowniki!A$46,B113=Słowniki!A$56,B113=Słowniki!A$58,B113=Słowniki!A$59),0.08,0.23)</f>
        <v>0.23</v>
      </c>
      <c r="Q113" s="295"/>
      <c r="R113" s="295"/>
      <c r="S113" s="295"/>
      <c r="T113" s="528">
        <v>1</v>
      </c>
      <c r="U113" s="528"/>
      <c r="V113" s="528"/>
      <c r="W113" s="528"/>
      <c r="X113" s="528"/>
      <c r="Y113" s="528"/>
      <c r="Z113" s="529"/>
      <c r="AA113" s="526">
        <f t="shared" si="0"/>
        <v>0</v>
      </c>
      <c r="AB113" s="530"/>
      <c r="AC113" s="530"/>
      <c r="AD113" s="530"/>
      <c r="AE113" s="530"/>
      <c r="AF113" s="530"/>
      <c r="AG113" s="527"/>
      <c r="AH113" s="531" t="e">
        <f t="shared" si="1"/>
        <v>#DIV/0!</v>
      </c>
      <c r="AI113" s="532"/>
      <c r="AJ113" s="533"/>
      <c r="AK113" s="526" t="e">
        <f t="shared" si="2"/>
        <v>#DIV/0!</v>
      </c>
      <c r="AL113" s="527"/>
      <c r="AN113" s="77"/>
    </row>
    <row r="114" spans="1:40" ht="51.45" customHeight="1" x14ac:dyDescent="0.25">
      <c r="A114" s="128">
        <v>16</v>
      </c>
      <c r="B114" s="467"/>
      <c r="C114" s="468"/>
      <c r="D114" s="468"/>
      <c r="E114" s="468"/>
      <c r="F114" s="469"/>
      <c r="G114" s="300"/>
      <c r="H114" s="301"/>
      <c r="I114" s="301"/>
      <c r="J114" s="301"/>
      <c r="K114" s="302"/>
      <c r="L114" s="306"/>
      <c r="M114" s="307"/>
      <c r="N114" s="307"/>
      <c r="O114" s="307"/>
      <c r="P114" s="294">
        <f>IF(OR(B114=Słowniki!A$46,B114=Słowniki!A$56,B114=Słowniki!A$58,B114=Słowniki!A$59),0.08,0.23)</f>
        <v>0.23</v>
      </c>
      <c r="Q114" s="295"/>
      <c r="R114" s="295"/>
      <c r="S114" s="295"/>
      <c r="T114" s="528">
        <v>1</v>
      </c>
      <c r="U114" s="528"/>
      <c r="V114" s="528"/>
      <c r="W114" s="528"/>
      <c r="X114" s="528"/>
      <c r="Y114" s="528"/>
      <c r="Z114" s="529"/>
      <c r="AA114" s="526">
        <f t="shared" si="0"/>
        <v>0</v>
      </c>
      <c r="AB114" s="530"/>
      <c r="AC114" s="530"/>
      <c r="AD114" s="530"/>
      <c r="AE114" s="530"/>
      <c r="AF114" s="530"/>
      <c r="AG114" s="527"/>
      <c r="AH114" s="531" t="e">
        <f t="shared" si="1"/>
        <v>#DIV/0!</v>
      </c>
      <c r="AI114" s="532"/>
      <c r="AJ114" s="533"/>
      <c r="AK114" s="526" t="e">
        <f t="shared" si="2"/>
        <v>#DIV/0!</v>
      </c>
      <c r="AL114" s="527"/>
      <c r="AN114" s="77"/>
    </row>
    <row r="115" spans="1:40" ht="51.45" customHeight="1" x14ac:dyDescent="0.25">
      <c r="A115" s="128">
        <v>17</v>
      </c>
      <c r="B115" s="467"/>
      <c r="C115" s="468"/>
      <c r="D115" s="468"/>
      <c r="E115" s="468"/>
      <c r="F115" s="469"/>
      <c r="G115" s="300"/>
      <c r="H115" s="301"/>
      <c r="I115" s="301"/>
      <c r="J115" s="301"/>
      <c r="K115" s="302"/>
      <c r="L115" s="306"/>
      <c r="M115" s="307"/>
      <c r="N115" s="307"/>
      <c r="O115" s="307"/>
      <c r="P115" s="294">
        <f>IF(OR(B115=Słowniki!A$46,B115=Słowniki!A$56,B115=Słowniki!A$58,B115=Słowniki!A$59),0.08,0.23)</f>
        <v>0.23</v>
      </c>
      <c r="Q115" s="295"/>
      <c r="R115" s="295"/>
      <c r="S115" s="295"/>
      <c r="T115" s="528">
        <v>1</v>
      </c>
      <c r="U115" s="528"/>
      <c r="V115" s="528"/>
      <c r="W115" s="528"/>
      <c r="X115" s="528"/>
      <c r="Y115" s="528"/>
      <c r="Z115" s="529"/>
      <c r="AA115" s="526">
        <f t="shared" si="0"/>
        <v>0</v>
      </c>
      <c r="AB115" s="530"/>
      <c r="AC115" s="530"/>
      <c r="AD115" s="530"/>
      <c r="AE115" s="530"/>
      <c r="AF115" s="530"/>
      <c r="AG115" s="527"/>
      <c r="AH115" s="531" t="e">
        <f t="shared" si="1"/>
        <v>#DIV/0!</v>
      </c>
      <c r="AI115" s="532"/>
      <c r="AJ115" s="533"/>
      <c r="AK115" s="526" t="e">
        <f t="shared" si="2"/>
        <v>#DIV/0!</v>
      </c>
      <c r="AL115" s="527"/>
      <c r="AN115" s="77"/>
    </row>
    <row r="116" spans="1:40" ht="51.45" customHeight="1" x14ac:dyDescent="0.25">
      <c r="A116" s="128">
        <v>18</v>
      </c>
      <c r="B116" s="467"/>
      <c r="C116" s="468"/>
      <c r="D116" s="468"/>
      <c r="E116" s="468"/>
      <c r="F116" s="469"/>
      <c r="G116" s="300"/>
      <c r="H116" s="301"/>
      <c r="I116" s="301"/>
      <c r="J116" s="301"/>
      <c r="K116" s="302"/>
      <c r="L116" s="306"/>
      <c r="M116" s="307"/>
      <c r="N116" s="307"/>
      <c r="O116" s="307"/>
      <c r="P116" s="294">
        <f>IF(OR(B116=Słowniki!A$46,B116=Słowniki!A$56,B116=Słowniki!A$58,B116=Słowniki!A$59),0.08,0.23)</f>
        <v>0.23</v>
      </c>
      <c r="Q116" s="295"/>
      <c r="R116" s="295"/>
      <c r="S116" s="295"/>
      <c r="T116" s="528">
        <v>1</v>
      </c>
      <c r="U116" s="528"/>
      <c r="V116" s="528"/>
      <c r="W116" s="528"/>
      <c r="X116" s="528"/>
      <c r="Y116" s="528"/>
      <c r="Z116" s="529"/>
      <c r="AA116" s="526">
        <f t="shared" si="0"/>
        <v>0</v>
      </c>
      <c r="AB116" s="530"/>
      <c r="AC116" s="530"/>
      <c r="AD116" s="530"/>
      <c r="AE116" s="530"/>
      <c r="AF116" s="530"/>
      <c r="AG116" s="527"/>
      <c r="AH116" s="531" t="e">
        <f t="shared" si="1"/>
        <v>#DIV/0!</v>
      </c>
      <c r="AI116" s="532"/>
      <c r="AJ116" s="533"/>
      <c r="AK116" s="526" t="e">
        <f t="shared" si="2"/>
        <v>#DIV/0!</v>
      </c>
      <c r="AL116" s="527"/>
      <c r="AN116" s="77"/>
    </row>
    <row r="117" spans="1:40" ht="51.45" customHeight="1" x14ac:dyDescent="0.25">
      <c r="A117" s="128">
        <v>19</v>
      </c>
      <c r="B117" s="467"/>
      <c r="C117" s="468"/>
      <c r="D117" s="468"/>
      <c r="E117" s="468"/>
      <c r="F117" s="469"/>
      <c r="G117" s="300"/>
      <c r="H117" s="301"/>
      <c r="I117" s="301"/>
      <c r="J117" s="301"/>
      <c r="K117" s="302"/>
      <c r="L117" s="306"/>
      <c r="M117" s="307"/>
      <c r="N117" s="307"/>
      <c r="O117" s="307"/>
      <c r="P117" s="294">
        <f>IF(OR(B117=Słowniki!A$46,B117=Słowniki!A$56,B117=Słowniki!A$58,B117=Słowniki!A$59),0.08,0.23)</f>
        <v>0.23</v>
      </c>
      <c r="Q117" s="295"/>
      <c r="R117" s="295"/>
      <c r="S117" s="295"/>
      <c r="T117" s="528">
        <v>1</v>
      </c>
      <c r="U117" s="528"/>
      <c r="V117" s="528"/>
      <c r="W117" s="528"/>
      <c r="X117" s="528"/>
      <c r="Y117" s="528"/>
      <c r="Z117" s="529"/>
      <c r="AA117" s="526">
        <f t="shared" si="0"/>
        <v>0</v>
      </c>
      <c r="AB117" s="530"/>
      <c r="AC117" s="530"/>
      <c r="AD117" s="530"/>
      <c r="AE117" s="530"/>
      <c r="AF117" s="530"/>
      <c r="AG117" s="527"/>
      <c r="AH117" s="531" t="e">
        <f t="shared" si="1"/>
        <v>#DIV/0!</v>
      </c>
      <c r="AI117" s="532"/>
      <c r="AJ117" s="533"/>
      <c r="AK117" s="526" t="e">
        <f t="shared" si="2"/>
        <v>#DIV/0!</v>
      </c>
      <c r="AL117" s="527"/>
      <c r="AN117" s="77"/>
    </row>
    <row r="118" spans="1:40" ht="51.45" customHeight="1" x14ac:dyDescent="0.25">
      <c r="A118" s="128">
        <v>20</v>
      </c>
      <c r="B118" s="467"/>
      <c r="C118" s="468"/>
      <c r="D118" s="468"/>
      <c r="E118" s="468"/>
      <c r="F118" s="469"/>
      <c r="G118" s="300"/>
      <c r="H118" s="301"/>
      <c r="I118" s="301"/>
      <c r="J118" s="301"/>
      <c r="K118" s="302"/>
      <c r="L118" s="306"/>
      <c r="M118" s="307"/>
      <c r="N118" s="307"/>
      <c r="O118" s="307"/>
      <c r="P118" s="294">
        <f>IF(OR(B118=Słowniki!A$46,B118=Słowniki!A$56,B118=Słowniki!A$58,B118=Słowniki!A$59),0.08,0.23)</f>
        <v>0.23</v>
      </c>
      <c r="Q118" s="295"/>
      <c r="R118" s="295"/>
      <c r="S118" s="295"/>
      <c r="T118" s="528">
        <v>1</v>
      </c>
      <c r="U118" s="528"/>
      <c r="V118" s="528"/>
      <c r="W118" s="528"/>
      <c r="X118" s="528"/>
      <c r="Y118" s="528"/>
      <c r="Z118" s="529"/>
      <c r="AA118" s="526">
        <f t="shared" si="0"/>
        <v>0</v>
      </c>
      <c r="AB118" s="530"/>
      <c r="AC118" s="530"/>
      <c r="AD118" s="530"/>
      <c r="AE118" s="530"/>
      <c r="AF118" s="530"/>
      <c r="AG118" s="527"/>
      <c r="AH118" s="531" t="e">
        <f t="shared" si="1"/>
        <v>#DIV/0!</v>
      </c>
      <c r="AI118" s="532"/>
      <c r="AJ118" s="533"/>
      <c r="AK118" s="526" t="e">
        <f t="shared" si="2"/>
        <v>#DIV/0!</v>
      </c>
      <c r="AL118" s="527"/>
      <c r="AN118" s="77"/>
    </row>
    <row r="119" spans="1:40" ht="51.45" customHeight="1" x14ac:dyDescent="0.25">
      <c r="A119" s="128">
        <v>21</v>
      </c>
      <c r="B119" s="467"/>
      <c r="C119" s="468"/>
      <c r="D119" s="468"/>
      <c r="E119" s="468"/>
      <c r="F119" s="469"/>
      <c r="G119" s="300"/>
      <c r="H119" s="301"/>
      <c r="I119" s="301"/>
      <c r="J119" s="301"/>
      <c r="K119" s="302"/>
      <c r="L119" s="306"/>
      <c r="M119" s="307"/>
      <c r="N119" s="307"/>
      <c r="O119" s="307"/>
      <c r="P119" s="294">
        <f>IF(OR(B119=Słowniki!A$46,B119=Słowniki!A$56,B119=Słowniki!A$58,B119=Słowniki!A$59),0.08,0.23)</f>
        <v>0.23</v>
      </c>
      <c r="Q119" s="295"/>
      <c r="R119" s="295"/>
      <c r="S119" s="295"/>
      <c r="T119" s="528">
        <v>1</v>
      </c>
      <c r="U119" s="528"/>
      <c r="V119" s="528"/>
      <c r="W119" s="528"/>
      <c r="X119" s="528"/>
      <c r="Y119" s="528"/>
      <c r="Z119" s="529"/>
      <c r="AA119" s="526">
        <f t="shared" si="0"/>
        <v>0</v>
      </c>
      <c r="AB119" s="530"/>
      <c r="AC119" s="530"/>
      <c r="AD119" s="530"/>
      <c r="AE119" s="530"/>
      <c r="AF119" s="530"/>
      <c r="AG119" s="527"/>
      <c r="AH119" s="531" t="e">
        <f t="shared" si="1"/>
        <v>#DIV/0!</v>
      </c>
      <c r="AI119" s="532"/>
      <c r="AJ119" s="533"/>
      <c r="AK119" s="526" t="e">
        <f t="shared" si="2"/>
        <v>#DIV/0!</v>
      </c>
      <c r="AL119" s="527"/>
      <c r="AN119" s="77"/>
    </row>
    <row r="120" spans="1:40" ht="51.45" customHeight="1" x14ac:dyDescent="0.25">
      <c r="A120" s="128">
        <v>22</v>
      </c>
      <c r="B120" s="467"/>
      <c r="C120" s="468"/>
      <c r="D120" s="468"/>
      <c r="E120" s="468"/>
      <c r="F120" s="469"/>
      <c r="G120" s="300"/>
      <c r="H120" s="301"/>
      <c r="I120" s="301"/>
      <c r="J120" s="301"/>
      <c r="K120" s="302"/>
      <c r="L120" s="306"/>
      <c r="M120" s="307"/>
      <c r="N120" s="307"/>
      <c r="O120" s="307"/>
      <c r="P120" s="294">
        <f>IF(OR(B120=Słowniki!A$46,B120=Słowniki!A$56,B120=Słowniki!A$58,B120=Słowniki!A$59),0.08,0.23)</f>
        <v>0.23</v>
      </c>
      <c r="Q120" s="295"/>
      <c r="R120" s="295"/>
      <c r="S120" s="295"/>
      <c r="T120" s="528">
        <v>1</v>
      </c>
      <c r="U120" s="528"/>
      <c r="V120" s="528"/>
      <c r="W120" s="528"/>
      <c r="X120" s="528"/>
      <c r="Y120" s="528"/>
      <c r="Z120" s="529"/>
      <c r="AA120" s="526">
        <f t="shared" si="0"/>
        <v>0</v>
      </c>
      <c r="AB120" s="530"/>
      <c r="AC120" s="530"/>
      <c r="AD120" s="530"/>
      <c r="AE120" s="530"/>
      <c r="AF120" s="530"/>
      <c r="AG120" s="527"/>
      <c r="AH120" s="531" t="e">
        <f>AJ$93</f>
        <v>#DIV/0!</v>
      </c>
      <c r="AI120" s="532"/>
      <c r="AJ120" s="533"/>
      <c r="AK120" s="526" t="e">
        <f t="shared" si="2"/>
        <v>#DIV/0!</v>
      </c>
      <c r="AL120" s="527"/>
      <c r="AN120" s="77"/>
    </row>
    <row r="121" spans="1:40" ht="14.1" customHeight="1" x14ac:dyDescent="0.25">
      <c r="A121" s="128">
        <v>23</v>
      </c>
      <c r="B121" s="451" t="s">
        <v>128</v>
      </c>
      <c r="C121" s="452"/>
      <c r="D121" s="452"/>
      <c r="E121" s="452"/>
      <c r="F121" s="452"/>
      <c r="G121" s="452"/>
      <c r="H121" s="452"/>
      <c r="I121" s="452"/>
      <c r="J121" s="452"/>
      <c r="K121" s="452"/>
      <c r="L121" s="540">
        <f>SUM(L99:O120)</f>
        <v>0</v>
      </c>
      <c r="M121" s="540"/>
      <c r="N121" s="540"/>
      <c r="O121" s="541"/>
      <c r="P121" s="537" t="s">
        <v>129</v>
      </c>
      <c r="Q121" s="537"/>
      <c r="R121" s="537"/>
      <c r="S121" s="537"/>
      <c r="T121" s="538" t="s">
        <v>129</v>
      </c>
      <c r="U121" s="538"/>
      <c r="V121" s="538"/>
      <c r="W121" s="538"/>
      <c r="X121" s="538"/>
      <c r="Y121" s="538"/>
      <c r="Z121" s="538"/>
      <c r="AA121" s="534">
        <f>SUM(AA99:AG120)</f>
        <v>0</v>
      </c>
      <c r="AB121" s="534"/>
      <c r="AC121" s="534"/>
      <c r="AD121" s="534"/>
      <c r="AE121" s="534"/>
      <c r="AF121" s="534"/>
      <c r="AG121" s="534"/>
      <c r="AH121" s="539" t="s">
        <v>129</v>
      </c>
      <c r="AI121" s="539"/>
      <c r="AJ121" s="539"/>
      <c r="AK121" s="534" t="e">
        <f>ROUND(SUM(AK99:AL120),2)</f>
        <v>#DIV/0!</v>
      </c>
      <c r="AL121" s="534"/>
    </row>
    <row r="122" spans="1:40" ht="112.95" customHeight="1" x14ac:dyDescent="0.25">
      <c r="A122" s="334" t="s">
        <v>1111</v>
      </c>
      <c r="B122" s="334"/>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c r="AI122" s="334"/>
      <c r="AJ122" s="334"/>
      <c r="AK122" s="334"/>
      <c r="AL122" s="334"/>
    </row>
    <row r="123" spans="1:40" ht="13.95" customHeight="1" x14ac:dyDescent="0.25">
      <c r="A123" s="129"/>
      <c r="B123" s="453" t="s">
        <v>181</v>
      </c>
      <c r="C123" s="453"/>
      <c r="D123" s="453"/>
      <c r="E123" s="453"/>
      <c r="F123" s="453"/>
      <c r="G123" s="453"/>
      <c r="H123" s="453"/>
      <c r="I123" s="453"/>
      <c r="J123" s="453"/>
      <c r="K123" s="453"/>
      <c r="L123" s="453"/>
      <c r="M123" s="453"/>
      <c r="N123" s="453"/>
      <c r="O123" s="453"/>
      <c r="P123" s="453"/>
      <c r="Q123" s="453"/>
      <c r="R123" s="453"/>
      <c r="S123" s="453"/>
      <c r="T123" s="458"/>
      <c r="U123" s="458"/>
      <c r="V123" s="458"/>
      <c r="W123" s="458"/>
      <c r="X123" s="458"/>
      <c r="Y123" s="458"/>
      <c r="Z123" s="458"/>
      <c r="AA123" s="458"/>
      <c r="AB123" s="458"/>
      <c r="AC123" s="458"/>
      <c r="AD123" s="458"/>
      <c r="AE123" s="458"/>
      <c r="AF123" s="458"/>
      <c r="AG123" s="458"/>
      <c r="AH123" s="458"/>
      <c r="AI123" s="458"/>
      <c r="AJ123" s="458"/>
      <c r="AK123" s="130"/>
      <c r="AL123" s="131"/>
    </row>
    <row r="124" spans="1:40" ht="13.95" customHeight="1" x14ac:dyDescent="0.25">
      <c r="A124" s="129"/>
      <c r="B124" s="453" t="s">
        <v>183</v>
      </c>
      <c r="C124" s="453"/>
      <c r="D124" s="453"/>
      <c r="E124" s="453"/>
      <c r="F124" s="453"/>
      <c r="G124" s="453"/>
      <c r="H124" s="453"/>
      <c r="I124" s="453"/>
      <c r="J124" s="453"/>
      <c r="K124" s="453"/>
      <c r="L124" s="453"/>
      <c r="M124" s="453"/>
      <c r="N124" s="453"/>
      <c r="O124" s="453"/>
      <c r="P124" s="453"/>
      <c r="Q124" s="453"/>
      <c r="R124" s="453"/>
      <c r="S124" s="453"/>
      <c r="T124" s="459"/>
      <c r="U124" s="459"/>
      <c r="V124" s="459"/>
      <c r="W124" s="459"/>
      <c r="X124" s="459"/>
      <c r="Y124" s="459"/>
      <c r="Z124" s="459"/>
      <c r="AA124" s="459"/>
      <c r="AB124" s="459"/>
      <c r="AC124" s="459"/>
      <c r="AD124" s="459"/>
      <c r="AE124" s="459"/>
      <c r="AF124" s="459"/>
      <c r="AG124" s="459"/>
      <c r="AH124" s="459"/>
      <c r="AI124" s="459"/>
      <c r="AJ124" s="459"/>
      <c r="AK124" s="130"/>
      <c r="AL124" s="131"/>
    </row>
    <row r="125" spans="1:40" x14ac:dyDescent="0.25">
      <c r="A125" s="129"/>
      <c r="B125" s="453" t="s">
        <v>182</v>
      </c>
      <c r="C125" s="453"/>
      <c r="D125" s="453"/>
      <c r="E125" s="453"/>
      <c r="F125" s="453"/>
      <c r="G125" s="453"/>
      <c r="H125" s="453"/>
      <c r="I125" s="453"/>
      <c r="J125" s="453"/>
      <c r="K125" s="453"/>
      <c r="L125" s="453"/>
      <c r="M125" s="453"/>
      <c r="N125" s="453"/>
      <c r="O125" s="453"/>
      <c r="P125" s="453"/>
      <c r="Q125" s="453"/>
      <c r="R125" s="453"/>
      <c r="S125" s="453"/>
      <c r="T125" s="466" t="e">
        <f>ROUNDDOWN(AK121*(T123+T124),2)</f>
        <v>#DIV/0!</v>
      </c>
      <c r="U125" s="466"/>
      <c r="V125" s="466"/>
      <c r="W125" s="466"/>
      <c r="X125" s="466"/>
      <c r="Y125" s="466"/>
      <c r="Z125" s="466"/>
      <c r="AA125" s="466"/>
      <c r="AB125" s="466"/>
      <c r="AC125" s="466"/>
      <c r="AD125" s="466"/>
      <c r="AE125" s="466"/>
      <c r="AF125" s="466"/>
      <c r="AG125" s="466"/>
      <c r="AH125" s="466"/>
      <c r="AI125" s="466"/>
      <c r="AJ125" s="466"/>
      <c r="AK125" s="130"/>
      <c r="AL125" s="131"/>
    </row>
    <row r="126" spans="1:40" ht="43.2" customHeight="1" x14ac:dyDescent="0.25">
      <c r="A126" s="332" t="s">
        <v>786</v>
      </c>
      <c r="B126" s="332"/>
      <c r="C126" s="332"/>
      <c r="D126" s="332"/>
      <c r="E126" s="332"/>
      <c r="F126" s="332"/>
      <c r="G126" s="332"/>
      <c r="H126" s="332"/>
      <c r="I126" s="332"/>
      <c r="J126" s="332"/>
      <c r="K126" s="332"/>
      <c r="L126" s="332"/>
      <c r="M126" s="332"/>
      <c r="N126" s="332"/>
      <c r="O126" s="332"/>
      <c r="P126" s="332"/>
      <c r="Q126" s="332"/>
      <c r="R126" s="332"/>
      <c r="S126" s="332"/>
      <c r="T126" s="332"/>
      <c r="U126" s="332"/>
      <c r="V126" s="332"/>
      <c r="W126" s="332"/>
      <c r="X126" s="332"/>
      <c r="Y126" s="332"/>
      <c r="Z126" s="332"/>
      <c r="AA126" s="332"/>
      <c r="AB126" s="332"/>
      <c r="AC126" s="332"/>
      <c r="AD126" s="332"/>
      <c r="AE126" s="332"/>
      <c r="AF126" s="332"/>
      <c r="AG126" s="332"/>
      <c r="AH126" s="332"/>
      <c r="AI126" s="332"/>
      <c r="AJ126" s="332"/>
      <c r="AK126" s="332"/>
      <c r="AL126" s="332"/>
      <c r="AM126" s="81"/>
    </row>
    <row r="127" spans="1:40" ht="39.450000000000003" customHeight="1" x14ac:dyDescent="0.25">
      <c r="A127" s="333" t="s">
        <v>827</v>
      </c>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row>
    <row r="128" spans="1:40" ht="36" customHeight="1" x14ac:dyDescent="0.25">
      <c r="A128" s="332" t="s">
        <v>1115</v>
      </c>
      <c r="B128" s="332"/>
      <c r="C128" s="332"/>
      <c r="D128" s="332"/>
      <c r="E128" s="332"/>
      <c r="F128" s="332"/>
      <c r="G128" s="332"/>
      <c r="H128" s="332"/>
      <c r="I128" s="332"/>
      <c r="J128" s="332"/>
      <c r="K128" s="332"/>
      <c r="L128" s="332"/>
      <c r="M128" s="332"/>
      <c r="N128" s="332"/>
      <c r="O128" s="332"/>
      <c r="P128" s="332"/>
      <c r="Q128" s="332"/>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81"/>
    </row>
    <row r="129" spans="1:39" ht="45" customHeight="1" x14ac:dyDescent="0.25">
      <c r="A129" s="333" t="s">
        <v>961</v>
      </c>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row>
    <row r="130" spans="1:39" ht="51.75" customHeight="1" x14ac:dyDescent="0.25">
      <c r="A130" s="308" t="s">
        <v>1120</v>
      </c>
      <c r="B130" s="332"/>
      <c r="C130" s="332"/>
      <c r="D130" s="332"/>
      <c r="E130" s="332"/>
      <c r="F130" s="332"/>
      <c r="G130" s="332"/>
      <c r="H130" s="332"/>
      <c r="I130" s="332"/>
      <c r="J130" s="332"/>
      <c r="K130" s="332"/>
      <c r="L130" s="332"/>
      <c r="M130" s="332"/>
      <c r="N130" s="332"/>
      <c r="O130" s="332"/>
      <c r="P130" s="332"/>
      <c r="Q130" s="332"/>
      <c r="R130" s="332"/>
      <c r="S130" s="332"/>
      <c r="T130" s="332"/>
      <c r="U130" s="332"/>
      <c r="V130" s="332"/>
      <c r="W130" s="332"/>
      <c r="X130" s="332"/>
      <c r="Y130" s="332"/>
      <c r="Z130" s="332"/>
      <c r="AA130" s="332"/>
      <c r="AB130" s="332"/>
      <c r="AC130" s="332"/>
      <c r="AD130" s="332"/>
      <c r="AE130" s="332"/>
      <c r="AF130" s="332"/>
      <c r="AG130" s="332"/>
      <c r="AH130" s="332"/>
      <c r="AI130" s="332"/>
      <c r="AJ130" s="332"/>
      <c r="AK130" s="332"/>
      <c r="AL130" s="332"/>
      <c r="AM130" s="76"/>
    </row>
    <row r="131" spans="1:39" ht="45" customHeight="1" x14ac:dyDescent="0.25">
      <c r="A131" s="333" t="str">
        <f>IF(A71=Słowniki!AA3,Słowniki!W6,Słowniki!W5)</f>
        <v>Żaden lokal nie będzie przeznaczony dla rodzin z dziećmi posiadającymi zaświadczenie, o którym mowa w art. 4 ust. 3 ustawy z dnia 4 listopada 2016 r. o wsparciu kobiet w ciąży i rodzin „Za życiem” (Dz. U. z 2024 r. poz. 1829).</v>
      </c>
      <c r="B131" s="333"/>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77" t="str">
        <f>IF(A$131=Słowniki!P1,"Po wydrukowaniu należy przystawić imienną pieczęć i podpisać oświadczenie","")</f>
        <v/>
      </c>
    </row>
    <row r="132" spans="1:39" ht="116.7" customHeight="1" x14ac:dyDescent="0.25">
      <c r="A132" s="308" t="s">
        <v>1123</v>
      </c>
      <c r="B132" s="332"/>
      <c r="C132" s="332"/>
      <c r="D132" s="332"/>
      <c r="E132" s="332"/>
      <c r="F132" s="332"/>
      <c r="G132" s="332"/>
      <c r="H132" s="332"/>
      <c r="I132" s="332"/>
      <c r="J132" s="332"/>
      <c r="K132" s="332"/>
      <c r="L132" s="332"/>
      <c r="M132" s="332"/>
      <c r="N132" s="332"/>
      <c r="O132" s="332"/>
      <c r="P132" s="332"/>
      <c r="Q132" s="332"/>
      <c r="R132" s="332"/>
      <c r="S132" s="332"/>
      <c r="T132" s="332"/>
      <c r="U132" s="332"/>
      <c r="V132" s="332"/>
      <c r="W132" s="332"/>
      <c r="X132" s="332"/>
      <c r="Y132" s="332"/>
      <c r="Z132" s="332"/>
      <c r="AA132" s="332"/>
      <c r="AB132" s="332"/>
      <c r="AC132" s="332"/>
      <c r="AD132" s="332"/>
      <c r="AE132" s="332"/>
      <c r="AF132" s="332"/>
      <c r="AG132" s="332"/>
      <c r="AH132" s="332"/>
      <c r="AI132" s="332"/>
      <c r="AJ132" s="332"/>
      <c r="AK132" s="332"/>
      <c r="AL132" s="332"/>
      <c r="AM132" s="81"/>
    </row>
    <row r="133" spans="1:39" ht="73.2" customHeight="1" x14ac:dyDescent="0.25">
      <c r="A133" s="333" t="s">
        <v>784</v>
      </c>
      <c r="B133" s="333"/>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row>
    <row r="134" spans="1:39" ht="52.5" customHeight="1" x14ac:dyDescent="0.25">
      <c r="A134" s="308" t="s">
        <v>1125</v>
      </c>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8"/>
      <c r="AH134" s="308"/>
      <c r="AI134" s="308"/>
      <c r="AJ134" s="308"/>
      <c r="AK134" s="308"/>
      <c r="AL134" s="308"/>
    </row>
    <row r="135" spans="1:39" ht="73.2" customHeight="1" x14ac:dyDescent="0.25">
      <c r="A135" s="333" t="str">
        <f>IF(SUM(A67,T67)&gt;0,Słowniki!W$10,Słowniki!W$11)</f>
        <v>Nie dotyczy realizowanego przedsięwzięwzięcia</v>
      </c>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row>
    <row r="136" spans="1:39" ht="88.95" customHeight="1" x14ac:dyDescent="0.25">
      <c r="A136" s="308" t="s">
        <v>1126</v>
      </c>
      <c r="B136" s="332"/>
      <c r="C136" s="332"/>
      <c r="D136" s="332"/>
      <c r="E136" s="332"/>
      <c r="F136" s="332"/>
      <c r="G136" s="332"/>
      <c r="H136" s="332"/>
      <c r="I136" s="332"/>
      <c r="J136" s="332"/>
      <c r="K136" s="332"/>
      <c r="L136" s="332"/>
      <c r="M136" s="332"/>
      <c r="N136" s="332"/>
      <c r="O136" s="332"/>
      <c r="P136" s="332"/>
      <c r="Q136" s="332"/>
      <c r="R136" s="332"/>
      <c r="S136" s="332"/>
      <c r="T136" s="332"/>
      <c r="U136" s="332"/>
      <c r="V136" s="332"/>
      <c r="W136" s="332"/>
      <c r="X136" s="332"/>
      <c r="Y136" s="332"/>
      <c r="Z136" s="332"/>
      <c r="AA136" s="332"/>
      <c r="AB136" s="332"/>
      <c r="AC136" s="332"/>
      <c r="AD136" s="332"/>
      <c r="AE136" s="332"/>
      <c r="AF136" s="332"/>
      <c r="AG136" s="332"/>
      <c r="AH136" s="332"/>
      <c r="AI136" s="332"/>
      <c r="AJ136" s="332"/>
      <c r="AK136" s="332"/>
      <c r="AL136" s="332"/>
    </row>
    <row r="137" spans="1:39" ht="73.95" customHeight="1" x14ac:dyDescent="0.25">
      <c r="A137" s="333" t="str">
        <f>IF(AND(A73&gt;Słowniki!AA3,A83&gt;Słowniki!AA3),Słowniki!Z$1,Słowniki!Z$2)</f>
        <v>NIE DOTYCZY</v>
      </c>
      <c r="B137" s="333"/>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77" t="str">
        <f>IF(A$137=Słowniki!P1,"Po wydrukowaniu należy przystawić imienną pieczęć i podpisać oświadczenie","")</f>
        <v/>
      </c>
    </row>
    <row r="138" spans="1:39" ht="70.95" customHeight="1" x14ac:dyDescent="0.25">
      <c r="A138" s="332" t="s">
        <v>1128</v>
      </c>
      <c r="B138" s="332"/>
      <c r="C138" s="332"/>
      <c r="D138" s="332"/>
      <c r="E138" s="332"/>
      <c r="F138" s="332"/>
      <c r="G138" s="332"/>
      <c r="H138" s="332"/>
      <c r="I138" s="332"/>
      <c r="J138" s="332"/>
      <c r="K138" s="332"/>
      <c r="L138" s="332"/>
      <c r="M138" s="332"/>
      <c r="N138" s="332"/>
      <c r="O138" s="332"/>
      <c r="P138" s="332"/>
      <c r="Q138" s="332"/>
      <c r="R138" s="332"/>
      <c r="S138" s="332"/>
      <c r="T138" s="332"/>
      <c r="U138" s="332"/>
      <c r="V138" s="332"/>
      <c r="W138" s="332"/>
      <c r="X138" s="332"/>
      <c r="Y138" s="332"/>
      <c r="Z138" s="332"/>
      <c r="AA138" s="332"/>
      <c r="AB138" s="332"/>
      <c r="AC138" s="332"/>
      <c r="AD138" s="332"/>
      <c r="AE138" s="332"/>
      <c r="AF138" s="332"/>
      <c r="AG138" s="332"/>
      <c r="AH138" s="332"/>
      <c r="AI138" s="332"/>
      <c r="AJ138" s="332"/>
      <c r="AK138" s="332"/>
      <c r="AL138" s="332"/>
    </row>
    <row r="139" spans="1:39" ht="54.45" customHeight="1" x14ac:dyDescent="0.25">
      <c r="A139" s="333" t="str">
        <f>IF(B17=Słowniki!A7,Słowniki!Z3,Słowniki!Z4)</f>
        <v>NIE DOTYCZY</v>
      </c>
      <c r="B139" s="333"/>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row>
    <row r="140" spans="1:39" ht="78" customHeight="1" x14ac:dyDescent="0.25">
      <c r="A140" s="332" t="s">
        <v>1130</v>
      </c>
      <c r="B140" s="332"/>
      <c r="C140" s="332"/>
      <c r="D140" s="332"/>
      <c r="E140" s="332"/>
      <c r="F140" s="332"/>
      <c r="G140" s="332"/>
      <c r="H140" s="332"/>
      <c r="I140" s="332"/>
      <c r="J140" s="332"/>
      <c r="K140" s="332"/>
      <c r="L140" s="332"/>
      <c r="M140" s="332"/>
      <c r="N140" s="332"/>
      <c r="O140" s="332"/>
      <c r="P140" s="332"/>
      <c r="Q140" s="332"/>
      <c r="R140" s="332"/>
      <c r="S140" s="332"/>
      <c r="T140" s="332"/>
      <c r="U140" s="332"/>
      <c r="V140" s="332"/>
      <c r="W140" s="332"/>
      <c r="X140" s="332"/>
      <c r="Y140" s="332"/>
      <c r="Z140" s="332"/>
      <c r="AA140" s="332"/>
      <c r="AB140" s="332"/>
      <c r="AC140" s="332"/>
      <c r="AD140" s="332"/>
      <c r="AE140" s="332"/>
      <c r="AF140" s="332"/>
      <c r="AG140" s="332"/>
      <c r="AH140" s="332"/>
      <c r="AI140" s="332"/>
      <c r="AJ140" s="332"/>
      <c r="AK140" s="332"/>
      <c r="AL140" s="332"/>
      <c r="AM140" s="81" t="s">
        <v>162</v>
      </c>
    </row>
    <row r="141" spans="1:39" ht="90" customHeight="1" x14ac:dyDescent="0.25">
      <c r="A141" s="333"/>
      <c r="B141" s="333"/>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333"/>
      <c r="AH141" s="333"/>
      <c r="AI141" s="333"/>
      <c r="AJ141" s="333"/>
      <c r="AK141" s="333"/>
      <c r="AL141" s="333"/>
    </row>
    <row r="142" spans="1:39" ht="64.2" customHeight="1" x14ac:dyDescent="0.25">
      <c r="A142" s="315" t="s">
        <v>1135</v>
      </c>
      <c r="B142" s="315"/>
      <c r="C142" s="315"/>
      <c r="D142" s="315"/>
      <c r="E142" s="315"/>
      <c r="F142" s="315"/>
      <c r="G142" s="315"/>
      <c r="H142" s="315"/>
      <c r="I142" s="315"/>
      <c r="J142" s="315"/>
      <c r="K142" s="315"/>
      <c r="L142" s="315"/>
      <c r="M142" s="315"/>
      <c r="N142" s="315"/>
      <c r="O142" s="315"/>
      <c r="P142" s="315"/>
      <c r="Q142" s="315"/>
      <c r="R142" s="315"/>
      <c r="S142" s="315"/>
      <c r="T142" s="315"/>
      <c r="U142" s="315"/>
      <c r="V142" s="315"/>
      <c r="W142" s="315"/>
      <c r="X142" s="315"/>
      <c r="Y142" s="315"/>
      <c r="Z142" s="315"/>
      <c r="AA142" s="315"/>
      <c r="AB142" s="315"/>
      <c r="AC142" s="315"/>
      <c r="AD142" s="315"/>
      <c r="AE142" s="315"/>
      <c r="AF142" s="315"/>
      <c r="AG142" s="315"/>
      <c r="AH142" s="315"/>
      <c r="AI142" s="315"/>
      <c r="AJ142" s="315"/>
      <c r="AK142" s="315"/>
      <c r="AL142" s="315"/>
    </row>
    <row r="143" spans="1:39" ht="88.2" customHeight="1" x14ac:dyDescent="0.25">
      <c r="A143" s="333" t="s">
        <v>1146</v>
      </c>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81" t="s">
        <v>162</v>
      </c>
    </row>
    <row r="144" spans="1:39" ht="69" customHeight="1" x14ac:dyDescent="0.25">
      <c r="A144" s="308" t="s">
        <v>1138</v>
      </c>
      <c r="B144" s="332"/>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row>
    <row r="145" spans="1:40" ht="69" customHeight="1" x14ac:dyDescent="0.25">
      <c r="A145" s="333" t="s">
        <v>1139</v>
      </c>
      <c r="B145" s="33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row>
    <row r="146" spans="1:40" ht="30" customHeight="1" x14ac:dyDescent="0.25">
      <c r="A146" s="308" t="s">
        <v>752</v>
      </c>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08"/>
      <c r="AH146" s="308"/>
      <c r="AI146" s="308"/>
      <c r="AJ146" s="308"/>
      <c r="AK146" s="308"/>
      <c r="AL146" s="308"/>
      <c r="AM146" s="60"/>
    </row>
    <row r="147" spans="1:40" ht="59.7" customHeight="1" x14ac:dyDescent="0.25">
      <c r="A147" s="308" t="s">
        <v>979</v>
      </c>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08"/>
      <c r="AH147" s="308"/>
      <c r="AI147" s="308"/>
      <c r="AJ147" s="308"/>
      <c r="AK147" s="308"/>
      <c r="AL147" s="308"/>
    </row>
    <row r="148" spans="1:40" ht="34.5" customHeight="1" x14ac:dyDescent="0.25">
      <c r="A148" s="308" t="s">
        <v>1024</v>
      </c>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c r="AJ148" s="308"/>
      <c r="AK148" s="308"/>
      <c r="AL148" s="308"/>
    </row>
    <row r="149" spans="1:40" ht="80.7" customHeight="1" x14ac:dyDescent="0.25">
      <c r="A149" s="308" t="s">
        <v>1153</v>
      </c>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c r="AD149" s="308"/>
      <c r="AE149" s="308"/>
      <c r="AF149" s="308"/>
      <c r="AG149" s="308"/>
      <c r="AH149" s="308"/>
      <c r="AI149" s="308"/>
      <c r="AJ149" s="308"/>
      <c r="AK149" s="308"/>
      <c r="AL149" s="308"/>
    </row>
    <row r="150" spans="1:40" ht="77.7" customHeight="1" x14ac:dyDescent="0.25">
      <c r="A150" s="308" t="s">
        <v>1002</v>
      </c>
      <c r="B150" s="328"/>
      <c r="C150" s="328"/>
      <c r="D150" s="328"/>
      <c r="E150" s="328"/>
      <c r="F150" s="328"/>
      <c r="G150" s="328"/>
      <c r="H150" s="328"/>
      <c r="I150" s="328"/>
      <c r="J150" s="328"/>
      <c r="K150" s="328"/>
      <c r="L150" s="328"/>
      <c r="M150" s="328"/>
      <c r="N150" s="328"/>
      <c r="O150" s="328"/>
      <c r="P150" s="328"/>
      <c r="Q150" s="328"/>
      <c r="R150" s="328"/>
      <c r="S150" s="328"/>
      <c r="T150" s="328"/>
      <c r="U150" s="328"/>
      <c r="V150" s="328"/>
      <c r="W150" s="328"/>
      <c r="X150" s="328"/>
      <c r="Y150" s="328"/>
      <c r="Z150" s="328"/>
      <c r="AA150" s="328"/>
      <c r="AB150" s="328"/>
      <c r="AC150" s="328"/>
      <c r="AD150" s="328"/>
      <c r="AE150" s="328"/>
      <c r="AF150" s="328"/>
      <c r="AG150" s="328"/>
      <c r="AH150" s="328"/>
      <c r="AI150" s="328"/>
      <c r="AJ150" s="328"/>
      <c r="AK150" s="328"/>
      <c r="AL150" s="328"/>
    </row>
    <row r="151" spans="1:40" ht="23.7" customHeight="1" x14ac:dyDescent="0.25">
      <c r="A151" s="308" t="s">
        <v>1051</v>
      </c>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08"/>
      <c r="AH151" s="308"/>
      <c r="AI151" s="308"/>
      <c r="AJ151" s="308"/>
      <c r="AK151" s="308"/>
      <c r="AL151" s="308"/>
    </row>
    <row r="152" spans="1:40" ht="35.700000000000003" customHeight="1" x14ac:dyDescent="0.25">
      <c r="A152" s="549" t="str">
        <f>IF(B17="Gmina","1)  w przypadku gminy - wójta (burmistrza, prezydenta miasta)",IF(B17="Powiat","3)  w przypadku powiatu - starostę)",IF(B17="Związek międzygminny","2)  w przypadku związku międzygminnego - zarząd związku",IF(OR(B17="Organizacja pozarządowa",B17="Podmiot, o którym mowa w art. 3 ust. 3 ustawy z dnia 24 kwietnia 2003 r. o działalności pożytku publicznego i o wolontariacie"),"4)  w przypadku organizacji pozarządowej lub podmiotów, o których mowa w art. 3 ust. 3 ustawy o działalności pożytku publicznego i o wolontariacie - osobę lub osoby uprawnione do składania oświadczeń woli w imieniu  organizacji",IF(B17="Jednoosobowa spółka gminna","4)  w przypadku jednoosobowej spółki gminnej - osobę lub osoby uprawnione do składania oświadczeń woli w imieniu spółki",IF(B17="",""))))))</f>
        <v/>
      </c>
      <c r="B152" s="550"/>
      <c r="C152" s="550"/>
      <c r="D152" s="550"/>
      <c r="E152" s="550"/>
      <c r="F152" s="550"/>
      <c r="G152" s="550"/>
      <c r="H152" s="550"/>
      <c r="I152" s="550"/>
      <c r="J152" s="550"/>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1"/>
      <c r="AM152" s="454" t="s">
        <v>974</v>
      </c>
    </row>
    <row r="153" spans="1:40" ht="45" customHeight="1" x14ac:dyDescent="0.3">
      <c r="A153" s="546" t="s">
        <v>789</v>
      </c>
      <c r="B153" s="547"/>
      <c r="C153" s="547"/>
      <c r="D153" s="547"/>
      <c r="E153" s="547"/>
      <c r="F153" s="547"/>
      <c r="G153" s="547"/>
      <c r="H153" s="547"/>
      <c r="I153" s="547"/>
      <c r="J153" s="547"/>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8"/>
      <c r="AM153" s="455"/>
      <c r="AN153" s="132"/>
    </row>
    <row r="154" spans="1:40" ht="13.95" customHeight="1" x14ac:dyDescent="0.25">
      <c r="A154" s="449" t="s">
        <v>1148</v>
      </c>
      <c r="B154" s="449"/>
      <c r="C154" s="449"/>
      <c r="D154" s="449"/>
      <c r="E154" s="449"/>
      <c r="F154" s="449"/>
      <c r="G154" s="449"/>
      <c r="H154" s="449"/>
      <c r="I154" s="449"/>
      <c r="J154" s="449"/>
      <c r="K154" s="449"/>
      <c r="L154" s="449"/>
      <c r="M154" s="449"/>
      <c r="N154" s="449"/>
      <c r="O154" s="449"/>
      <c r="P154" s="449"/>
      <c r="Q154" s="449"/>
      <c r="R154" s="449"/>
      <c r="S154" s="449"/>
      <c r="T154" s="449"/>
      <c r="U154" s="449"/>
      <c r="V154" s="449"/>
      <c r="W154" s="449"/>
      <c r="X154" s="449"/>
      <c r="Y154" s="449"/>
      <c r="Z154" s="449"/>
      <c r="AA154" s="449"/>
      <c r="AB154" s="449"/>
      <c r="AC154" s="449"/>
      <c r="AD154" s="449"/>
      <c r="AE154" s="449"/>
      <c r="AF154" s="449"/>
      <c r="AG154" s="449"/>
      <c r="AH154" s="449"/>
      <c r="AI154" s="449"/>
      <c r="AJ154" s="449"/>
      <c r="AK154" s="449"/>
      <c r="AL154" s="449"/>
    </row>
    <row r="155" spans="1:40" ht="13.95" customHeight="1" x14ac:dyDescent="0.3">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c r="W155" s="450"/>
      <c r="X155" s="450"/>
      <c r="Y155" s="450"/>
      <c r="Z155" s="450"/>
      <c r="AA155" s="450"/>
      <c r="AB155" s="450"/>
      <c r="AC155" s="450"/>
      <c r="AD155" s="450"/>
      <c r="AE155" s="450"/>
      <c r="AF155" s="450"/>
      <c r="AG155" s="450"/>
      <c r="AH155" s="450"/>
      <c r="AI155" s="450"/>
      <c r="AJ155" s="450"/>
      <c r="AK155" s="450"/>
      <c r="AL155" s="450"/>
      <c r="AM155" s="256" t="s">
        <v>1155</v>
      </c>
    </row>
    <row r="156" spans="1:40" ht="13.95" customHeight="1" x14ac:dyDescent="0.25">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c r="W156" s="450"/>
      <c r="X156" s="450"/>
      <c r="Y156" s="450"/>
      <c r="Z156" s="450"/>
      <c r="AA156" s="450"/>
      <c r="AB156" s="450"/>
      <c r="AC156" s="450"/>
      <c r="AD156" s="450"/>
      <c r="AE156" s="450"/>
      <c r="AF156" s="450"/>
      <c r="AG156" s="450"/>
      <c r="AH156" s="450"/>
      <c r="AI156" s="450"/>
      <c r="AJ156" s="450"/>
      <c r="AK156" s="450"/>
      <c r="AL156" s="450"/>
      <c r="AM156" s="255" t="s">
        <v>1156</v>
      </c>
    </row>
    <row r="157" spans="1:40" ht="13.95" customHeight="1" x14ac:dyDescent="0.25">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c r="W157" s="450"/>
      <c r="X157" s="450"/>
      <c r="Y157" s="450"/>
      <c r="Z157" s="450"/>
      <c r="AA157" s="450"/>
      <c r="AB157" s="450"/>
      <c r="AC157" s="450"/>
      <c r="AD157" s="450"/>
      <c r="AE157" s="450"/>
      <c r="AF157" s="450"/>
      <c r="AG157" s="450"/>
      <c r="AH157" s="450"/>
      <c r="AI157" s="450"/>
      <c r="AJ157" s="450"/>
      <c r="AK157" s="450"/>
      <c r="AL157" s="450"/>
    </row>
    <row r="158" spans="1:40" ht="145.94999999999999" customHeight="1" x14ac:dyDescent="0.25">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c r="W158" s="450"/>
      <c r="X158" s="450"/>
      <c r="Y158" s="450"/>
      <c r="Z158" s="450"/>
      <c r="AA158" s="450"/>
      <c r="AB158" s="450"/>
      <c r="AC158" s="450"/>
      <c r="AD158" s="450"/>
      <c r="AE158" s="450"/>
      <c r="AF158" s="450"/>
      <c r="AG158" s="450"/>
      <c r="AH158" s="450"/>
      <c r="AI158" s="450"/>
      <c r="AJ158" s="450"/>
      <c r="AK158" s="450"/>
      <c r="AL158" s="450"/>
    </row>
    <row r="159" spans="1:40" ht="28.95" customHeight="1" x14ac:dyDescent="0.25">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c r="AD159" s="228"/>
      <c r="AE159" s="228"/>
      <c r="AF159" s="228"/>
      <c r="AG159" s="228"/>
      <c r="AH159" s="228"/>
      <c r="AI159" s="228"/>
      <c r="AJ159" s="228"/>
      <c r="AK159" s="228"/>
      <c r="AL159" s="228"/>
    </row>
  </sheetData>
  <sheetProtection algorithmName="SHA-512" hashValue="SkaAzu08dR7mVsB9fE3Ju8WSoXzPm600KsTPDVva4K64d+W3t1h1ArnxdJAM/Brwm9rUGUGXwydJwQPvaxqP5A==" saltValue="jJBDOi29QqduUB3/D0QJpQ==" spinCount="100000" sheet="1" formatCells="0" formatRows="0" insertRows="0"/>
  <mergeCells count="374">
    <mergeCell ref="B109:F109"/>
    <mergeCell ref="A60:AL60"/>
    <mergeCell ref="A70:AL70"/>
    <mergeCell ref="A144:AL144"/>
    <mergeCell ref="A145:AL145"/>
    <mergeCell ref="A153:AL153"/>
    <mergeCell ref="A152:AL152"/>
    <mergeCell ref="L97:O97"/>
    <mergeCell ref="B98:F98"/>
    <mergeCell ref="A85:AL85"/>
    <mergeCell ref="A79:AL79"/>
    <mergeCell ref="L98:O98"/>
    <mergeCell ref="A81:AL81"/>
    <mergeCell ref="A94:AL94"/>
    <mergeCell ref="B97:F97"/>
    <mergeCell ref="A92:AL92"/>
    <mergeCell ref="A140:AL140"/>
    <mergeCell ref="P107:S107"/>
    <mergeCell ref="G107:K107"/>
    <mergeCell ref="T107:Z107"/>
    <mergeCell ref="B111:F111"/>
    <mergeCell ref="AA102:AG102"/>
    <mergeCell ref="AK98:AL98"/>
    <mergeCell ref="G100:K100"/>
    <mergeCell ref="L100:O100"/>
    <mergeCell ref="G110:K110"/>
    <mergeCell ref="L110:O110"/>
    <mergeCell ref="G111:K111"/>
    <mergeCell ref="AA109:AG109"/>
    <mergeCell ref="A1:AL1"/>
    <mergeCell ref="AM152:AM153"/>
    <mergeCell ref="A134:AL134"/>
    <mergeCell ref="A135:AL135"/>
    <mergeCell ref="A142:AL142"/>
    <mergeCell ref="A143:AL143"/>
    <mergeCell ref="B102:F102"/>
    <mergeCell ref="AK106:AL106"/>
    <mergeCell ref="P105:S105"/>
    <mergeCell ref="B105:F105"/>
    <mergeCell ref="G105:K105"/>
    <mergeCell ref="L105:O105"/>
    <mergeCell ref="P104:S104"/>
    <mergeCell ref="L103:O103"/>
    <mergeCell ref="B104:F104"/>
    <mergeCell ref="G104:K104"/>
    <mergeCell ref="B112:F112"/>
    <mergeCell ref="A151:AL151"/>
    <mergeCell ref="A86:AL86"/>
    <mergeCell ref="A73:AL73"/>
    <mergeCell ref="T109:Z109"/>
    <mergeCell ref="AA107:AG107"/>
    <mergeCell ref="AH110:AJ110"/>
    <mergeCell ref="P111:S111"/>
    <mergeCell ref="T111:Z111"/>
    <mergeCell ref="L112:O112"/>
    <mergeCell ref="L111:O111"/>
    <mergeCell ref="P110:S110"/>
    <mergeCell ref="P112:S112"/>
    <mergeCell ref="AA110:AG110"/>
    <mergeCell ref="L108:O108"/>
    <mergeCell ref="AK109:AL109"/>
    <mergeCell ref="AK108:AL108"/>
    <mergeCell ref="B107:F107"/>
    <mergeCell ref="AH102:AJ102"/>
    <mergeCell ref="G102:K102"/>
    <mergeCell ref="AH98:AJ98"/>
    <mergeCell ref="AH100:AJ100"/>
    <mergeCell ref="AK101:AL101"/>
    <mergeCell ref="G109:K109"/>
    <mergeCell ref="AH107:AJ107"/>
    <mergeCell ref="AK107:AL107"/>
    <mergeCell ref="G108:K108"/>
    <mergeCell ref="B57:R57"/>
    <mergeCell ref="S57:AL57"/>
    <mergeCell ref="T65:AL65"/>
    <mergeCell ref="B52:AL52"/>
    <mergeCell ref="B54:R54"/>
    <mergeCell ref="S53:AL53"/>
    <mergeCell ref="A80:AL80"/>
    <mergeCell ref="A82:AL82"/>
    <mergeCell ref="B58:AL58"/>
    <mergeCell ref="A59:AL59"/>
    <mergeCell ref="B61:AL61"/>
    <mergeCell ref="A62:AL62"/>
    <mergeCell ref="S55:AL55"/>
    <mergeCell ref="A66:S66"/>
    <mergeCell ref="T66:AL66"/>
    <mergeCell ref="A67:S67"/>
    <mergeCell ref="T67:AL67"/>
    <mergeCell ref="S54:AL54"/>
    <mergeCell ref="B56:R56"/>
    <mergeCell ref="A78:AL78"/>
    <mergeCell ref="A75:AL75"/>
    <mergeCell ref="A63:AL63"/>
    <mergeCell ref="A71:AL71"/>
    <mergeCell ref="A72:AL72"/>
    <mergeCell ref="AM78:AT78"/>
    <mergeCell ref="A154:AL158"/>
    <mergeCell ref="B116:F116"/>
    <mergeCell ref="G116:K116"/>
    <mergeCell ref="L116:O116"/>
    <mergeCell ref="B117:F117"/>
    <mergeCell ref="G117:K117"/>
    <mergeCell ref="L117:O117"/>
    <mergeCell ref="A88:AL88"/>
    <mergeCell ref="A91:AL91"/>
    <mergeCell ref="A96:AL96"/>
    <mergeCell ref="A90:AL90"/>
    <mergeCell ref="A89:AL89"/>
    <mergeCell ref="B114:F114"/>
    <mergeCell ref="G99:K99"/>
    <mergeCell ref="L99:O99"/>
    <mergeCell ref="B100:F100"/>
    <mergeCell ref="A95:AL95"/>
    <mergeCell ref="A93:AI93"/>
    <mergeCell ref="AJ93:AL93"/>
    <mergeCell ref="A150:AL150"/>
    <mergeCell ref="A148:AL148"/>
    <mergeCell ref="AA111:AG111"/>
    <mergeCell ref="G112:K112"/>
    <mergeCell ref="B55:R55"/>
    <mergeCell ref="B110:F110"/>
    <mergeCell ref="AH111:AJ111"/>
    <mergeCell ref="T112:Z112"/>
    <mergeCell ref="AM74:AU75"/>
    <mergeCell ref="AM80:AV80"/>
    <mergeCell ref="AM83:AV83"/>
    <mergeCell ref="P102:S102"/>
    <mergeCell ref="A76:AL76"/>
    <mergeCell ref="A77:AL77"/>
    <mergeCell ref="B74:AL74"/>
    <mergeCell ref="L107:O107"/>
    <mergeCell ref="T98:Z98"/>
    <mergeCell ref="AH101:AJ101"/>
    <mergeCell ref="T105:Z105"/>
    <mergeCell ref="AA103:AG103"/>
    <mergeCell ref="AH103:AJ103"/>
    <mergeCell ref="T103:Z103"/>
    <mergeCell ref="AK99:AL99"/>
    <mergeCell ref="T102:Z102"/>
    <mergeCell ref="AA98:AG98"/>
    <mergeCell ref="AA100:AG100"/>
    <mergeCell ref="A68:AL68"/>
    <mergeCell ref="A52:A57"/>
    <mergeCell ref="A64:S64"/>
    <mergeCell ref="T64:AL64"/>
    <mergeCell ref="A65:S65"/>
    <mergeCell ref="AK100:AL100"/>
    <mergeCell ref="A87:AL87"/>
    <mergeCell ref="A84:AL84"/>
    <mergeCell ref="AA106:AG106"/>
    <mergeCell ref="P106:S106"/>
    <mergeCell ref="AH99:AJ99"/>
    <mergeCell ref="AK103:AL103"/>
    <mergeCell ref="AA105:AG105"/>
    <mergeCell ref="L104:O104"/>
    <mergeCell ref="AH105:AJ105"/>
    <mergeCell ref="P103:S103"/>
    <mergeCell ref="P100:S100"/>
    <mergeCell ref="T100:Z100"/>
    <mergeCell ref="G98:K98"/>
    <mergeCell ref="L102:O102"/>
    <mergeCell ref="AA101:AG101"/>
    <mergeCell ref="B103:F103"/>
    <mergeCell ref="G103:K103"/>
    <mergeCell ref="AK105:AL105"/>
    <mergeCell ref="T104:Z104"/>
    <mergeCell ref="AA104:AG104"/>
    <mergeCell ref="Z48:AJ48"/>
    <mergeCell ref="AK48:AL48"/>
    <mergeCell ref="Z50:AJ50"/>
    <mergeCell ref="Z51:AJ51"/>
    <mergeCell ref="AK51:AL51"/>
    <mergeCell ref="B47:Y47"/>
    <mergeCell ref="B48:Y48"/>
    <mergeCell ref="B49:Y49"/>
    <mergeCell ref="B50:Y50"/>
    <mergeCell ref="B51:Y51"/>
    <mergeCell ref="Z49:AJ49"/>
    <mergeCell ref="AK49:AL49"/>
    <mergeCell ref="Z47:AJ47"/>
    <mergeCell ref="AK47:AL47"/>
    <mergeCell ref="AK50:AL50"/>
    <mergeCell ref="B33:AL33"/>
    <mergeCell ref="B34:AL34"/>
    <mergeCell ref="B35:AL35"/>
    <mergeCell ref="B36:AL36"/>
    <mergeCell ref="B28:AL28"/>
    <mergeCell ref="B29:AL29"/>
    <mergeCell ref="B30:AL30"/>
    <mergeCell ref="B31:AL31"/>
    <mergeCell ref="B32:AL32"/>
    <mergeCell ref="B18:AL18"/>
    <mergeCell ref="A16:A17"/>
    <mergeCell ref="A18:A19"/>
    <mergeCell ref="B17:AL17"/>
    <mergeCell ref="B19:AL19"/>
    <mergeCell ref="A24:A27"/>
    <mergeCell ref="B26:AL26"/>
    <mergeCell ref="B27:AL27"/>
    <mergeCell ref="B21:AL21"/>
    <mergeCell ref="B24:V24"/>
    <mergeCell ref="W24:AL24"/>
    <mergeCell ref="B25:V25"/>
    <mergeCell ref="W25:AL25"/>
    <mergeCell ref="AK110:AL110"/>
    <mergeCell ref="AA112:AG112"/>
    <mergeCell ref="A4:F4"/>
    <mergeCell ref="H4:L4"/>
    <mergeCell ref="A5:F5"/>
    <mergeCell ref="H5:L5"/>
    <mergeCell ref="A20:A23"/>
    <mergeCell ref="A11:AL11"/>
    <mergeCell ref="A12:AL12"/>
    <mergeCell ref="A13:AL13"/>
    <mergeCell ref="B20:AL20"/>
    <mergeCell ref="A7:F7"/>
    <mergeCell ref="G7:L7"/>
    <mergeCell ref="N7:P7"/>
    <mergeCell ref="Q7:AA7"/>
    <mergeCell ref="AB7:AE7"/>
    <mergeCell ref="A8:P8"/>
    <mergeCell ref="B22:AL22"/>
    <mergeCell ref="B23:AL23"/>
    <mergeCell ref="A28:A36"/>
    <mergeCell ref="Q8:AL8"/>
    <mergeCell ref="A9:AL9"/>
    <mergeCell ref="A15:AK15"/>
    <mergeCell ref="B16:AL16"/>
    <mergeCell ref="G113:K113"/>
    <mergeCell ref="L113:O113"/>
    <mergeCell ref="AK117:AL117"/>
    <mergeCell ref="AH113:AJ113"/>
    <mergeCell ref="B113:F113"/>
    <mergeCell ref="P116:S116"/>
    <mergeCell ref="T114:Z114"/>
    <mergeCell ref="AA113:AG113"/>
    <mergeCell ref="T110:Z110"/>
    <mergeCell ref="P113:S113"/>
    <mergeCell ref="T113:Z113"/>
    <mergeCell ref="AK116:AL116"/>
    <mergeCell ref="AK114:AL114"/>
    <mergeCell ref="P115:S115"/>
    <mergeCell ref="AH114:AJ114"/>
    <mergeCell ref="P114:S114"/>
    <mergeCell ref="AA114:AG114"/>
    <mergeCell ref="AH115:AJ115"/>
    <mergeCell ref="AK115:AL115"/>
    <mergeCell ref="T115:Z115"/>
    <mergeCell ref="AA115:AG115"/>
    <mergeCell ref="AK112:AL112"/>
    <mergeCell ref="AK111:AL111"/>
    <mergeCell ref="AK113:AL113"/>
    <mergeCell ref="A131:AL131"/>
    <mergeCell ref="A126:AL126"/>
    <mergeCell ref="L118:O118"/>
    <mergeCell ref="T116:Z116"/>
    <mergeCell ref="AH112:AJ112"/>
    <mergeCell ref="B119:F119"/>
    <mergeCell ref="G119:K119"/>
    <mergeCell ref="AH120:AJ120"/>
    <mergeCell ref="G114:K114"/>
    <mergeCell ref="L114:O114"/>
    <mergeCell ref="B115:F115"/>
    <mergeCell ref="G115:K115"/>
    <mergeCell ref="L115:O115"/>
    <mergeCell ref="AA116:AG116"/>
    <mergeCell ref="AH116:AJ116"/>
    <mergeCell ref="T117:Z117"/>
    <mergeCell ref="P117:S117"/>
    <mergeCell ref="AA117:AG117"/>
    <mergeCell ref="AH117:AJ117"/>
    <mergeCell ref="G118:K118"/>
    <mergeCell ref="L120:O120"/>
    <mergeCell ref="B118:F118"/>
    <mergeCell ref="B120:F120"/>
    <mergeCell ref="G120:K120"/>
    <mergeCell ref="AK119:AL119"/>
    <mergeCell ref="P118:S118"/>
    <mergeCell ref="AA120:AG120"/>
    <mergeCell ref="A129:AL129"/>
    <mergeCell ref="L119:O119"/>
    <mergeCell ref="A128:AL128"/>
    <mergeCell ref="P119:S119"/>
    <mergeCell ref="T119:Z119"/>
    <mergeCell ref="AA119:AG119"/>
    <mergeCell ref="AH119:AJ119"/>
    <mergeCell ref="A122:AL122"/>
    <mergeCell ref="AM68:AM69"/>
    <mergeCell ref="A69:AL69"/>
    <mergeCell ref="AM62:AM67"/>
    <mergeCell ref="A147:AL147"/>
    <mergeCell ref="P120:S120"/>
    <mergeCell ref="A138:AL138"/>
    <mergeCell ref="A146:AL146"/>
    <mergeCell ref="B125:S125"/>
    <mergeCell ref="T125:AJ125"/>
    <mergeCell ref="A130:AL130"/>
    <mergeCell ref="A141:AL141"/>
    <mergeCell ref="A136:AL136"/>
    <mergeCell ref="A137:AL137"/>
    <mergeCell ref="A133:AL133"/>
    <mergeCell ref="A132:AL132"/>
    <mergeCell ref="B124:S124"/>
    <mergeCell ref="T124:AJ124"/>
    <mergeCell ref="P121:S121"/>
    <mergeCell ref="T121:Z121"/>
    <mergeCell ref="AA121:AG121"/>
    <mergeCell ref="AH121:AJ121"/>
    <mergeCell ref="L121:O121"/>
    <mergeCell ref="A127:AL127"/>
    <mergeCell ref="T120:Z120"/>
    <mergeCell ref="B53:R53"/>
    <mergeCell ref="A46:A51"/>
    <mergeCell ref="B46:AL46"/>
    <mergeCell ref="T106:Z106"/>
    <mergeCell ref="B101:F101"/>
    <mergeCell ref="G101:K101"/>
    <mergeCell ref="L101:O101"/>
    <mergeCell ref="B106:F106"/>
    <mergeCell ref="G106:K106"/>
    <mergeCell ref="L106:O106"/>
    <mergeCell ref="AH106:AJ106"/>
    <mergeCell ref="AH104:AJ104"/>
    <mergeCell ref="AK104:AL104"/>
    <mergeCell ref="P97:S97"/>
    <mergeCell ref="T97:Z97"/>
    <mergeCell ref="AA97:AG97"/>
    <mergeCell ref="AH97:AJ97"/>
    <mergeCell ref="AK97:AL97"/>
    <mergeCell ref="P99:S99"/>
    <mergeCell ref="T99:Z99"/>
    <mergeCell ref="AA99:AG99"/>
    <mergeCell ref="B99:F99"/>
    <mergeCell ref="P101:S101"/>
    <mergeCell ref="T101:Z101"/>
    <mergeCell ref="A37:A38"/>
    <mergeCell ref="B39:AL39"/>
    <mergeCell ref="B41:AL41"/>
    <mergeCell ref="A42:A43"/>
    <mergeCell ref="A44:A45"/>
    <mergeCell ref="B44:AL44"/>
    <mergeCell ref="B37:AL37"/>
    <mergeCell ref="B38:S38"/>
    <mergeCell ref="T38:AL38"/>
    <mergeCell ref="A40:A41"/>
    <mergeCell ref="B40:AL40"/>
    <mergeCell ref="B42:AL42"/>
    <mergeCell ref="B43:AL43"/>
    <mergeCell ref="B45:AL45"/>
    <mergeCell ref="G97:K97"/>
    <mergeCell ref="S56:AL56"/>
    <mergeCell ref="AK102:AL102"/>
    <mergeCell ref="P98:S98"/>
    <mergeCell ref="P108:S108"/>
    <mergeCell ref="T108:Z108"/>
    <mergeCell ref="AA108:AG108"/>
    <mergeCell ref="P109:S109"/>
    <mergeCell ref="A149:AL149"/>
    <mergeCell ref="AH109:AJ109"/>
    <mergeCell ref="L109:O109"/>
    <mergeCell ref="AH108:AJ108"/>
    <mergeCell ref="B108:F108"/>
    <mergeCell ref="A83:AL83"/>
    <mergeCell ref="A139:AL139"/>
    <mergeCell ref="B121:K121"/>
    <mergeCell ref="AK121:AL121"/>
    <mergeCell ref="B123:S123"/>
    <mergeCell ref="T123:AJ123"/>
    <mergeCell ref="AK120:AL120"/>
    <mergeCell ref="T118:Z118"/>
    <mergeCell ref="AA118:AG118"/>
    <mergeCell ref="AH118:AJ118"/>
    <mergeCell ref="AK118:AL118"/>
  </mergeCells>
  <conditionalFormatting sqref="A4 H4 A59:A60 A75 AJ93">
    <cfRule type="expression" dxfId="705" priority="348">
      <formula>IF(A4="",1,0)</formula>
    </cfRule>
  </conditionalFormatting>
  <conditionalFormatting sqref="A62:A65">
    <cfRule type="expression" dxfId="704" priority="15">
      <formula>IF(A62="",1,0)</formula>
    </cfRule>
  </conditionalFormatting>
  <conditionalFormatting sqref="A66:A67">
    <cfRule type="expression" dxfId="703" priority="52">
      <formula>IF(A66="",1,0)</formula>
    </cfRule>
  </conditionalFormatting>
  <conditionalFormatting sqref="A68:A73">
    <cfRule type="expression" dxfId="700" priority="23">
      <formula>IF(A68="",1,0)</formula>
    </cfRule>
  </conditionalFormatting>
  <conditionalFormatting sqref="A77">
    <cfRule type="expression" dxfId="699" priority="154">
      <formula>IF(A77="",1,0)</formula>
    </cfRule>
  </conditionalFormatting>
  <conditionalFormatting sqref="A79 A81">
    <cfRule type="expression" dxfId="698" priority="47">
      <formula>IF(A79="",1,0)</formula>
    </cfRule>
  </conditionalFormatting>
  <conditionalFormatting sqref="A83">
    <cfRule type="expression" dxfId="697" priority="46">
      <formula>IF(A83="",1,0)</formula>
    </cfRule>
  </conditionalFormatting>
  <conditionalFormatting sqref="A86:A89">
    <cfRule type="expression" dxfId="696" priority="147">
      <formula>IF(A86="",1,0)</formula>
    </cfRule>
  </conditionalFormatting>
  <conditionalFormatting sqref="A91">
    <cfRule type="expression" dxfId="695" priority="149">
      <formula>IF(A91="",1,0)</formula>
    </cfRule>
  </conditionalFormatting>
  <conditionalFormatting sqref="A93:A95">
    <cfRule type="expression" dxfId="694" priority="13">
      <formula>IF(A93="",1,0)</formula>
    </cfRule>
  </conditionalFormatting>
  <conditionalFormatting sqref="A126:A145">
    <cfRule type="expression" dxfId="693" priority="2">
      <formula>IF(A126="",1,0)</formula>
    </cfRule>
  </conditionalFormatting>
  <conditionalFormatting sqref="A147:A149">
    <cfRule type="expression" dxfId="692" priority="1">
      <formula>IF(A147="",1,0)</formula>
    </cfRule>
  </conditionalFormatting>
  <conditionalFormatting sqref="A152:A153">
    <cfRule type="expression" dxfId="691" priority="162">
      <formula>IF(A152="",1,0)</formula>
    </cfRule>
  </conditionalFormatting>
  <conditionalFormatting sqref="B21">
    <cfRule type="expression" dxfId="684" priority="25">
      <formula>IF(B21="",1,0)</formula>
    </cfRule>
  </conditionalFormatting>
  <conditionalFormatting sqref="B23">
    <cfRule type="expression" dxfId="683" priority="11">
      <formula>IF(B23="",1,0)</formula>
    </cfRule>
  </conditionalFormatting>
  <conditionalFormatting sqref="B30">
    <cfRule type="expression" dxfId="682" priority="65">
      <formula>IF(B30="",1,0)</formula>
    </cfRule>
  </conditionalFormatting>
  <conditionalFormatting sqref="B32">
    <cfRule type="expression" dxfId="681" priority="63">
      <formula>IF(B32="",1,0)</formula>
    </cfRule>
  </conditionalFormatting>
  <conditionalFormatting sqref="B34">
    <cfRule type="expression" dxfId="680" priority="64">
      <formula>IF(B34="",1,0)</formula>
    </cfRule>
  </conditionalFormatting>
  <conditionalFormatting sqref="B36">
    <cfRule type="expression" dxfId="679" priority="62">
      <formula>IF(B36="",1,0)</formula>
    </cfRule>
  </conditionalFormatting>
  <conditionalFormatting sqref="B38">
    <cfRule type="expression" dxfId="678" priority="12">
      <formula>IF(B38="",1,0)</formula>
    </cfRule>
  </conditionalFormatting>
  <conditionalFormatting sqref="B42:B43">
    <cfRule type="expression" dxfId="677" priority="54">
      <formula>IF(B42="",1,0)</formula>
    </cfRule>
  </conditionalFormatting>
  <conditionalFormatting sqref="B45">
    <cfRule type="expression" dxfId="676" priority="53">
      <formula>IF(B45="",1,0)</formula>
    </cfRule>
  </conditionalFormatting>
  <conditionalFormatting sqref="B53:B57">
    <cfRule type="expression" dxfId="675" priority="114">
      <formula>IF(B53="",1,0)</formula>
    </cfRule>
  </conditionalFormatting>
  <conditionalFormatting sqref="B99:B120">
    <cfRule type="expression" dxfId="674" priority="67">
      <formula>IF(B99="",1,0)</formula>
    </cfRule>
  </conditionalFormatting>
  <conditionalFormatting sqref="B17:AL17 B19 W25 B25:B27">
    <cfRule type="expression" dxfId="673" priority="66">
      <formula>IF(B17="",1,0)</formula>
    </cfRule>
  </conditionalFormatting>
  <conditionalFormatting sqref="G99:G120">
    <cfRule type="expression" dxfId="672" priority="71">
      <formula>IF(G99="",1,0)</formula>
    </cfRule>
  </conditionalFormatting>
  <conditionalFormatting sqref="L99:L120">
    <cfRule type="expression" dxfId="671" priority="70">
      <formula>IF(L99="",1,0)</formula>
    </cfRule>
  </conditionalFormatting>
  <conditionalFormatting sqref="N7">
    <cfRule type="expression" dxfId="670" priority="28">
      <formula>IF(N7="",1,0)</formula>
    </cfRule>
  </conditionalFormatting>
  <conditionalFormatting sqref="P99:P120">
    <cfRule type="expression" dxfId="669" priority="68">
      <formula>IF(P99="",1,0)</formula>
    </cfRule>
  </conditionalFormatting>
  <conditionalFormatting sqref="Q8:AL8">
    <cfRule type="expression" dxfId="668" priority="26">
      <formula>IF(Q8="",1,0)</formula>
    </cfRule>
  </conditionalFormatting>
  <conditionalFormatting sqref="S53:S57">
    <cfRule type="expression" dxfId="667" priority="113">
      <formula>IF(S53="",1,0)</formula>
    </cfRule>
  </conditionalFormatting>
  <conditionalFormatting sqref="T65">
    <cfRule type="expression" dxfId="666" priority="14">
      <formula>IF(T65="",1,0)</formula>
    </cfRule>
  </conditionalFormatting>
  <conditionalFormatting sqref="T66:T67">
    <cfRule type="expression" dxfId="665" priority="49">
      <formula>IF(T66="",1,0)</formula>
    </cfRule>
  </conditionalFormatting>
  <conditionalFormatting sqref="T123:T124">
    <cfRule type="expression" dxfId="663" priority="129">
      <formula>IF(T123="",1,0)</formula>
    </cfRule>
  </conditionalFormatting>
  <conditionalFormatting sqref="Z48">
    <cfRule type="expression" dxfId="662" priority="156">
      <formula>IF(Z48="",1,0)</formula>
    </cfRule>
  </conditionalFormatting>
  <conditionalFormatting sqref="Z50">
    <cfRule type="expression" dxfId="661" priority="155">
      <formula>IF(Z50="",1,0)</formula>
    </cfRule>
  </conditionalFormatting>
  <conditionalFormatting sqref="Z51">
    <cfRule type="expression" dxfId="660" priority="7350">
      <formula>IF($Z$51&lt;&gt;$AK$121,1,0)</formula>
    </cfRule>
  </conditionalFormatting>
  <conditionalFormatting sqref="AB7">
    <cfRule type="expression" dxfId="659" priority="27">
      <formula>IF(AB7="",1,0)</formula>
    </cfRule>
  </conditionalFormatting>
  <conditionalFormatting sqref="AH99:AH120">
    <cfRule type="expression" dxfId="658" priority="76">
      <formula>IF(AH99="",1,0)</formula>
    </cfRule>
  </conditionalFormatting>
  <dataValidations xWindow="738" yWindow="393" count="30">
    <dataValidation allowBlank="1" showInputMessage="1" showErrorMessage="1" promptTitle="Wprowadź" prompt="adres beneficjenta" sqref="B21" xr:uid="{00000000-0002-0000-0300-000000000000}"/>
    <dataValidation allowBlank="1" showInputMessage="1" showErrorMessage="1" promptTitle="Wprowadź" prompt="dane" sqref="B30:AL30 B32:AL32 AJ93:AL93" xr:uid="{00000000-0002-0000-0300-000001000000}"/>
    <dataValidation allowBlank="1" showInputMessage="1" showErrorMessage="1" promptTitle="Wprowadź" prompt="adres przedsięwzięcia" sqref="A77" xr:uid="{00000000-0002-0000-0300-000002000000}"/>
    <dataValidation type="textLength" operator="equal" allowBlank="1" showInputMessage="1" showErrorMessage="1" errorTitle="REGON" error="REGON to ciąg dziewięciu cyfr np. 571961124" promptTitle="Wprowadź" prompt="nr REGON" sqref="W25:AL25" xr:uid="{00000000-0002-0000-0300-000003000000}">
      <formula1>9</formula1>
    </dataValidation>
    <dataValidation type="textLength" operator="equal" allowBlank="1" showInputMessage="1" showErrorMessage="1" errorTitle="NIP" error="NIP to ciąg dziesięciu cyfr np. 5719611245" promptTitle="Wprowadź" prompt="NIP" sqref="B25:V25" xr:uid="{00000000-0002-0000-0300-000005000000}">
      <formula1>10</formula1>
    </dataValidation>
    <dataValidation type="whole" allowBlank="1" showInputMessage="1" showErrorMessage="1" promptTitle="Wprowadź" prompt="opcjonalni ilość" sqref="T67 A67 A69" xr:uid="{00000000-0002-0000-0300-000006000000}">
      <formula1>0</formula1>
      <formula2>10000000</formula2>
    </dataValidation>
    <dataValidation type="decimal" allowBlank="1" showInputMessage="1" showErrorMessage="1" promptTitle="Wprowadź" prompt="kwotę" sqref="Z49" xr:uid="{00000000-0002-0000-0300-000007000000}">
      <formula1>0</formula1>
      <formula2>100000000000000000</formula2>
    </dataValidation>
    <dataValidation type="decimal" allowBlank="1" showInputMessage="1" showErrorMessage="1" promptTitle="Wprowadź" prompt="kwotę" sqref="Z50" xr:uid="{00000000-0002-0000-0300-000008000000}">
      <formula1>0</formula1>
      <formula2>10000000000000000000</formula2>
    </dataValidation>
    <dataValidation type="decimal" allowBlank="1" showInputMessage="1" showErrorMessage="1" promptTitle="Wprowadź " prompt="wielkość" sqref="A81:AL81 A83" xr:uid="{00000000-0002-0000-0300-000009000000}">
      <formula1>0</formula1>
      <formula2>1E+31</formula2>
    </dataValidation>
    <dataValidation type="textLength" operator="greaterThan" allowBlank="1" showInputMessage="1" showErrorMessage="1" promptTitle="Wprowadź" prompt="nazwę beneficjenta" sqref="B19:AL19" xr:uid="{00000000-0002-0000-0300-00000A000000}">
      <formula1>3</formula1>
    </dataValidation>
    <dataValidation allowBlank="1" showErrorMessage="1" promptTitle="Wybierz" prompt="właściwe" sqref="A136 A130:AL130 A132:AL132" xr:uid="{00000000-0002-0000-0300-00000B000000}"/>
    <dataValidation type="decimal" allowBlank="1" showInputMessage="1" showErrorMessage="1" sqref="AH99:AJ120" xr:uid="{00000000-0002-0000-0300-00000C000000}">
      <formula1>0</formula1>
      <formula2>1</formula2>
    </dataValidation>
    <dataValidation type="whole" allowBlank="1" showInputMessage="1" showErrorMessage="1" promptTitle="Wprowadź " prompt="ilość" sqref="A73:AL73 A71:AL71 A65" xr:uid="{00000000-0002-0000-0300-00000D000000}">
      <formula1>0</formula1>
      <formula2>1000000</formula2>
    </dataValidation>
    <dataValidation allowBlank="1" showInputMessage="1" showErrorMessage="1" promptTitle="Wybierz" prompt="właściwe" sqref="A138:AL138 A152:AL152 A64" xr:uid="{00000000-0002-0000-0300-00000E000000}"/>
    <dataValidation type="whole" allowBlank="1" showInputMessage="1" showErrorMessage="1" promptTitle="Wprowadź" prompt="ilość" sqref="A63:AL63" xr:uid="{00000000-0002-0000-0300-00000F000000}">
      <formula1>0</formula1>
      <formula2>1000000000000000000</formula2>
    </dataValidation>
    <dataValidation allowBlank="1" showErrorMessage="1" promptTitle="Wprowadź" prompt="kwotę" sqref="B41" xr:uid="{00000000-0002-0000-0300-000010000000}"/>
    <dataValidation allowBlank="1" showInputMessage="1" showErrorMessage="1" promptTitle="Wprowadź" prompt="adres ePUAP beneficjenta" sqref="B22" xr:uid="{2829351A-A03A-44E7-91C6-DA04DC3C61C5}"/>
    <dataValidation type="textLength" operator="equal" allowBlank="1" showInputMessage="1" errorTitle="KRS" promptTitle="Wprowadź" prompt="numer KRS" sqref="B27:AL27" xr:uid="{00000000-0002-0000-0300-000013000000}">
      <formula1>10</formula1>
    </dataValidation>
    <dataValidation type="decimal" allowBlank="1" showInputMessage="1" showErrorMessage="1" promptTitle="Wprowadź" prompt="wielkość" sqref="A79:AL79" xr:uid="{00000000-0002-0000-0300-000014000000}">
      <formula1>0</formula1>
      <formula2>1.111E+32</formula2>
    </dataValidation>
    <dataValidation allowBlank="1" showErrorMessage="1" promptTitle="Wybierz" prompt="właściwe oświadczenie" sqref="A87:AL87 A126:AL126 A128:AL128" xr:uid="{00000000-0002-0000-0300-000015000000}"/>
    <dataValidation allowBlank="1" showInputMessage="1" showErrorMessage="1" promptTitle="Wpisz " prompt="przyczyny braku instalacji wyposażenia lub wpisz nie dotyczy" sqref="A89:AL89" xr:uid="{00000000-0002-0000-0300-000016000000}"/>
    <dataValidation allowBlank="1" showErrorMessage="1" promptTitle="Wprowadź" prompt="nr księgi wieczystej - nr działki ewidencyjnej" sqref="A140:AL140 A147:AL147 A148:A149" xr:uid="{00000000-0002-0000-0300-000017000000}"/>
    <dataValidation type="decimal" allowBlank="1" showInputMessage="1" promptTitle="Wybierz" prompt="właściwą wysokość wsparcia lub wpiszmniejszą wartość" sqref="T123:AJ123" xr:uid="{00000000-0002-0000-0300-000018000000}">
      <formula1>0</formula1>
      <formula2>0.8</formula2>
    </dataValidation>
    <dataValidation allowBlank="1" showInputMessage="1" showErrorMessage="1" promptTitle="Wprowadź" prompt="wartość_x000a_" sqref="S53:AL57" xr:uid="{00000000-0002-0000-0300-000019000000}"/>
    <dataValidation allowBlank="1" promptTitle="Wprowadź" prompt="numer rachunku bankowego" sqref="B53:R57" xr:uid="{00000000-0002-0000-0300-00001A000000}"/>
    <dataValidation allowBlank="1" showInputMessage="1" showErrorMessage="1" promptTitle="Wprowadź" prompt="Adres do doręczeń elektronicznych" sqref="B23:AL23" xr:uid="{AC150F7C-2657-47FF-8C97-E3E4AFF69530}"/>
    <dataValidation operator="greaterThanOrEqual" allowBlank="1" showInputMessage="1" showErrorMessage="1" promptTitle="Wprowadź" prompt="datę w formacie rrrr-mm-dd_x000a_" sqref="B45:AL45" xr:uid="{00000000-0002-0000-0300-00001C000000}"/>
    <dataValidation allowBlank="1" showInputMessage="1" showErrorMessage="1" promptTitle="Wprowadź" prompt="opcjonalni ilość" sqref="A68:AL68" xr:uid="{00000000-0002-0000-0300-00001D000000}"/>
    <dataValidation type="textLength" operator="equal" allowBlank="1" showInputMessage="1" promptTitle="Wprowadź" prompt="numer rachunku bankowego" sqref="T38:AL38" xr:uid="{59462832-2001-4CB6-A724-E8EE5952C542}">
      <formula1>26</formula1>
    </dataValidation>
    <dataValidation type="textLength" operator="equal" showInputMessage="1" promptTitle="Wprowadź" prompt="numer rachunku bankowego tj. 26 cyfr" sqref="B38:S38" xr:uid="{23A6CC7E-213B-4244-8ADA-B14DB170EC80}">
      <formula1>26</formula1>
    </dataValidation>
  </dataValidations>
  <hyperlinks>
    <hyperlink ref="AM41" location="'Wniosek inne '!B93" display="Kliknij &quot;tutaj&quot; i przejdź do wypełnienia zestawienia kosztów" xr:uid="{00000000-0004-0000-0300-000000000000}"/>
    <hyperlink ref="B41:AL41" location="'Wniosek inne '!B96" display="'Wniosek inne '!B96" xr:uid="{00000000-0004-0000-0300-000001000000}"/>
    <hyperlink ref="AM20" r:id="rId1" display="Weryfikocji można dokonać na stronie internetowej -&gt; https://eteryt.stat.gov.pl/eTeryt/rejestr_teryt/udostepnianie_danych/baza_teryt/uzytkownicy_indywidualni/wyszukiwanie/wyszukiwanie.aspx?contrast=default" xr:uid="{00000000-0004-0000-0300-000002000000}"/>
    <hyperlink ref="AM22" r:id="rId2" xr:uid="{00000000-0004-0000-0300-000003000000}"/>
    <hyperlink ref="AM18" r:id="rId3" xr:uid="{00000000-0004-0000-0300-000004000000}"/>
    <hyperlink ref="AM24" r:id="rId4" xr:uid="{00000000-0004-0000-0300-000005000000}"/>
    <hyperlink ref="AM26" r:id="rId5" xr:uid="{00000000-0004-0000-0300-000006000000}"/>
    <hyperlink ref="AM156" r:id="rId6" xr:uid="{56A8C1A8-E22A-48A1-9F67-3E3BCEB33F29}"/>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51" id="{26C3B661-1B87-4126-B568-BB6AEFABEEB0}">
            <xm:f>IF($A$78=Słowniki!$F$19,1,0)</xm:f>
            <x14:dxf>
              <fill>
                <patternFill>
                  <bgColor theme="0"/>
                </patternFill>
              </fill>
            </x14:dxf>
          </x14:cfRule>
          <xm:sqref>A67</xm:sqref>
        </x14:conditionalFormatting>
        <x14:conditionalFormatting xmlns:xm="http://schemas.microsoft.com/office/excel/2006/main">
          <x14:cfRule type="expression" priority="22" id="{B2E08FA6-D646-402D-B0E7-31EF241705E8}">
            <xm:f>IF($A$76=Słowniki!$F$19,1,0)</xm:f>
            <x14:dxf>
              <fill>
                <patternFill>
                  <bgColor theme="0"/>
                </patternFill>
              </fill>
            </x14:dxf>
          </x14:cfRule>
          <xm:sqref>A68:A69</xm:sqref>
        </x14:conditionalFormatting>
        <x14:conditionalFormatting xmlns:xm="http://schemas.microsoft.com/office/excel/2006/main">
          <x14:cfRule type="expression" priority="152" id="{B9422E5B-6FE8-4140-BBB3-D62971F15B6A}">
            <xm:f>IF(#REF!=Słowniki!$P$2,1,0)</xm:f>
            <x14:dxf>
              <font>
                <b/>
                <i val="0"/>
                <strike/>
                <color theme="1"/>
              </font>
            </x14:dxf>
          </x14:cfRule>
          <xm:sqref>A85:AL85</xm:sqref>
        </x14:conditionalFormatting>
        <x14:conditionalFormatting xmlns:xm="http://schemas.microsoft.com/office/excel/2006/main">
          <x14:cfRule type="expression" priority="10" id="{E4A60D7B-0A76-42DB-BFBE-DB561AD3DE1D}">
            <xm:f>IF($A$107=Słowniki!$P$2,1,0)</xm:f>
            <x14:dxf>
              <font>
                <strike/>
              </font>
            </x14:dxf>
          </x14:cfRule>
          <xm:sqref>A90:AL90</xm:sqref>
        </x14:conditionalFormatting>
        <x14:conditionalFormatting xmlns:xm="http://schemas.microsoft.com/office/excel/2006/main">
          <x14:cfRule type="expression" priority="20" id="{CC73F844-F950-40DC-862A-585AB4E74358}">
            <xm:f>IF('Wniosek art 5 budowa'!$A$151=Słowniki!$P$2,1,0)</xm:f>
            <x14:dxf>
              <font>
                <strike/>
              </font>
            </x14:dxf>
          </x14:cfRule>
          <xm:sqref>A92:AL92</xm:sqref>
        </x14:conditionalFormatting>
        <x14:conditionalFormatting xmlns:xm="http://schemas.microsoft.com/office/excel/2006/main">
          <x14:cfRule type="expression" priority="7" id="{3078E97D-C70E-4E64-ABA6-9B8893C99E71}">
            <xm:f>IF($A$161=Słowniki!$P$2,1,0)</xm:f>
            <x14:dxf>
              <font>
                <strike/>
              </font>
            </x14:dxf>
          </x14:cfRule>
          <xm:sqref>A130:AL130</xm:sqref>
        </x14:conditionalFormatting>
        <x14:conditionalFormatting xmlns:xm="http://schemas.microsoft.com/office/excel/2006/main">
          <x14:cfRule type="expression" priority="36" id="{05FBF97E-FB8D-43F0-84D3-7E64C2F2E4F6}">
            <xm:f>IF($A$156=Słowniki!$P$2,1,0)</xm:f>
            <x14:dxf>
              <font>
                <strike/>
              </font>
            </x14:dxf>
          </x14:cfRule>
          <xm:sqref>A136:AL136</xm:sqref>
        </x14:conditionalFormatting>
        <x14:conditionalFormatting xmlns:xm="http://schemas.microsoft.com/office/excel/2006/main">
          <x14:cfRule type="expression" priority="35" id="{F83AFA7B-B073-4FB2-8843-EC258970B999}">
            <xm:f>IF(#REF!=Słowniki!$Q$2,1,0)</xm:f>
            <x14:dxf>
              <font>
                <strike/>
              </font>
            </x14:dxf>
          </x14:cfRule>
          <xm:sqref>A138:AL138</xm:sqref>
        </x14:conditionalFormatting>
        <x14:conditionalFormatting xmlns:xm="http://schemas.microsoft.com/office/excel/2006/main">
          <x14:cfRule type="expression" priority="48" id="{476A9F9F-7C4B-4AA1-86DA-2F5F2DD787EF}">
            <xm:f>IF($A$78=Słowniki!$F$19,1,0)</xm:f>
            <x14:dxf>
              <fill>
                <patternFill>
                  <bgColor theme="0"/>
                </patternFill>
              </fill>
            </x14:dxf>
          </x14:cfRule>
          <xm:sqref>T67</xm:sqref>
        </x14:conditionalFormatting>
      </x14:conditionalFormattings>
    </ext>
    <ext xmlns:x14="http://schemas.microsoft.com/office/spreadsheetml/2009/9/main" uri="{CCE6A557-97BC-4b89-ADB6-D9C93CAAB3DF}">
      <x14:dataValidations xmlns:xm="http://schemas.microsoft.com/office/excel/2006/main" xWindow="738" yWindow="393" count="27">
        <x14:dataValidation type="list" allowBlank="1" showInputMessage="1" showErrorMessage="1" promptTitle="Wybierz" prompt="właściwe" xr:uid="{00000000-0002-0000-0300-00001F000000}">
          <x14:formula1>
            <xm:f>Słowniki!$H$2:$H$5</xm:f>
          </x14:formula1>
          <xm:sqref>B74:AL74</xm:sqref>
        </x14:dataValidation>
        <x14:dataValidation type="list" allowBlank="1" showInputMessage="1" showErrorMessage="1" promptTitle="Wybierz" prompt="beneficjenta" xr:uid="{00000000-0002-0000-0300-000020000000}">
          <x14:formula1>
            <xm:f>Słowniki!$A$3:$A$7</xm:f>
          </x14:formula1>
          <xm:sqref>B17:AL17</xm:sqref>
        </x14:dataValidation>
        <x14:dataValidation type="list" allowBlank="1" showInputMessage="1" showErrorMessage="1" promptTitle="Wybierz" prompt="właściwe" xr:uid="{00000000-0002-0000-0300-000021000000}">
          <x14:formula1>
            <xm:f>Słowniki!$AO$1:$AO$2</xm:f>
          </x14:formula1>
          <xm:sqref>B42:AL42</xm:sqref>
        </x14:dataValidation>
        <x14:dataValidation type="list" allowBlank="1" showInputMessage="1" promptTitle="Wprowadź" prompt="dane lub wybierz nie dotyczy" xr:uid="{00000000-0002-0000-0300-000024000000}">
          <x14:formula1>
            <xm:f>Słowniki!$F$26</xm:f>
          </x14:formula1>
          <xm:sqref>B34:AL34 B36:AL36</xm:sqref>
        </x14:dataValidation>
        <x14:dataValidation type="list" allowBlank="1" showInputMessage="1" showErrorMessage="1" promptTitle="Wybierz" prompt="właściwe" xr:uid="{00000000-0002-0000-0300-000025000000}">
          <x14:formula1>
            <xm:f>Słowniki!$AD$4:$AD$7</xm:f>
          </x14:formula1>
          <xm:sqref>A141:AL141</xm:sqref>
        </x14:dataValidation>
        <x14:dataValidation type="list" allowBlank="1" showInputMessage="1" showErrorMessage="1" promptTitle="Wybierz" prompt="właściwe" xr:uid="{00000000-0002-0000-0300-000026000000}">
          <x14:formula1>
            <xm:f>Słowniki!$U$1:$U$2</xm:f>
          </x14:formula1>
          <xm:sqref>A86:AL86</xm:sqref>
        </x14:dataValidation>
        <x14:dataValidation type="list" allowBlank="1" showInputMessage="1" showErrorMessage="1" promptTitle="Wybierz" prompt="właściwe" xr:uid="{00000000-0002-0000-0300-000027000000}">
          <x14:formula1>
            <xm:f>Słowniki!$V$3:$V$5</xm:f>
          </x14:formula1>
          <xm:sqref>A88:AL88</xm:sqref>
        </x14:dataValidation>
        <x14:dataValidation type="list" allowBlank="1" showInputMessage="1" showErrorMessage="1" promptTitle="Wybierz" prompt="właściwe" xr:uid="{00000000-0002-0000-0300-000028000000}">
          <x14:formula1>
            <xm:f>Słowniki!$U$5:$U$6</xm:f>
          </x14:formula1>
          <xm:sqref>A91:AL91</xm:sqref>
        </x14:dataValidation>
        <x14:dataValidation type="list" allowBlank="1" showInputMessage="1" showErrorMessage="1" promptTitle="Wybierz" prompt="właściwe" xr:uid="{00000000-0002-0000-0300-000029000000}">
          <x14:formula1>
            <xm:f>Słowniki!$Z$3:$Z$4</xm:f>
          </x14:formula1>
          <xm:sqref>A139:AL139</xm:sqref>
        </x14:dataValidation>
        <x14:dataValidation type="list" allowBlank="1" showInputMessage="1" showErrorMessage="1" promptTitle="Wybierz" prompt="właściwe" xr:uid="{00000000-0002-0000-0300-00002A000000}">
          <x14:formula1>
            <xm:f>Słowniki!$Y$1:$Y$6</xm:f>
          </x14:formula1>
          <xm:sqref>A133:AL133</xm:sqref>
        </x14:dataValidation>
        <x14:dataValidation type="list" allowBlank="1" showInputMessage="1" showErrorMessage="1" promptTitle="Wybierz" prompt="właściwe" xr:uid="{00000000-0002-0000-0300-00002B000000}">
          <x14:formula1>
            <xm:f>Słowniki!$Z$1:$Z$2</xm:f>
          </x14:formula1>
          <xm:sqref>A137:AL137</xm:sqref>
        </x14:dataValidation>
        <x14:dataValidation type="list" allowBlank="1" showInputMessage="1" showErrorMessage="1" promptTitle="Wybierz" prompt="właściwe" xr:uid="{00000000-0002-0000-0300-00002C000000}">
          <x14:formula1>
            <xm:f>Słowniki!$W$5:$W$6</xm:f>
          </x14:formula1>
          <xm:sqref>A131:AL131</xm:sqref>
        </x14:dataValidation>
        <x14:dataValidation type="list" allowBlank="1" showInputMessage="1" showErrorMessage="1" promptTitle="Wybierz" prompt="właściwe" xr:uid="{00000000-0002-0000-0300-00002D000000}">
          <x14:formula1>
            <xm:f>Słowniki!$W$1:$W$2</xm:f>
          </x14:formula1>
          <xm:sqref>A127:AL127</xm:sqref>
        </x14:dataValidation>
        <x14:dataValidation type="list" allowBlank="1" showInputMessage="1" showErrorMessage="1" promptTitle="Wybierz" prompt="właściwe" xr:uid="{00000000-0002-0000-0300-00002E000000}">
          <x14:formula1>
            <xm:f>Słowniki!$W$3:$W$4</xm:f>
          </x14:formula1>
          <xm:sqref>A129:AL129</xm:sqref>
        </x14:dataValidation>
        <x14:dataValidation type="list" allowBlank="1" showInputMessage="1" showErrorMessage="1" promptTitle="Wybierz" prompt="właściwe" xr:uid="{00000000-0002-0000-0300-00002F000000}">
          <x14:formula1>
            <xm:f>Słowniki!$E$169:$E$170</xm:f>
          </x14:formula1>
          <xm:sqref>T124:AJ124</xm:sqref>
        </x14:dataValidation>
        <x14:dataValidation type="list" errorStyle="information" allowBlank="1" showInputMessage="1" showErrorMessage="1" xr:uid="{00000000-0002-0000-0300-000030000000}">
          <x14:formula1>
            <xm:f>Słowniki!$A$34:$A$39</xm:f>
          </x14:formula1>
          <xm:sqref>G99:K120</xm:sqref>
        </x14:dataValidation>
        <x14:dataValidation type="list" allowBlank="1" showInputMessage="1" showErrorMessage="1" promptTitle="Wybierz" prompt="właściwe" xr:uid="{00000000-0002-0000-0300-000031000000}">
          <x14:formula1>
            <xm:f>Słowniki!$E$3:$E$7</xm:f>
          </x14:formula1>
          <xm:sqref>A59:AL59</xm:sqref>
        </x14:dataValidation>
        <x14:dataValidation type="list" allowBlank="1" showInputMessage="1" showErrorMessage="1" promptTitle="Wybierz" prompt="jeżeli przedsięwzięcie jest mieszane" xr:uid="{00000000-0002-0000-0300-000032000000}">
          <x14:formula1>
            <xm:f>Słowniki!$E$3:$E$8</xm:f>
          </x14:formula1>
          <xm:sqref>A60:AL60</xm:sqref>
        </x14:dataValidation>
        <x14:dataValidation type="list" allowBlank="1" showInputMessage="1" showErrorMessage="1" xr:uid="{00000000-0002-0000-0300-000034000000}">
          <x14:formula1>
            <xm:f>Słowniki!$F$38:$F$40</xm:f>
          </x14:formula1>
          <xm:sqref>A62:AL62</xm:sqref>
        </x14:dataValidation>
        <x14:dataValidation type="list" allowBlank="1" showInputMessage="1" showErrorMessage="1" promptTitle="Wprowadź" prompt="opcjonalnie dla przedsięwźięć mieszanych" xr:uid="{00000000-0002-0000-0300-000035000000}">
          <x14:formula1>
            <xm:f>Słowniki!$F$3:$F$5</xm:f>
          </x14:formula1>
          <xm:sqref>A66 T66</xm:sqref>
        </x14:dataValidation>
        <x14:dataValidation type="list" allowBlank="1" showInputMessage="1" showErrorMessage="1" promptTitle="Wybierz" prompt="właściwy rodzaj" xr:uid="{00000000-0002-0000-0300-000036000000}">
          <x14:formula1>
            <xm:f>Słowniki!$J$2</xm:f>
          </x14:formula1>
          <xm:sqref>A75:AL75</xm:sqref>
        </x14:dataValidation>
        <x14:dataValidation type="list" allowBlank="1" showInputMessage="1" showErrorMessage="1" promptTitle="Wybierz" prompt="właściwe" xr:uid="{00000000-0002-0000-0300-000037000000}">
          <x14:formula1>
            <xm:f>Słowniki!$W$10:$W$11</xm:f>
          </x14:formula1>
          <xm:sqref>A135:AL135</xm:sqref>
        </x14:dataValidation>
        <x14:dataValidation type="list" allowBlank="1" showInputMessage="1" showErrorMessage="1" promptTitle="Wybierz" prompt="właściwe" xr:uid="{00000000-0002-0000-0300-000038000000}">
          <x14:formula1>
            <xm:f>Słowniki!$W$12:$W$14</xm:f>
          </x14:formula1>
          <xm:sqref>A143:AL143</xm:sqref>
        </x14:dataValidation>
        <x14:dataValidation type="list" allowBlank="1" showInputMessage="1" showErrorMessage="1" promptTitle="Wybierz" prompt="właściwe" xr:uid="{00000000-0002-0000-0300-000039000000}">
          <x14:formula1>
            <xm:f>Słowniki!$C$3:$C$4</xm:f>
          </x14:formula1>
          <xm:sqref>AB7:AE7 N7:P7</xm:sqref>
        </x14:dataValidation>
        <x14:dataValidation type="list" errorStyle="information" allowBlank="1" showInputMessage="1" showErrorMessage="1" promptTitle="Wybierz" prompt="właściwe" xr:uid="{8656CBA9-0127-4800-AE95-67792B41EBB3}">
          <x14:formula1>
            <xm:f>Słowniki!$A$46:$A$60</xm:f>
          </x14:formula1>
          <xm:sqref>B99:F120</xm:sqref>
        </x14:dataValidation>
        <x14:dataValidation type="list" allowBlank="1" showInputMessage="1" showErrorMessage="1" xr:uid="{8EB2F340-C1AA-47B3-8D3E-94E5DC21FFB0}">
          <x14:formula1>
            <xm:f>Słowniki!$Y$9:$Y$10</xm:f>
          </x14:formula1>
          <xm:sqref>A145:AL145</xm:sqref>
        </x14:dataValidation>
        <x14:dataValidation type="date" operator="greaterThan" allowBlank="1" showInputMessage="1" showErrorMessage="1" promptTitle="Wprowadź" prompt="datę w formacie rrrr-mm-dd_x000a_" xr:uid="{00000000-0002-0000-0300-00003A000000}">
          <x14:formula1>
            <xm:f>Słowniki!AQ1</xm:f>
          </x14:formula1>
          <xm:sqref>B43:AL43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usz6"/>
  <dimension ref="A1:BG152"/>
  <sheetViews>
    <sheetView showGridLines="0" topLeftCell="A144" zoomScaleNormal="100" workbookViewId="0">
      <selection activeCell="A146" sqref="A146:AL146"/>
    </sheetView>
  </sheetViews>
  <sheetFormatPr defaultColWidth="9.33203125" defaultRowHeight="13.8" x14ac:dyDescent="0.25"/>
  <cols>
    <col min="1" max="1" width="3.33203125" style="60" customWidth="1"/>
    <col min="2" max="2" width="4" style="60" customWidth="1"/>
    <col min="3" max="3" width="2.33203125" style="60" customWidth="1"/>
    <col min="4" max="4" width="2.5546875" style="60" customWidth="1"/>
    <col min="5" max="5" width="2" style="60" customWidth="1"/>
    <col min="6" max="6" width="1.6640625" style="60" customWidth="1"/>
    <col min="7" max="7" width="1.44140625" style="60" customWidth="1"/>
    <col min="8" max="8" width="2.33203125" style="60" customWidth="1"/>
    <col min="9" max="9" width="2.44140625" style="60" customWidth="1"/>
    <col min="10" max="10" width="1.5546875" style="60" customWidth="1"/>
    <col min="11" max="11" width="1.6640625" style="60" customWidth="1"/>
    <col min="12" max="12" width="5.33203125" style="60" customWidth="1"/>
    <col min="13" max="13" width="0.6640625" style="60" customWidth="1"/>
    <col min="14" max="14" width="3.44140625" style="60" customWidth="1"/>
    <col min="15" max="15" width="2.5546875" style="60" customWidth="1"/>
    <col min="16" max="17" width="1.5546875" style="60" customWidth="1"/>
    <col min="18" max="18" width="1.33203125" style="60" customWidth="1"/>
    <col min="19" max="19" width="2.33203125" style="60" customWidth="1"/>
    <col min="20" max="20" width="1.33203125" style="60" customWidth="1"/>
    <col min="21" max="21" width="1" style="60" customWidth="1"/>
    <col min="22" max="22" width="0.6640625" style="60" customWidth="1"/>
    <col min="23" max="23" width="3" style="60" customWidth="1"/>
    <col min="24" max="24" width="1.33203125" style="60" customWidth="1"/>
    <col min="25" max="25" width="1.44140625" style="60" customWidth="1"/>
    <col min="26" max="27" width="1.33203125" style="60" customWidth="1"/>
    <col min="28" max="28" width="2" style="60" customWidth="1"/>
    <col min="29" max="29" width="1" style="60" customWidth="1"/>
    <col min="30" max="31" width="1.6640625" style="60" customWidth="1"/>
    <col min="32" max="32" width="1.33203125" style="60" customWidth="1"/>
    <col min="33" max="33" width="1.6640625" style="60" customWidth="1"/>
    <col min="34" max="34" width="2.33203125" style="60" customWidth="1"/>
    <col min="35" max="35" width="1.44140625" style="60" customWidth="1"/>
    <col min="36" max="36" width="4" style="60" customWidth="1"/>
    <col min="37" max="37" width="9.33203125" style="60" customWidth="1"/>
    <col min="38" max="38" width="5.6640625" style="60" customWidth="1"/>
    <col min="39" max="39" width="117.44140625" style="101" customWidth="1"/>
    <col min="40" max="40" width="21.33203125" style="77" bestFit="1" customWidth="1"/>
    <col min="41" max="59" width="9.33203125" style="77"/>
    <col min="60" max="16384" width="9.33203125" style="60"/>
  </cols>
  <sheetData>
    <row r="1" spans="1:54" ht="28.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5"/>
      <c r="AO1" s="75"/>
      <c r="AP1" s="75"/>
      <c r="AQ1" s="75"/>
      <c r="AR1" s="75"/>
      <c r="AS1" s="75"/>
      <c r="AT1" s="75"/>
      <c r="AU1" s="75"/>
      <c r="AV1" s="75"/>
      <c r="AW1" s="75"/>
      <c r="AX1" s="75"/>
      <c r="AY1" s="75"/>
      <c r="AZ1" s="75"/>
      <c r="BA1" s="75"/>
      <c r="BB1" s="75"/>
    </row>
    <row r="2" spans="1:54" ht="14.4" x14ac:dyDescent="0.3">
      <c r="N2"/>
      <c r="O2"/>
      <c r="P2"/>
      <c r="Q2"/>
      <c r="R2"/>
      <c r="S2"/>
      <c r="T2"/>
      <c r="U2"/>
      <c r="V2"/>
      <c r="W2"/>
      <c r="X2"/>
      <c r="Y2"/>
      <c r="Z2"/>
      <c r="AM2" s="102" t="s">
        <v>160</v>
      </c>
    </row>
    <row r="3" spans="1:54" ht="14.4" x14ac:dyDescent="0.3">
      <c r="A3" s="567"/>
      <c r="B3" s="567"/>
      <c r="C3" s="567"/>
      <c r="D3" s="567"/>
      <c r="E3" s="567"/>
      <c r="F3" s="567"/>
      <c r="G3" s="91"/>
      <c r="H3" s="568">
        <f ca="1">TODAY()</f>
        <v>46184</v>
      </c>
      <c r="I3" s="568"/>
      <c r="J3" s="568"/>
      <c r="K3" s="568"/>
      <c r="L3" s="568"/>
      <c r="M3" s="88"/>
      <c r="N3"/>
      <c r="O3"/>
      <c r="P3"/>
      <c r="Q3"/>
      <c r="R3"/>
      <c r="S3"/>
      <c r="T3"/>
      <c r="U3"/>
      <c r="V3"/>
      <c r="W3"/>
      <c r="X3"/>
      <c r="Y3"/>
      <c r="Z3"/>
      <c r="AA3" s="88"/>
      <c r="AB3" s="88"/>
      <c r="AC3" s="88"/>
      <c r="AD3" s="88"/>
      <c r="AE3" s="88"/>
      <c r="AF3" s="88"/>
      <c r="AG3" s="88"/>
      <c r="AH3" s="88"/>
      <c r="AI3" s="88"/>
      <c r="AJ3" s="88"/>
      <c r="AK3" s="88"/>
      <c r="AL3" s="88"/>
    </row>
    <row r="4" spans="1:54" ht="15" customHeight="1" x14ac:dyDescent="0.3">
      <c r="A4" s="515" t="s">
        <v>125</v>
      </c>
      <c r="B4" s="515"/>
      <c r="C4" s="515"/>
      <c r="D4" s="515"/>
      <c r="E4" s="515"/>
      <c r="F4" s="515"/>
      <c r="G4" s="151"/>
      <c r="H4" s="515" t="s">
        <v>124</v>
      </c>
      <c r="I4" s="515"/>
      <c r="J4" s="515"/>
      <c r="K4" s="515"/>
      <c r="L4" s="515"/>
      <c r="M4" s="154"/>
      <c r="N4"/>
      <c r="O4"/>
      <c r="P4"/>
      <c r="Q4"/>
      <c r="R4"/>
      <c r="S4"/>
      <c r="T4"/>
      <c r="U4"/>
      <c r="V4"/>
      <c r="W4"/>
      <c r="X4"/>
      <c r="Y4"/>
      <c r="Z4"/>
      <c r="AA4" s="148"/>
      <c r="AB4" s="148"/>
      <c r="AC4" s="148"/>
      <c r="AD4" s="148"/>
      <c r="AE4" s="148"/>
      <c r="AF4" s="148"/>
      <c r="AG4" s="148"/>
      <c r="AH4" s="148"/>
      <c r="AI4" s="148"/>
      <c r="AJ4" s="148"/>
      <c r="AK4" s="148"/>
      <c r="AL4" s="148"/>
    </row>
    <row r="5" spans="1:54" ht="14.4" x14ac:dyDescent="0.3">
      <c r="A5" s="153"/>
      <c r="B5" s="153"/>
      <c r="C5" s="153"/>
      <c r="D5" s="153"/>
      <c r="E5" s="153"/>
      <c r="F5" s="153"/>
      <c r="G5" s="151"/>
      <c r="H5" s="154"/>
      <c r="I5" s="154"/>
      <c r="J5" s="154"/>
      <c r="K5" s="154"/>
      <c r="L5" s="154"/>
      <c r="M5" s="154"/>
      <c r="N5"/>
      <c r="O5"/>
      <c r="P5"/>
      <c r="Q5"/>
      <c r="R5"/>
      <c r="S5"/>
      <c r="T5"/>
      <c r="U5"/>
      <c r="V5"/>
      <c r="W5"/>
      <c r="X5"/>
      <c r="Y5"/>
      <c r="Z5"/>
      <c r="AA5" s="148"/>
      <c r="AB5" s="148"/>
      <c r="AC5" s="148"/>
      <c r="AD5" s="148"/>
      <c r="AE5" s="148"/>
      <c r="AF5" s="148"/>
      <c r="AG5" s="148"/>
      <c r="AH5" s="148"/>
      <c r="AI5" s="148"/>
      <c r="AJ5" s="148"/>
      <c r="AK5" s="148"/>
      <c r="AL5" s="148"/>
    </row>
    <row r="6" spans="1:54" ht="14.4" x14ac:dyDescent="0.25">
      <c r="A6" s="374" t="s">
        <v>962</v>
      </c>
      <c r="B6" s="374"/>
      <c r="C6" s="374"/>
      <c r="D6" s="374"/>
      <c r="E6" s="374"/>
      <c r="F6" s="374"/>
      <c r="G6" s="374" t="s">
        <v>963</v>
      </c>
      <c r="H6" s="374"/>
      <c r="I6" s="374"/>
      <c r="J6" s="374"/>
      <c r="K6" s="374"/>
      <c r="L6" s="374"/>
      <c r="M6" s="236"/>
      <c r="N6" s="376"/>
      <c r="O6" s="376"/>
      <c r="P6" s="376"/>
      <c r="Q6" s="516" t="s">
        <v>964</v>
      </c>
      <c r="R6" s="516"/>
      <c r="S6" s="516"/>
      <c r="T6" s="516"/>
      <c r="U6" s="516"/>
      <c r="V6" s="516"/>
      <c r="W6" s="516"/>
      <c r="X6" s="516"/>
      <c r="Y6" s="516"/>
      <c r="Z6" s="516"/>
      <c r="AA6" s="516"/>
      <c r="AB6" s="376"/>
      <c r="AC6" s="376"/>
      <c r="AD6" s="376"/>
      <c r="AE6" s="376"/>
      <c r="AF6" s="237"/>
      <c r="AG6" s="237"/>
      <c r="AH6" s="237"/>
      <c r="AI6" s="237"/>
      <c r="AJ6" s="237"/>
      <c r="AK6" s="237"/>
      <c r="AL6" s="237"/>
      <c r="AM6" s="77"/>
    </row>
    <row r="7" spans="1:54" ht="28.95" customHeight="1" x14ac:dyDescent="0.25">
      <c r="A7" s="374" t="s">
        <v>965</v>
      </c>
      <c r="B7" s="374"/>
      <c r="C7" s="374"/>
      <c r="D7" s="374"/>
      <c r="E7" s="374"/>
      <c r="F7" s="374"/>
      <c r="G7" s="374"/>
      <c r="H7" s="374"/>
      <c r="I7" s="374"/>
      <c r="J7" s="374"/>
      <c r="K7" s="374"/>
      <c r="L7" s="374"/>
      <c r="M7" s="374"/>
      <c r="N7" s="374"/>
      <c r="O7" s="374"/>
      <c r="P7" s="374"/>
      <c r="Q7" s="375"/>
      <c r="R7" s="375"/>
      <c r="S7" s="375"/>
      <c r="T7" s="375"/>
      <c r="U7" s="375"/>
      <c r="V7" s="375"/>
      <c r="W7" s="375"/>
      <c r="X7" s="375"/>
      <c r="Y7" s="375"/>
      <c r="Z7" s="375"/>
      <c r="AA7" s="375"/>
      <c r="AB7" s="375"/>
      <c r="AC7" s="375"/>
      <c r="AD7" s="375"/>
      <c r="AE7" s="375"/>
      <c r="AF7" s="375"/>
      <c r="AG7" s="375"/>
      <c r="AH7" s="375"/>
      <c r="AI7" s="375"/>
      <c r="AJ7" s="375"/>
      <c r="AK7" s="375"/>
      <c r="AL7" s="375"/>
      <c r="AM7" s="77" t="s">
        <v>966</v>
      </c>
    </row>
    <row r="8" spans="1:54" ht="114.45" customHeight="1" x14ac:dyDescent="0.25">
      <c r="A8" s="374" t="s">
        <v>1149</v>
      </c>
      <c r="B8" s="374"/>
      <c r="C8" s="374"/>
      <c r="D8" s="374"/>
      <c r="E8" s="374"/>
      <c r="F8" s="374"/>
      <c r="G8" s="374"/>
      <c r="H8" s="374"/>
      <c r="I8" s="374"/>
      <c r="J8" s="374"/>
      <c r="K8" s="374"/>
      <c r="L8" s="374"/>
      <c r="M8" s="374"/>
      <c r="N8" s="374"/>
      <c r="O8" s="374"/>
      <c r="P8" s="374"/>
      <c r="Q8" s="374"/>
      <c r="R8" s="374"/>
      <c r="S8" s="374"/>
      <c r="T8" s="374"/>
      <c r="U8" s="374"/>
      <c r="V8" s="374"/>
      <c r="W8" s="374"/>
      <c r="X8" s="374"/>
      <c r="Y8" s="374"/>
      <c r="Z8" s="374"/>
      <c r="AA8" s="374"/>
      <c r="AB8" s="374"/>
      <c r="AC8" s="374"/>
      <c r="AD8" s="374"/>
      <c r="AE8" s="374"/>
      <c r="AF8" s="374"/>
      <c r="AG8" s="374"/>
      <c r="AH8" s="374"/>
      <c r="AI8" s="374"/>
      <c r="AJ8" s="374"/>
      <c r="AK8" s="374"/>
      <c r="AL8" s="374"/>
      <c r="AM8" s="77"/>
    </row>
    <row r="9" spans="1:54" ht="14.4" x14ac:dyDescent="0.3">
      <c r="A9" s="148"/>
      <c r="B9" s="148"/>
      <c r="C9" s="148"/>
      <c r="D9" s="148"/>
      <c r="E9" s="148"/>
      <c r="F9" s="148"/>
      <c r="G9" s="148"/>
      <c r="H9" s="148"/>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row>
    <row r="10" spans="1:54" ht="14.7" customHeight="1" x14ac:dyDescent="0.25">
      <c r="A10" s="370" t="s">
        <v>106</v>
      </c>
      <c r="B10" s="370"/>
      <c r="C10" s="370"/>
      <c r="D10" s="370"/>
      <c r="E10" s="370"/>
      <c r="F10" s="370"/>
      <c r="G10" s="370"/>
      <c r="H10" s="370"/>
      <c r="I10" s="370"/>
      <c r="J10" s="370"/>
      <c r="K10" s="370"/>
      <c r="L10" s="370"/>
      <c r="M10" s="370"/>
      <c r="N10" s="370"/>
      <c r="O10" s="370"/>
      <c r="P10" s="370"/>
      <c r="Q10" s="370"/>
      <c r="R10" s="370"/>
      <c r="S10" s="370"/>
      <c r="T10" s="370"/>
      <c r="U10" s="370"/>
      <c r="V10" s="370"/>
      <c r="W10" s="370"/>
      <c r="X10" s="370"/>
      <c r="Y10" s="370"/>
      <c r="Z10" s="370"/>
      <c r="AA10" s="370"/>
      <c r="AB10" s="370"/>
      <c r="AC10" s="370"/>
      <c r="AD10" s="370"/>
      <c r="AE10" s="370"/>
      <c r="AF10" s="370"/>
      <c r="AG10" s="370"/>
      <c r="AH10" s="370"/>
      <c r="AI10" s="370"/>
      <c r="AJ10" s="370"/>
      <c r="AK10" s="370"/>
      <c r="AL10" s="370"/>
    </row>
    <row r="11" spans="1:54" ht="14.4" x14ac:dyDescent="0.25">
      <c r="A11" s="326" t="s">
        <v>107</v>
      </c>
      <c r="B11" s="326"/>
      <c r="C11" s="326"/>
      <c r="D11" s="326"/>
      <c r="E11" s="326"/>
      <c r="F11" s="326"/>
      <c r="G11" s="326"/>
      <c r="H11" s="326"/>
      <c r="I11" s="326"/>
      <c r="J11" s="326"/>
      <c r="K11" s="326"/>
      <c r="L11" s="326"/>
      <c r="M11" s="326"/>
      <c r="N11" s="326"/>
      <c r="O11" s="326"/>
      <c r="P11" s="326"/>
      <c r="Q11" s="326"/>
      <c r="R11" s="326"/>
      <c r="S11" s="326"/>
      <c r="T11" s="326"/>
      <c r="U11" s="326"/>
      <c r="V11" s="326"/>
      <c r="W11" s="326"/>
      <c r="X11" s="326"/>
      <c r="Y11" s="326"/>
      <c r="Z11" s="326"/>
      <c r="AA11" s="326"/>
      <c r="AB11" s="326"/>
      <c r="AC11" s="326"/>
      <c r="AD11" s="326"/>
      <c r="AE11" s="326"/>
      <c r="AF11" s="326"/>
      <c r="AG11" s="326"/>
      <c r="AH11" s="326"/>
      <c r="AI11" s="326"/>
      <c r="AJ11" s="326"/>
      <c r="AK11" s="326"/>
      <c r="AL11" s="326"/>
    </row>
    <row r="12" spans="1:54" ht="17.25" customHeight="1" x14ac:dyDescent="0.25">
      <c r="A12" s="371" t="s">
        <v>958</v>
      </c>
      <c r="B12" s="371"/>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row>
    <row r="13" spans="1:54" x14ac:dyDescent="0.25">
      <c r="A13" s="147"/>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row>
    <row r="14" spans="1:54" ht="14.4" x14ac:dyDescent="0.3">
      <c r="A14" s="372" t="s">
        <v>71</v>
      </c>
      <c r="B14" s="372"/>
      <c r="C14" s="372"/>
      <c r="D14" s="372"/>
      <c r="E14" s="372"/>
      <c r="F14" s="372"/>
      <c r="G14" s="372"/>
      <c r="H14" s="372"/>
      <c r="I14" s="372"/>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I14" s="372"/>
      <c r="AJ14" s="372"/>
      <c r="AK14" s="372"/>
      <c r="AL14" s="148"/>
      <c r="AM14" s="76"/>
    </row>
    <row r="15" spans="1:54" ht="14.4" x14ac:dyDescent="0.25">
      <c r="A15" s="326" t="s">
        <v>1</v>
      </c>
      <c r="B15" s="373" t="s">
        <v>63</v>
      </c>
      <c r="C15" s="373"/>
      <c r="D15" s="373"/>
      <c r="E15" s="373"/>
      <c r="F15" s="373"/>
      <c r="G15" s="373"/>
      <c r="H15" s="373"/>
      <c r="I15" s="373"/>
      <c r="J15" s="373"/>
      <c r="K15" s="373"/>
      <c r="L15" s="373"/>
      <c r="M15" s="373"/>
      <c r="N15" s="373"/>
      <c r="O15" s="373"/>
      <c r="P15" s="373"/>
      <c r="Q15" s="373"/>
      <c r="R15" s="373"/>
      <c r="S15" s="373"/>
      <c r="T15" s="373"/>
      <c r="U15" s="373"/>
      <c r="V15" s="373"/>
      <c r="W15" s="373"/>
      <c r="X15" s="373"/>
      <c r="Y15" s="373"/>
      <c r="Z15" s="373"/>
      <c r="AA15" s="373"/>
      <c r="AB15" s="373"/>
      <c r="AC15" s="373"/>
      <c r="AD15" s="373"/>
      <c r="AE15" s="373"/>
      <c r="AF15" s="373"/>
      <c r="AG15" s="373"/>
      <c r="AH15" s="373"/>
      <c r="AI15" s="373"/>
      <c r="AJ15" s="373"/>
      <c r="AK15" s="373"/>
      <c r="AL15" s="373"/>
      <c r="AM15" s="76"/>
    </row>
    <row r="16" spans="1:54" ht="14.4" x14ac:dyDescent="0.25">
      <c r="A16" s="326"/>
      <c r="B16" s="375"/>
      <c r="C16" s="375"/>
      <c r="D16" s="375"/>
      <c r="E16" s="375"/>
      <c r="F16" s="375"/>
      <c r="G16" s="375"/>
      <c r="H16" s="375"/>
      <c r="I16" s="375"/>
      <c r="J16" s="375"/>
      <c r="K16" s="375"/>
      <c r="L16" s="375"/>
      <c r="M16" s="375"/>
      <c r="N16" s="375"/>
      <c r="O16" s="375"/>
      <c r="P16" s="375"/>
      <c r="Q16" s="375"/>
      <c r="R16" s="375"/>
      <c r="S16" s="375"/>
      <c r="T16" s="375"/>
      <c r="U16" s="375"/>
      <c r="V16" s="375"/>
      <c r="W16" s="375"/>
      <c r="X16" s="375"/>
      <c r="Y16" s="375"/>
      <c r="Z16" s="375"/>
      <c r="AA16" s="375"/>
      <c r="AB16" s="375"/>
      <c r="AC16" s="375"/>
      <c r="AD16" s="375"/>
      <c r="AE16" s="375"/>
      <c r="AF16" s="375"/>
      <c r="AG16" s="375"/>
      <c r="AH16" s="375"/>
      <c r="AI16" s="375"/>
      <c r="AJ16" s="375"/>
      <c r="AK16" s="375"/>
      <c r="AL16" s="375"/>
      <c r="AM16" s="77"/>
    </row>
    <row r="17" spans="1:39" ht="14.4" x14ac:dyDescent="0.3">
      <c r="A17" s="326" t="s">
        <v>4</v>
      </c>
      <c r="B17" s="344" t="s">
        <v>64</v>
      </c>
      <c r="C17" s="344"/>
      <c r="D17" s="344"/>
      <c r="E17" s="344"/>
      <c r="F17" s="344"/>
      <c r="G17" s="344"/>
      <c r="H17" s="344"/>
      <c r="I17" s="344"/>
      <c r="J17" s="344"/>
      <c r="K17" s="344"/>
      <c r="L17" s="344"/>
      <c r="M17" s="344"/>
      <c r="N17" s="344"/>
      <c r="O17" s="344"/>
      <c r="P17" s="344"/>
      <c r="Q17" s="344"/>
      <c r="R17" s="344"/>
      <c r="S17" s="344"/>
      <c r="T17" s="344"/>
      <c r="U17" s="344"/>
      <c r="V17" s="344"/>
      <c r="W17" s="344"/>
      <c r="X17" s="344"/>
      <c r="Y17" s="344"/>
      <c r="Z17" s="344"/>
      <c r="AA17" s="344"/>
      <c r="AB17" s="344"/>
      <c r="AC17" s="344"/>
      <c r="AD17" s="344"/>
      <c r="AE17" s="344"/>
      <c r="AF17" s="344"/>
      <c r="AG17" s="344"/>
      <c r="AH17" s="344"/>
      <c r="AI17" s="344"/>
      <c r="AJ17" s="344"/>
      <c r="AK17" s="344"/>
      <c r="AL17" s="344"/>
      <c r="AM17" s="100" t="s">
        <v>969</v>
      </c>
    </row>
    <row r="18" spans="1:39" ht="14.4" x14ac:dyDescent="0.25">
      <c r="A18" s="326"/>
      <c r="B18" s="368"/>
      <c r="C18" s="369"/>
      <c r="D18" s="369"/>
      <c r="E18" s="369"/>
      <c r="F18" s="369"/>
      <c r="G18" s="369"/>
      <c r="H18" s="369"/>
      <c r="I18" s="369"/>
      <c r="J18" s="369"/>
      <c r="K18" s="369"/>
      <c r="L18" s="369"/>
      <c r="M18" s="369"/>
      <c r="N18" s="369"/>
      <c r="O18" s="369"/>
      <c r="P18" s="369"/>
      <c r="Q18" s="369"/>
      <c r="R18" s="369"/>
      <c r="S18" s="369"/>
      <c r="T18" s="369"/>
      <c r="U18" s="369"/>
      <c r="V18" s="369"/>
      <c r="W18" s="369"/>
      <c r="X18" s="369"/>
      <c r="Y18" s="369"/>
      <c r="Z18" s="369"/>
      <c r="AA18" s="369"/>
      <c r="AB18" s="369"/>
      <c r="AC18" s="369"/>
      <c r="AD18" s="369"/>
      <c r="AE18" s="369"/>
      <c r="AF18" s="369"/>
      <c r="AG18" s="369"/>
      <c r="AH18" s="369"/>
      <c r="AI18" s="369"/>
      <c r="AJ18" s="369"/>
      <c r="AK18" s="369"/>
      <c r="AL18" s="369"/>
      <c r="AM18" s="77"/>
    </row>
    <row r="19" spans="1:39" ht="29.7" customHeight="1" x14ac:dyDescent="0.3">
      <c r="A19" s="326" t="s">
        <v>6</v>
      </c>
      <c r="B19" s="465" t="s">
        <v>986</v>
      </c>
      <c r="C19" s="465"/>
      <c r="D19" s="465"/>
      <c r="E19" s="465"/>
      <c r="F19" s="465"/>
      <c r="G19" s="465"/>
      <c r="H19" s="465"/>
      <c r="I19" s="465"/>
      <c r="J19" s="465"/>
      <c r="K19" s="465"/>
      <c r="L19" s="465"/>
      <c r="M19" s="465"/>
      <c r="N19" s="465"/>
      <c r="O19" s="465"/>
      <c r="P19" s="465"/>
      <c r="Q19" s="465"/>
      <c r="R19" s="465"/>
      <c r="S19" s="465"/>
      <c r="T19" s="465"/>
      <c r="U19" s="465"/>
      <c r="V19" s="465"/>
      <c r="W19" s="465"/>
      <c r="X19" s="465"/>
      <c r="Y19" s="465"/>
      <c r="Z19" s="465"/>
      <c r="AA19" s="465"/>
      <c r="AB19" s="465"/>
      <c r="AC19" s="465"/>
      <c r="AD19" s="465"/>
      <c r="AE19" s="465"/>
      <c r="AF19" s="465"/>
      <c r="AG19" s="465"/>
      <c r="AH19" s="465"/>
      <c r="AI19" s="465"/>
      <c r="AJ19" s="465"/>
      <c r="AK19" s="465"/>
      <c r="AL19" s="465"/>
      <c r="AM19" s="100" t="s">
        <v>959</v>
      </c>
    </row>
    <row r="20" spans="1:39" ht="14.4" x14ac:dyDescent="0.25">
      <c r="A20" s="326"/>
      <c r="B20" s="339"/>
      <c r="C20" s="339"/>
      <c r="D20" s="339"/>
      <c r="E20" s="339"/>
      <c r="F20" s="339"/>
      <c r="G20" s="339"/>
      <c r="H20" s="339"/>
      <c r="I20" s="339"/>
      <c r="J20" s="339"/>
      <c r="K20" s="339"/>
      <c r="L20" s="339"/>
      <c r="M20" s="339"/>
      <c r="N20" s="339"/>
      <c r="O20" s="339"/>
      <c r="P20" s="339"/>
      <c r="Q20" s="339"/>
      <c r="R20" s="339"/>
      <c r="S20" s="339"/>
      <c r="T20" s="339"/>
      <c r="U20" s="339"/>
      <c r="V20" s="339"/>
      <c r="W20" s="339"/>
      <c r="X20" s="339"/>
      <c r="Y20" s="339"/>
      <c r="Z20" s="339"/>
      <c r="AA20" s="339"/>
      <c r="AB20" s="339"/>
      <c r="AC20" s="339"/>
      <c r="AD20" s="339"/>
      <c r="AE20" s="339"/>
      <c r="AF20" s="339"/>
      <c r="AG20" s="339"/>
      <c r="AH20" s="339"/>
      <c r="AI20" s="339"/>
      <c r="AJ20" s="339"/>
      <c r="AK20" s="339"/>
      <c r="AL20" s="339"/>
      <c r="AM20" s="77"/>
    </row>
    <row r="21" spans="1:39" ht="46.2" customHeight="1" x14ac:dyDescent="0.3">
      <c r="A21" s="326"/>
      <c r="B21" s="309" t="s">
        <v>1067</v>
      </c>
      <c r="C21" s="309"/>
      <c r="D21" s="309"/>
      <c r="E21" s="309"/>
      <c r="F21" s="309"/>
      <c r="G21" s="309"/>
      <c r="H21" s="309"/>
      <c r="I21" s="309"/>
      <c r="J21" s="309"/>
      <c r="K21" s="309"/>
      <c r="L21" s="309"/>
      <c r="M21" s="309"/>
      <c r="N21" s="309"/>
      <c r="O21" s="309"/>
      <c r="P21" s="309"/>
      <c r="Q21" s="309"/>
      <c r="R21" s="309"/>
      <c r="S21" s="309"/>
      <c r="T21" s="309"/>
      <c r="U21" s="309"/>
      <c r="V21" s="309"/>
      <c r="W21" s="309"/>
      <c r="X21" s="309"/>
      <c r="Y21" s="309"/>
      <c r="Z21" s="309"/>
      <c r="AA21" s="309"/>
      <c r="AB21" s="309"/>
      <c r="AC21" s="309"/>
      <c r="AD21" s="309"/>
      <c r="AE21" s="309"/>
      <c r="AF21" s="309"/>
      <c r="AG21" s="309"/>
      <c r="AH21" s="309"/>
      <c r="AI21" s="309"/>
      <c r="AJ21" s="309"/>
      <c r="AK21" s="309"/>
      <c r="AL21" s="309"/>
      <c r="AM21" s="242" t="s">
        <v>967</v>
      </c>
    </row>
    <row r="22" spans="1:39" ht="14.4" x14ac:dyDescent="0.25">
      <c r="A22" s="326"/>
      <c r="B22" s="310"/>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77"/>
    </row>
    <row r="23" spans="1:39" ht="14.4" x14ac:dyDescent="0.3">
      <c r="A23" s="337" t="s">
        <v>7</v>
      </c>
      <c r="B23" s="344" t="s">
        <v>65</v>
      </c>
      <c r="C23" s="344"/>
      <c r="D23" s="344"/>
      <c r="E23" s="344"/>
      <c r="F23" s="344"/>
      <c r="G23" s="344"/>
      <c r="H23" s="344"/>
      <c r="I23" s="344"/>
      <c r="J23" s="344"/>
      <c r="K23" s="344"/>
      <c r="L23" s="344"/>
      <c r="M23" s="344"/>
      <c r="N23" s="344"/>
      <c r="O23" s="344"/>
      <c r="P23" s="344"/>
      <c r="Q23" s="344"/>
      <c r="R23" s="344"/>
      <c r="S23" s="344"/>
      <c r="T23" s="344"/>
      <c r="U23" s="344"/>
      <c r="V23" s="344"/>
      <c r="W23" s="349" t="s">
        <v>224</v>
      </c>
      <c r="X23" s="344"/>
      <c r="Y23" s="344"/>
      <c r="Z23" s="344"/>
      <c r="AA23" s="344"/>
      <c r="AB23" s="344"/>
      <c r="AC23" s="344"/>
      <c r="AD23" s="344"/>
      <c r="AE23" s="344"/>
      <c r="AF23" s="344"/>
      <c r="AG23" s="344"/>
      <c r="AH23" s="344"/>
      <c r="AI23" s="344"/>
      <c r="AJ23" s="344"/>
      <c r="AK23" s="344"/>
      <c r="AL23" s="344"/>
      <c r="AM23" s="100" t="s">
        <v>968</v>
      </c>
    </row>
    <row r="24" spans="1:39" ht="14.4" x14ac:dyDescent="0.3">
      <c r="A24" s="326"/>
      <c r="B24" s="350"/>
      <c r="C24" s="350"/>
      <c r="D24" s="350"/>
      <c r="E24" s="350"/>
      <c r="F24" s="350"/>
      <c r="G24" s="350"/>
      <c r="H24" s="350"/>
      <c r="I24" s="350"/>
      <c r="J24" s="350"/>
      <c r="K24" s="350"/>
      <c r="L24" s="350"/>
      <c r="M24" s="350"/>
      <c r="N24" s="350"/>
      <c r="O24" s="350"/>
      <c r="P24" s="350"/>
      <c r="Q24" s="350"/>
      <c r="R24" s="350"/>
      <c r="S24" s="350"/>
      <c r="T24" s="350"/>
      <c r="U24" s="350"/>
      <c r="V24" s="350"/>
      <c r="W24" s="327"/>
      <c r="X24" s="327"/>
      <c r="Y24" s="327"/>
      <c r="Z24" s="327"/>
      <c r="AA24" s="327"/>
      <c r="AB24" s="327"/>
      <c r="AC24" s="327"/>
      <c r="AD24" s="327"/>
      <c r="AE24" s="327"/>
      <c r="AF24" s="327"/>
      <c r="AG24" s="327"/>
      <c r="AH24" s="327"/>
      <c r="AI24" s="327"/>
      <c r="AJ24" s="327"/>
      <c r="AK24" s="327"/>
      <c r="AL24" s="327"/>
      <c r="AM24" s="77"/>
    </row>
    <row r="25" spans="1:39" ht="14.4" x14ac:dyDescent="0.3">
      <c r="A25" s="326"/>
      <c r="B25" s="338" t="s">
        <v>668</v>
      </c>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100" t="s">
        <v>970</v>
      </c>
    </row>
    <row r="26" spans="1:39" ht="14.4" x14ac:dyDescent="0.3">
      <c r="A26" s="326"/>
      <c r="B26" s="327"/>
      <c r="C26" s="327"/>
      <c r="D26" s="327"/>
      <c r="E26" s="327"/>
      <c r="F26" s="327"/>
      <c r="G26" s="327"/>
      <c r="H26" s="327"/>
      <c r="I26" s="327"/>
      <c r="J26" s="327"/>
      <c r="K26" s="327"/>
      <c r="L26" s="327"/>
      <c r="M26" s="327"/>
      <c r="N26" s="327"/>
      <c r="O26" s="327"/>
      <c r="P26" s="327"/>
      <c r="Q26" s="327"/>
      <c r="R26" s="327"/>
      <c r="S26" s="327"/>
      <c r="T26" s="327"/>
      <c r="U26" s="327"/>
      <c r="V26" s="327"/>
      <c r="W26" s="327"/>
      <c r="X26" s="327"/>
      <c r="Y26" s="327"/>
      <c r="Z26" s="327"/>
      <c r="AA26" s="327"/>
      <c r="AB26" s="327"/>
      <c r="AC26" s="327"/>
      <c r="AD26" s="327"/>
      <c r="AE26" s="327"/>
      <c r="AF26" s="327"/>
      <c r="AG26" s="327"/>
      <c r="AH26" s="327"/>
      <c r="AI26" s="327"/>
      <c r="AJ26" s="327"/>
      <c r="AK26" s="327"/>
      <c r="AL26" s="327"/>
      <c r="AM26" s="77"/>
    </row>
    <row r="27" spans="1:39" ht="14.4" x14ac:dyDescent="0.25">
      <c r="A27" s="337" t="s">
        <v>9</v>
      </c>
      <c r="B27" s="344" t="s">
        <v>66</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c r="AM27" s="77"/>
    </row>
    <row r="28" spans="1:39" ht="14.4" x14ac:dyDescent="0.25">
      <c r="A28" s="326"/>
      <c r="B28" s="344" t="s">
        <v>170</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77"/>
    </row>
    <row r="29" spans="1:39" ht="14.4" x14ac:dyDescent="0.25">
      <c r="A29" s="326"/>
      <c r="B29" s="339"/>
      <c r="C29" s="340"/>
      <c r="D29" s="340"/>
      <c r="E29" s="340"/>
      <c r="F29" s="340"/>
      <c r="G29" s="340"/>
      <c r="H29" s="340"/>
      <c r="I29" s="340"/>
      <c r="J29" s="340"/>
      <c r="K29" s="340"/>
      <c r="L29" s="340"/>
      <c r="M29" s="340"/>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77"/>
    </row>
    <row r="30" spans="1:39" ht="14.4" x14ac:dyDescent="0.25">
      <c r="A30" s="326"/>
      <c r="B30" s="345" t="s">
        <v>699</v>
      </c>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s="344"/>
      <c r="AA30" s="344"/>
      <c r="AB30" s="344"/>
      <c r="AC30" s="344"/>
      <c r="AD30" s="344"/>
      <c r="AE30" s="344"/>
      <c r="AF30" s="344"/>
      <c r="AG30" s="344"/>
      <c r="AH30" s="344"/>
      <c r="AI30" s="344"/>
      <c r="AJ30" s="344"/>
      <c r="AK30" s="344"/>
      <c r="AL30" s="344"/>
      <c r="AM30" s="77"/>
    </row>
    <row r="31" spans="1:39" ht="14.4" x14ac:dyDescent="0.25">
      <c r="A31" s="326"/>
      <c r="B31" s="339"/>
      <c r="C31" s="340"/>
      <c r="D31" s="340"/>
      <c r="E31" s="340"/>
      <c r="F31" s="340"/>
      <c r="G31" s="340"/>
      <c r="H31" s="340"/>
      <c r="I31" s="340"/>
      <c r="J31" s="340"/>
      <c r="K31" s="340"/>
      <c r="L31" s="340"/>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101" t="s">
        <v>174</v>
      </c>
    </row>
    <row r="32" spans="1:39" ht="14.4" x14ac:dyDescent="0.25">
      <c r="A32" s="326"/>
      <c r="B32" s="344" t="s">
        <v>171</v>
      </c>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4"/>
      <c r="AH32" s="344"/>
      <c r="AI32" s="344"/>
      <c r="AJ32" s="344"/>
      <c r="AK32" s="344"/>
      <c r="AL32" s="344"/>
    </row>
    <row r="33" spans="1:41" ht="14.4" x14ac:dyDescent="0.25">
      <c r="A33" s="326"/>
      <c r="B33" s="339"/>
      <c r="C33" s="340"/>
      <c r="D33" s="340"/>
      <c r="E33" s="340"/>
      <c r="F33" s="340"/>
      <c r="G33" s="340"/>
      <c r="H33" s="340"/>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101" t="s">
        <v>174</v>
      </c>
    </row>
    <row r="34" spans="1:41" ht="14.4" x14ac:dyDescent="0.25">
      <c r="A34" s="326"/>
      <c r="B34" s="346" t="s">
        <v>766</v>
      </c>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s="344"/>
      <c r="AE34" s="344"/>
      <c r="AF34" s="344"/>
      <c r="AG34" s="344"/>
      <c r="AH34" s="344"/>
      <c r="AI34" s="344"/>
      <c r="AJ34" s="344"/>
      <c r="AK34" s="344"/>
      <c r="AL34" s="344"/>
      <c r="AM34" s="76"/>
    </row>
    <row r="35" spans="1:41" ht="14.4" x14ac:dyDescent="0.25">
      <c r="A35" s="326"/>
      <c r="B35" s="339"/>
      <c r="C35" s="340"/>
      <c r="D35" s="340"/>
      <c r="E35" s="340"/>
      <c r="F35" s="340"/>
      <c r="G35" s="340"/>
      <c r="H35" s="340"/>
      <c r="I35" s="340"/>
      <c r="J35" s="340"/>
      <c r="K35" s="340"/>
      <c r="L35" s="340"/>
      <c r="M35" s="340"/>
      <c r="N35" s="340"/>
      <c r="O35" s="340"/>
      <c r="P35" s="340"/>
      <c r="Q35" s="340"/>
      <c r="R35" s="340"/>
      <c r="S35" s="340"/>
      <c r="T35" s="340"/>
      <c r="U35" s="340"/>
      <c r="V35" s="340"/>
      <c r="W35" s="340"/>
      <c r="X35" s="340"/>
      <c r="Y35" s="340"/>
      <c r="Z35" s="340"/>
      <c r="AA35" s="340"/>
      <c r="AB35" s="340"/>
      <c r="AC35" s="340"/>
      <c r="AD35" s="340"/>
      <c r="AE35" s="340"/>
      <c r="AF35" s="340"/>
      <c r="AG35" s="340"/>
      <c r="AH35" s="340"/>
      <c r="AI35" s="340"/>
      <c r="AJ35" s="340"/>
      <c r="AK35" s="340"/>
      <c r="AL35" s="340"/>
      <c r="AM35" s="76"/>
    </row>
    <row r="36" spans="1:41" ht="41.7" customHeight="1" x14ac:dyDescent="0.25">
      <c r="A36" s="337" t="s">
        <v>640</v>
      </c>
      <c r="B36" s="342" t="s">
        <v>754</v>
      </c>
      <c r="C36" s="342"/>
      <c r="D36" s="342"/>
      <c r="E36" s="342"/>
      <c r="F36" s="342"/>
      <c r="G36" s="342"/>
      <c r="H36" s="342"/>
      <c r="I36" s="342"/>
      <c r="J36" s="342"/>
      <c r="K36" s="342"/>
      <c r="L36" s="342"/>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60"/>
    </row>
    <row r="37" spans="1:41" ht="14.4" x14ac:dyDescent="0.3">
      <c r="A37" s="326"/>
      <c r="B37" s="352"/>
      <c r="C37" s="352"/>
      <c r="D37" s="352"/>
      <c r="E37" s="352"/>
      <c r="F37" s="352"/>
      <c r="G37" s="352"/>
      <c r="H37" s="352"/>
      <c r="I37" s="352"/>
      <c r="J37" s="352"/>
      <c r="K37" s="352"/>
      <c r="L37" s="352"/>
      <c r="M37" s="352"/>
      <c r="N37" s="352"/>
      <c r="O37" s="352"/>
      <c r="P37" s="352"/>
      <c r="Q37" s="352"/>
      <c r="R37" s="352"/>
      <c r="S37" s="352"/>
      <c r="T37" s="348" t="str" cm="1">
        <f t="array" ref="T37">LEFT(B37,2)&amp;" "&amp;_xlfn.TEXTJOIN(" ",,MID(B37,{3,7,11,15,19,23},4))</f>
        <v xml:space="preserve"> </v>
      </c>
      <c r="U37" s="348"/>
      <c r="V37" s="348"/>
      <c r="W37" s="348"/>
      <c r="X37" s="348"/>
      <c r="Y37" s="348"/>
      <c r="Z37" s="348"/>
      <c r="AA37" s="348"/>
      <c r="AB37" s="348"/>
      <c r="AC37" s="348"/>
      <c r="AD37" s="348"/>
      <c r="AE37" s="348"/>
      <c r="AF37" s="348"/>
      <c r="AG37" s="348"/>
      <c r="AH37" s="348"/>
      <c r="AI37" s="348"/>
      <c r="AJ37" s="348"/>
      <c r="AK37" s="348"/>
      <c r="AL37" s="348"/>
      <c r="AM37" s="60"/>
    </row>
    <row r="38" spans="1:41" ht="14.4" x14ac:dyDescent="0.25">
      <c r="A38" s="149" t="s">
        <v>67</v>
      </c>
      <c r="B38" s="351" t="s">
        <v>68</v>
      </c>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c r="AA38" s="351"/>
      <c r="AB38" s="351"/>
      <c r="AC38" s="351"/>
      <c r="AD38" s="351"/>
      <c r="AE38" s="351"/>
      <c r="AF38" s="351"/>
      <c r="AG38" s="351"/>
      <c r="AH38" s="351"/>
      <c r="AI38" s="351"/>
      <c r="AJ38" s="351"/>
      <c r="AK38" s="351"/>
      <c r="AL38" s="351"/>
    </row>
    <row r="39" spans="1:41" ht="14.4" x14ac:dyDescent="0.25">
      <c r="A39" s="326" t="s">
        <v>1</v>
      </c>
      <c r="B39" s="519" t="s">
        <v>176</v>
      </c>
      <c r="C39" s="344"/>
      <c r="D39" s="344"/>
      <c r="E39" s="344"/>
      <c r="F39" s="344"/>
      <c r="G39" s="344"/>
      <c r="H39" s="344"/>
      <c r="I39" s="344"/>
      <c r="J39" s="344"/>
      <c r="K39" s="344"/>
      <c r="L39" s="344"/>
      <c r="M39" s="344"/>
      <c r="N39" s="344"/>
      <c r="O39" s="344"/>
      <c r="P39" s="344"/>
      <c r="Q39" s="344"/>
      <c r="R39" s="344"/>
      <c r="S39" s="344"/>
      <c r="T39" s="344"/>
      <c r="U39" s="344"/>
      <c r="V39" s="344"/>
      <c r="W39" s="344"/>
      <c r="X39" s="344"/>
      <c r="Y39" s="344"/>
      <c r="Z39" s="344"/>
      <c r="AA39" s="344"/>
      <c r="AB39" s="344"/>
      <c r="AC39" s="344"/>
      <c r="AD39" s="344"/>
      <c r="AE39" s="344"/>
      <c r="AF39" s="344"/>
      <c r="AG39" s="344"/>
      <c r="AH39" s="344"/>
      <c r="AI39" s="344"/>
      <c r="AJ39" s="344"/>
      <c r="AK39" s="344"/>
      <c r="AL39" s="344"/>
    </row>
    <row r="40" spans="1:41" ht="14.4" x14ac:dyDescent="0.3">
      <c r="A40" s="326"/>
      <c r="B40" s="353">
        <f>T117</f>
        <v>0</v>
      </c>
      <c r="C40" s="353"/>
      <c r="D40" s="353"/>
      <c r="E40" s="353"/>
      <c r="F40" s="353"/>
      <c r="G40" s="353"/>
      <c r="H40" s="353"/>
      <c r="I40" s="353"/>
      <c r="J40" s="353"/>
      <c r="K40" s="353"/>
      <c r="L40" s="353"/>
      <c r="M40" s="353"/>
      <c r="N40" s="353"/>
      <c r="O40" s="353"/>
      <c r="P40" s="353"/>
      <c r="Q40" s="353"/>
      <c r="R40" s="353"/>
      <c r="S40" s="353"/>
      <c r="T40" s="353"/>
      <c r="U40" s="353"/>
      <c r="V40" s="353"/>
      <c r="W40" s="353"/>
      <c r="X40" s="353"/>
      <c r="Y40" s="353"/>
      <c r="Z40" s="353"/>
      <c r="AA40" s="353"/>
      <c r="AB40" s="353"/>
      <c r="AC40" s="353"/>
      <c r="AD40" s="353"/>
      <c r="AE40" s="353"/>
      <c r="AF40" s="353"/>
      <c r="AG40" s="353"/>
      <c r="AH40" s="353"/>
      <c r="AI40" s="353"/>
      <c r="AJ40" s="353"/>
      <c r="AK40" s="353"/>
      <c r="AL40" s="353"/>
      <c r="AM40" s="118" t="s">
        <v>213</v>
      </c>
      <c r="AN40" s="121"/>
      <c r="AO40" s="121"/>
    </row>
    <row r="41" spans="1:41" ht="31.5" customHeight="1" x14ac:dyDescent="0.25">
      <c r="A41" s="554" t="s">
        <v>6</v>
      </c>
      <c r="B41" s="559" t="s">
        <v>1021</v>
      </c>
      <c r="C41" s="354"/>
      <c r="D41" s="354"/>
      <c r="E41" s="354"/>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c r="AM41" s="101" t="s">
        <v>210</v>
      </c>
      <c r="AO41" s="122"/>
    </row>
    <row r="42" spans="1:41" ht="14.7" customHeight="1" x14ac:dyDescent="0.25">
      <c r="A42" s="326"/>
      <c r="B42" s="347"/>
      <c r="C42" s="347"/>
      <c r="D42" s="347"/>
      <c r="E42" s="347"/>
      <c r="F42" s="347"/>
      <c r="G42" s="347"/>
      <c r="H42" s="347"/>
      <c r="I42" s="347"/>
      <c r="J42" s="347"/>
      <c r="K42" s="347"/>
      <c r="L42" s="347"/>
      <c r="M42" s="347"/>
      <c r="N42" s="347"/>
      <c r="O42" s="347"/>
      <c r="P42" s="347"/>
      <c r="Q42" s="347"/>
      <c r="R42" s="347"/>
      <c r="S42" s="347"/>
      <c r="T42" s="347"/>
      <c r="U42" s="347"/>
      <c r="V42" s="347"/>
      <c r="W42" s="347"/>
      <c r="X42" s="347"/>
      <c r="Y42" s="347"/>
      <c r="Z42" s="347"/>
      <c r="AA42" s="347"/>
      <c r="AB42" s="347"/>
      <c r="AC42" s="347"/>
      <c r="AD42" s="347"/>
      <c r="AE42" s="347"/>
      <c r="AF42" s="347"/>
      <c r="AG42" s="347"/>
      <c r="AH42" s="347"/>
      <c r="AI42" s="347"/>
      <c r="AJ42" s="347"/>
      <c r="AK42" s="347"/>
      <c r="AL42" s="347"/>
      <c r="AO42" s="122"/>
    </row>
    <row r="43" spans="1:41" ht="31.2" customHeight="1" x14ac:dyDescent="0.25">
      <c r="A43" s="554" t="s">
        <v>7</v>
      </c>
      <c r="B43" s="559" t="s">
        <v>1022</v>
      </c>
      <c r="C43" s="354"/>
      <c r="D43" s="354"/>
      <c r="E43" s="354"/>
      <c r="F43" s="354"/>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c r="AF43" s="354"/>
      <c r="AG43" s="354"/>
      <c r="AH43" s="354"/>
      <c r="AI43" s="354"/>
      <c r="AJ43" s="354"/>
      <c r="AK43" s="354"/>
      <c r="AL43" s="354"/>
      <c r="AM43" s="77" t="s">
        <v>632</v>
      </c>
      <c r="AO43" s="122"/>
    </row>
    <row r="44" spans="1:41" ht="14.4" x14ac:dyDescent="0.25">
      <c r="A44" s="326"/>
      <c r="B44" s="347"/>
      <c r="C44" s="347"/>
      <c r="D44" s="347"/>
      <c r="E44" s="347"/>
      <c r="F44" s="347"/>
      <c r="G44" s="347"/>
      <c r="H44" s="347"/>
      <c r="I44" s="347"/>
      <c r="J44" s="347"/>
      <c r="K44" s="347"/>
      <c r="L44" s="347"/>
      <c r="M44" s="347"/>
      <c r="N44" s="347"/>
      <c r="O44" s="347"/>
      <c r="P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121" t="s">
        <v>140</v>
      </c>
      <c r="AO44" s="123"/>
    </row>
    <row r="45" spans="1:41" ht="14.4" x14ac:dyDescent="0.25">
      <c r="A45" s="345" t="s">
        <v>9</v>
      </c>
      <c r="B45" s="419" t="s">
        <v>223</v>
      </c>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344"/>
      <c r="AH45" s="344"/>
      <c r="AI45" s="344"/>
      <c r="AJ45" s="344"/>
      <c r="AK45" s="344"/>
      <c r="AL45" s="344"/>
      <c r="AM45" s="101" t="s">
        <v>205</v>
      </c>
      <c r="AN45" s="122">
        <v>0.5</v>
      </c>
    </row>
    <row r="46" spans="1:41" ht="14.7" customHeight="1" x14ac:dyDescent="0.25">
      <c r="A46" s="344"/>
      <c r="B46" s="420" t="s">
        <v>700</v>
      </c>
      <c r="C46" s="420"/>
      <c r="D46" s="420"/>
      <c r="E46" s="420"/>
      <c r="F46" s="420"/>
      <c r="G46" s="420"/>
      <c r="H46" s="420"/>
      <c r="I46" s="420"/>
      <c r="J46" s="420"/>
      <c r="K46" s="420"/>
      <c r="L46" s="420"/>
      <c r="M46" s="420"/>
      <c r="N46" s="420"/>
      <c r="O46" s="420"/>
      <c r="P46" s="420"/>
      <c r="Q46" s="420"/>
      <c r="R46" s="420"/>
      <c r="S46" s="420"/>
      <c r="T46" s="420"/>
      <c r="U46" s="420"/>
      <c r="V46" s="420"/>
      <c r="W46" s="420"/>
      <c r="X46" s="420"/>
      <c r="Y46" s="421"/>
      <c r="Z46" s="426" t="s">
        <v>702</v>
      </c>
      <c r="AA46" s="427"/>
      <c r="AB46" s="427"/>
      <c r="AC46" s="427"/>
      <c r="AD46" s="427"/>
      <c r="AE46" s="427"/>
      <c r="AF46" s="427"/>
      <c r="AG46" s="427"/>
      <c r="AH46" s="427"/>
      <c r="AI46" s="427"/>
      <c r="AJ46" s="427"/>
      <c r="AK46" s="426" t="s">
        <v>701</v>
      </c>
      <c r="AL46" s="427"/>
      <c r="AN46" s="122"/>
    </row>
    <row r="47" spans="1:41" ht="14.7" customHeight="1" x14ac:dyDescent="0.3">
      <c r="A47" s="344"/>
      <c r="B47" s="420" t="s">
        <v>222</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03"/>
      <c r="AA47" s="403"/>
      <c r="AB47" s="403"/>
      <c r="AC47" s="403"/>
      <c r="AD47" s="403"/>
      <c r="AE47" s="403"/>
      <c r="AF47" s="403"/>
      <c r="AG47" s="403"/>
      <c r="AH47" s="403"/>
      <c r="AI47" s="403"/>
      <c r="AJ47" s="403"/>
      <c r="AK47" s="341" t="e">
        <f>ROUND(Z47/Z$50,5)</f>
        <v>#DIV/0!</v>
      </c>
      <c r="AL47" s="341"/>
      <c r="AM47" s="101" t="s">
        <v>998</v>
      </c>
      <c r="AN47" s="122">
        <v>0.5</v>
      </c>
    </row>
    <row r="48" spans="1:41" ht="14.7" customHeight="1" x14ac:dyDescent="0.3">
      <c r="A48" s="344"/>
      <c r="B48" s="420" t="s">
        <v>88</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32">
        <f>B$40</f>
        <v>0</v>
      </c>
      <c r="AA48" s="341"/>
      <c r="AB48" s="341"/>
      <c r="AC48" s="341"/>
      <c r="AD48" s="341"/>
      <c r="AE48" s="341"/>
      <c r="AF48" s="341"/>
      <c r="AG48" s="341"/>
      <c r="AH48" s="341"/>
      <c r="AI48" s="341"/>
      <c r="AJ48" s="341"/>
      <c r="AK48" s="341" t="e">
        <f>ROUND(Z48/Z$50,5)</f>
        <v>#DIV/0!</v>
      </c>
      <c r="AL48" s="341"/>
      <c r="AM48" s="101" t="s">
        <v>111</v>
      </c>
      <c r="AN48" s="122">
        <v>0.6</v>
      </c>
    </row>
    <row r="49" spans="1:59" ht="14.7" customHeight="1" x14ac:dyDescent="0.3">
      <c r="A49" s="344"/>
      <c r="B49" s="420" t="s">
        <v>92</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03"/>
      <c r="AA49" s="403"/>
      <c r="AB49" s="403"/>
      <c r="AC49" s="403"/>
      <c r="AD49" s="403"/>
      <c r="AE49" s="403"/>
      <c r="AF49" s="403"/>
      <c r="AG49" s="403"/>
      <c r="AH49" s="403"/>
      <c r="AI49" s="403"/>
      <c r="AJ49" s="403"/>
      <c r="AK49" s="341" t="e">
        <f>ROUND(Z49/Z$50,5)</f>
        <v>#DIV/0!</v>
      </c>
      <c r="AL49" s="341"/>
      <c r="AM49" s="101" t="s">
        <v>122</v>
      </c>
      <c r="AN49" s="122">
        <v>0.5</v>
      </c>
    </row>
    <row r="50" spans="1:59" ht="14.7" customHeight="1" x14ac:dyDescent="0.3">
      <c r="A50" s="344"/>
      <c r="B50" s="577" t="s">
        <v>89</v>
      </c>
      <c r="C50" s="577"/>
      <c r="D50" s="577"/>
      <c r="E50" s="577"/>
      <c r="F50" s="577"/>
      <c r="G50" s="577"/>
      <c r="H50" s="577"/>
      <c r="I50" s="577"/>
      <c r="J50" s="577"/>
      <c r="K50" s="577"/>
      <c r="L50" s="577"/>
      <c r="M50" s="577"/>
      <c r="N50" s="577"/>
      <c r="O50" s="577"/>
      <c r="P50" s="577"/>
      <c r="Q50" s="577"/>
      <c r="R50" s="577"/>
      <c r="S50" s="577"/>
      <c r="T50" s="577"/>
      <c r="U50" s="577"/>
      <c r="V50" s="577"/>
      <c r="W50" s="577"/>
      <c r="X50" s="577"/>
      <c r="Y50" s="578"/>
      <c r="Z50" s="571">
        <f>SUM(Z47:AJ49)</f>
        <v>0</v>
      </c>
      <c r="AA50" s="571"/>
      <c r="AB50" s="571"/>
      <c r="AC50" s="571"/>
      <c r="AD50" s="571"/>
      <c r="AE50" s="571"/>
      <c r="AF50" s="571"/>
      <c r="AG50" s="571"/>
      <c r="AH50" s="571"/>
      <c r="AI50" s="571"/>
      <c r="AJ50" s="571"/>
      <c r="AK50" s="560" t="e">
        <f>SUM(AK47:AL49)</f>
        <v>#DIV/0!</v>
      </c>
      <c r="AL50" s="560"/>
      <c r="AM50" s="77" t="s">
        <v>1150</v>
      </c>
    </row>
    <row r="51" spans="1:59" ht="117.45" customHeight="1" x14ac:dyDescent="0.25">
      <c r="A51" s="554" t="s">
        <v>641</v>
      </c>
      <c r="B51" s="569" t="s">
        <v>1074</v>
      </c>
      <c r="C51" s="570"/>
      <c r="D51" s="570"/>
      <c r="E51" s="570"/>
      <c r="F51" s="570"/>
      <c r="G51" s="570"/>
      <c r="H51" s="570"/>
      <c r="I51" s="570"/>
      <c r="J51" s="570"/>
      <c r="K51" s="570"/>
      <c r="L51" s="570"/>
      <c r="M51" s="570"/>
      <c r="N51" s="570"/>
      <c r="O51" s="570"/>
      <c r="P51" s="570"/>
      <c r="Q51" s="570"/>
      <c r="R51" s="570"/>
      <c r="S51" s="570"/>
      <c r="T51" s="570"/>
      <c r="U51" s="570"/>
      <c r="V51" s="570"/>
      <c r="W51" s="570"/>
      <c r="X51" s="570"/>
      <c r="Y51" s="570"/>
      <c r="Z51" s="570"/>
      <c r="AA51" s="570"/>
      <c r="AB51" s="570"/>
      <c r="AC51" s="570"/>
      <c r="AD51" s="570"/>
      <c r="AE51" s="570"/>
      <c r="AF51" s="570"/>
      <c r="AG51" s="570"/>
      <c r="AH51" s="570"/>
      <c r="AI51" s="570"/>
      <c r="AJ51" s="570"/>
      <c r="AK51" s="570"/>
      <c r="AL51" s="570"/>
    </row>
    <row r="52" spans="1:59" ht="14.7" customHeight="1" x14ac:dyDescent="0.3">
      <c r="A52" s="326"/>
      <c r="B52" s="552" t="s">
        <v>770</v>
      </c>
      <c r="C52" s="390"/>
      <c r="D52" s="390"/>
      <c r="E52" s="390"/>
      <c r="F52" s="390"/>
      <c r="G52" s="390"/>
      <c r="H52" s="390"/>
      <c r="I52" s="390"/>
      <c r="J52" s="390"/>
      <c r="K52" s="390"/>
      <c r="L52" s="390"/>
      <c r="M52" s="390"/>
      <c r="N52" s="390"/>
      <c r="O52" s="390"/>
      <c r="P52" s="390"/>
      <c r="Q52" s="390"/>
      <c r="R52" s="390"/>
      <c r="S52" s="387"/>
      <c r="T52" s="387"/>
      <c r="U52" s="387"/>
      <c r="V52" s="387"/>
      <c r="W52" s="387"/>
      <c r="X52" s="387"/>
      <c r="Y52" s="387"/>
      <c r="Z52" s="387"/>
      <c r="AA52" s="387"/>
      <c r="AB52" s="387"/>
      <c r="AC52" s="387"/>
      <c r="AD52" s="387"/>
      <c r="AE52" s="387"/>
      <c r="AF52" s="387"/>
      <c r="AG52" s="387"/>
      <c r="AH52" s="387"/>
      <c r="AI52" s="387"/>
      <c r="AJ52" s="387"/>
      <c r="AK52" s="387"/>
      <c r="AL52" s="387"/>
    </row>
    <row r="53" spans="1:59" ht="14.7" customHeight="1" x14ac:dyDescent="0.3">
      <c r="A53" s="326"/>
      <c r="B53" s="552" t="s">
        <v>771</v>
      </c>
      <c r="C53" s="390"/>
      <c r="D53" s="390"/>
      <c r="E53" s="390"/>
      <c r="F53" s="390"/>
      <c r="G53" s="390"/>
      <c r="H53" s="390"/>
      <c r="I53" s="390"/>
      <c r="J53" s="390"/>
      <c r="K53" s="390"/>
      <c r="L53" s="390"/>
      <c r="M53" s="390"/>
      <c r="N53" s="390"/>
      <c r="O53" s="390"/>
      <c r="P53" s="390"/>
      <c r="Q53" s="390"/>
      <c r="R53" s="390"/>
      <c r="S53" s="387"/>
      <c r="T53" s="387"/>
      <c r="U53" s="387"/>
      <c r="V53" s="387"/>
      <c r="W53" s="387"/>
      <c r="X53" s="387"/>
      <c r="Y53" s="387"/>
      <c r="Z53" s="387"/>
      <c r="AA53" s="387"/>
      <c r="AB53" s="387"/>
      <c r="AC53" s="387"/>
      <c r="AD53" s="387"/>
      <c r="AE53" s="387"/>
      <c r="AF53" s="387"/>
      <c r="AG53" s="387"/>
      <c r="AH53" s="387"/>
      <c r="AI53" s="387"/>
      <c r="AJ53" s="387"/>
      <c r="AK53" s="387"/>
      <c r="AL53" s="387"/>
    </row>
    <row r="54" spans="1:59" ht="32.700000000000003" customHeight="1" x14ac:dyDescent="0.3">
      <c r="A54" s="326"/>
      <c r="B54" s="552" t="s">
        <v>772</v>
      </c>
      <c r="C54" s="390"/>
      <c r="D54" s="390"/>
      <c r="E54" s="390"/>
      <c r="F54" s="390"/>
      <c r="G54" s="390"/>
      <c r="H54" s="390"/>
      <c r="I54" s="390"/>
      <c r="J54" s="390"/>
      <c r="K54" s="390"/>
      <c r="L54" s="390"/>
      <c r="M54" s="390"/>
      <c r="N54" s="390"/>
      <c r="O54" s="390"/>
      <c r="P54" s="390"/>
      <c r="Q54" s="390"/>
      <c r="R54" s="390"/>
      <c r="S54" s="553"/>
      <c r="T54" s="553"/>
      <c r="U54" s="553"/>
      <c r="V54" s="553"/>
      <c r="W54" s="553"/>
      <c r="X54" s="553"/>
      <c r="Y54" s="553"/>
      <c r="Z54" s="553"/>
      <c r="AA54" s="553"/>
      <c r="AB54" s="553"/>
      <c r="AC54" s="553"/>
      <c r="AD54" s="553"/>
      <c r="AE54" s="553"/>
      <c r="AF54" s="553"/>
      <c r="AG54" s="553"/>
      <c r="AH54" s="553"/>
      <c r="AI54" s="553"/>
      <c r="AJ54" s="553"/>
      <c r="AK54" s="553"/>
      <c r="AL54" s="553"/>
    </row>
    <row r="55" spans="1:59" ht="148.94999999999999" customHeight="1" x14ac:dyDescent="0.25">
      <c r="A55" s="554" t="s">
        <v>773</v>
      </c>
      <c r="B55" s="555" t="s">
        <v>1075</v>
      </c>
      <c r="C55" s="556"/>
      <c r="D55" s="556"/>
      <c r="E55" s="556"/>
      <c r="F55" s="556"/>
      <c r="G55" s="556"/>
      <c r="H55" s="556"/>
      <c r="I55" s="556"/>
      <c r="J55" s="556"/>
      <c r="K55" s="556"/>
      <c r="L55" s="556"/>
      <c r="M55" s="556"/>
      <c r="N55" s="556"/>
      <c r="O55" s="556"/>
      <c r="P55" s="556"/>
      <c r="Q55" s="556"/>
      <c r="R55" s="556"/>
      <c r="S55" s="556"/>
      <c r="T55" s="556"/>
      <c r="U55" s="556"/>
      <c r="V55" s="556"/>
      <c r="W55" s="556"/>
      <c r="X55" s="556"/>
      <c r="Y55" s="556"/>
      <c r="Z55" s="556"/>
      <c r="AA55" s="556"/>
      <c r="AB55" s="556"/>
      <c r="AC55" s="556"/>
      <c r="AD55" s="556"/>
      <c r="AE55" s="556"/>
      <c r="AF55" s="556"/>
      <c r="AG55" s="556"/>
      <c r="AH55" s="556"/>
      <c r="AI55" s="556"/>
      <c r="AJ55" s="556"/>
      <c r="AK55" s="556"/>
      <c r="AL55" s="556"/>
    </row>
    <row r="56" spans="1:59" ht="43.5" customHeight="1" x14ac:dyDescent="0.25">
      <c r="A56" s="326"/>
      <c r="B56" s="556" t="s">
        <v>774</v>
      </c>
      <c r="C56" s="557"/>
      <c r="D56" s="557"/>
      <c r="E56" s="557"/>
      <c r="F56" s="557"/>
      <c r="G56" s="557"/>
      <c r="H56" s="557"/>
      <c r="I56" s="557"/>
      <c r="J56" s="557"/>
      <c r="K56" s="557"/>
      <c r="L56" s="557"/>
      <c r="M56" s="557"/>
      <c r="N56" s="557"/>
      <c r="O56" s="557"/>
      <c r="P56" s="557"/>
      <c r="Q56" s="557"/>
      <c r="R56" s="557"/>
      <c r="S56" s="558"/>
      <c r="T56" s="558"/>
      <c r="U56" s="558"/>
      <c r="V56" s="558"/>
      <c r="W56" s="558"/>
      <c r="X56" s="558"/>
      <c r="Y56" s="558"/>
      <c r="Z56" s="558"/>
      <c r="AA56" s="558"/>
      <c r="AB56" s="558"/>
      <c r="AC56" s="558"/>
      <c r="AD56" s="558"/>
      <c r="AE56" s="558"/>
      <c r="AF56" s="558"/>
      <c r="AG56" s="558"/>
      <c r="AH56" s="558"/>
      <c r="AI56" s="558"/>
      <c r="AJ56" s="558"/>
      <c r="AK56" s="558"/>
      <c r="AL56" s="558"/>
    </row>
    <row r="57" spans="1:59" ht="43.95" customHeight="1" x14ac:dyDescent="0.25">
      <c r="A57" s="326"/>
      <c r="B57" s="556" t="s">
        <v>775</v>
      </c>
      <c r="C57" s="557"/>
      <c r="D57" s="557"/>
      <c r="E57" s="557"/>
      <c r="F57" s="557"/>
      <c r="G57" s="557"/>
      <c r="H57" s="557"/>
      <c r="I57" s="557"/>
      <c r="J57" s="557"/>
      <c r="K57" s="557"/>
      <c r="L57" s="557"/>
      <c r="M57" s="557"/>
      <c r="N57" s="557"/>
      <c r="O57" s="557"/>
      <c r="P57" s="557"/>
      <c r="Q57" s="557"/>
      <c r="R57" s="557"/>
      <c r="S57" s="558"/>
      <c r="T57" s="558"/>
      <c r="U57" s="558"/>
      <c r="V57" s="558"/>
      <c r="W57" s="558"/>
      <c r="X57" s="558"/>
      <c r="Y57" s="558"/>
      <c r="Z57" s="558"/>
      <c r="AA57" s="558"/>
      <c r="AB57" s="558"/>
      <c r="AC57" s="558"/>
      <c r="AD57" s="558"/>
      <c r="AE57" s="558"/>
      <c r="AF57" s="558"/>
      <c r="AG57" s="558"/>
      <c r="AH57" s="558"/>
      <c r="AI57" s="558"/>
      <c r="AJ57" s="558"/>
      <c r="AK57" s="558"/>
      <c r="AL57" s="558"/>
    </row>
    <row r="58" spans="1:59" ht="14.7" customHeight="1" x14ac:dyDescent="0.3">
      <c r="A58" s="150" t="s">
        <v>69</v>
      </c>
      <c r="B58" s="517" t="s">
        <v>70</v>
      </c>
      <c r="C58" s="517"/>
      <c r="D58" s="517"/>
      <c r="E58" s="517"/>
      <c r="F58" s="517"/>
      <c r="G58" s="517"/>
      <c r="H58" s="517"/>
      <c r="I58" s="517"/>
      <c r="J58" s="517"/>
      <c r="K58" s="517"/>
      <c r="L58" s="517"/>
      <c r="M58" s="517"/>
      <c r="N58" s="517"/>
      <c r="O58" s="517"/>
      <c r="P58" s="517"/>
      <c r="Q58" s="517"/>
      <c r="R58" s="517"/>
      <c r="S58" s="517"/>
      <c r="T58" s="517"/>
      <c r="U58" s="517"/>
      <c r="V58" s="517"/>
      <c r="W58" s="517"/>
      <c r="X58" s="517"/>
      <c r="Y58" s="517"/>
      <c r="Z58" s="517"/>
      <c r="AA58" s="517"/>
      <c r="AB58" s="517"/>
      <c r="AC58" s="517"/>
      <c r="AD58" s="517"/>
      <c r="AE58" s="517"/>
      <c r="AF58" s="517"/>
      <c r="AG58" s="517"/>
      <c r="AH58" s="517"/>
      <c r="AI58" s="517"/>
      <c r="AJ58" s="517"/>
      <c r="AK58" s="517"/>
      <c r="AL58" s="517"/>
    </row>
    <row r="59" spans="1:59" ht="45" customHeight="1" x14ac:dyDescent="0.25">
      <c r="A59" s="508"/>
      <c r="B59" s="508"/>
      <c r="C59" s="508"/>
      <c r="D59" s="508"/>
      <c r="E59" s="508"/>
      <c r="F59" s="508"/>
      <c r="G59" s="508"/>
      <c r="H59" s="508"/>
      <c r="I59" s="508"/>
      <c r="J59" s="508"/>
      <c r="K59" s="508"/>
      <c r="L59" s="508"/>
      <c r="M59" s="508"/>
      <c r="N59" s="508"/>
      <c r="O59" s="508"/>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08"/>
    </row>
    <row r="60" spans="1:59" s="64" customFormat="1" ht="14.4" x14ac:dyDescent="0.3">
      <c r="A60" s="150" t="s">
        <v>90</v>
      </c>
      <c r="B60" s="328" t="s">
        <v>674</v>
      </c>
      <c r="C60" s="328"/>
      <c r="D60" s="328"/>
      <c r="E60" s="328"/>
      <c r="F60" s="328"/>
      <c r="G60" s="328"/>
      <c r="H60" s="328"/>
      <c r="I60" s="328"/>
      <c r="J60" s="328"/>
      <c r="K60" s="328"/>
      <c r="L60" s="328"/>
      <c r="M60" s="328"/>
      <c r="N60" s="328"/>
      <c r="O60" s="328"/>
      <c r="P60" s="328"/>
      <c r="Q60" s="328"/>
      <c r="R60" s="328"/>
      <c r="S60" s="328"/>
      <c r="T60" s="328"/>
      <c r="U60" s="328"/>
      <c r="V60" s="328"/>
      <c r="W60" s="328"/>
      <c r="X60" s="328"/>
      <c r="Y60" s="328"/>
      <c r="Z60" s="328"/>
      <c r="AA60" s="328"/>
      <c r="AB60" s="328"/>
      <c r="AC60" s="328"/>
      <c r="AD60" s="328"/>
      <c r="AE60" s="328"/>
      <c r="AF60" s="328"/>
      <c r="AG60" s="328"/>
      <c r="AH60" s="328"/>
      <c r="AI60" s="328"/>
      <c r="AJ60" s="328"/>
      <c r="AK60" s="328"/>
      <c r="AL60" s="328"/>
      <c r="AM60" s="102"/>
      <c r="AN60" s="82"/>
      <c r="AO60" s="82"/>
      <c r="AP60" s="82"/>
      <c r="AQ60" s="82"/>
      <c r="AR60" s="82"/>
      <c r="AS60" s="82"/>
      <c r="AT60" s="82"/>
      <c r="AU60" s="82"/>
      <c r="AV60" s="82"/>
      <c r="AW60" s="82"/>
      <c r="AX60" s="82"/>
      <c r="AY60" s="82"/>
      <c r="AZ60" s="82"/>
      <c r="BA60" s="82"/>
      <c r="BB60" s="82"/>
      <c r="BC60" s="82"/>
      <c r="BD60" s="82"/>
      <c r="BE60" s="82"/>
      <c r="BF60" s="82"/>
      <c r="BG60" s="82"/>
    </row>
    <row r="61" spans="1:59" ht="46.5" customHeight="1" x14ac:dyDescent="0.25">
      <c r="A61" s="508" t="s">
        <v>1025</v>
      </c>
      <c r="B61" s="508"/>
      <c r="C61" s="508"/>
      <c r="D61" s="508"/>
      <c r="E61" s="508"/>
      <c r="F61" s="508"/>
      <c r="G61" s="508"/>
      <c r="H61" s="508"/>
      <c r="I61" s="508"/>
      <c r="J61" s="508"/>
      <c r="K61" s="508"/>
      <c r="L61" s="508"/>
      <c r="M61" s="508"/>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08"/>
      <c r="AM61" s="290" t="s">
        <v>993</v>
      </c>
    </row>
    <row r="62" spans="1:59" ht="15" customHeight="1" x14ac:dyDescent="0.3">
      <c r="A62" s="572">
        <f>A64+T64</f>
        <v>0</v>
      </c>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290"/>
    </row>
    <row r="63" spans="1:59" ht="14.7" customHeight="1" x14ac:dyDescent="0.25">
      <c r="A63" s="446" t="s">
        <v>240</v>
      </c>
      <c r="B63" s="447"/>
      <c r="C63" s="447"/>
      <c r="D63" s="447"/>
      <c r="E63" s="447"/>
      <c r="F63" s="447"/>
      <c r="G63" s="447"/>
      <c r="H63" s="447"/>
      <c r="I63" s="447"/>
      <c r="J63" s="447"/>
      <c r="K63" s="447"/>
      <c r="L63" s="447"/>
      <c r="M63" s="447"/>
      <c r="N63" s="447"/>
      <c r="O63" s="447"/>
      <c r="P63" s="447"/>
      <c r="Q63" s="447"/>
      <c r="R63" s="447"/>
      <c r="S63" s="448"/>
      <c r="T63" s="446" t="s">
        <v>241</v>
      </c>
      <c r="U63" s="447"/>
      <c r="V63" s="447"/>
      <c r="W63" s="447"/>
      <c r="X63" s="447"/>
      <c r="Y63" s="447"/>
      <c r="Z63" s="447"/>
      <c r="AA63" s="447"/>
      <c r="AB63" s="447"/>
      <c r="AC63" s="447"/>
      <c r="AD63" s="447"/>
      <c r="AE63" s="447"/>
      <c r="AF63" s="447"/>
      <c r="AG63" s="447"/>
      <c r="AH63" s="447"/>
      <c r="AI63" s="447"/>
      <c r="AJ63" s="447"/>
      <c r="AK63" s="447"/>
      <c r="AL63" s="447"/>
      <c r="AM63" s="290"/>
    </row>
    <row r="64" spans="1:59" ht="14.4" x14ac:dyDescent="0.25">
      <c r="A64" s="416"/>
      <c r="B64" s="416"/>
      <c r="C64" s="416"/>
      <c r="D64" s="416"/>
      <c r="E64" s="416"/>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290"/>
    </row>
    <row r="65" spans="1:47" ht="14.4" x14ac:dyDescent="0.25">
      <c r="A65" s="525" t="s">
        <v>898</v>
      </c>
      <c r="B65" s="441"/>
      <c r="C65" s="441"/>
      <c r="D65" s="441"/>
      <c r="E65" s="441"/>
      <c r="F65" s="441"/>
      <c r="G65" s="441"/>
      <c r="H65" s="441"/>
      <c r="I65" s="441"/>
      <c r="J65" s="441"/>
      <c r="K65" s="441"/>
      <c r="L65" s="441"/>
      <c r="M65" s="441"/>
      <c r="N65" s="441"/>
      <c r="O65" s="441"/>
      <c r="P65" s="441"/>
      <c r="Q65" s="441"/>
      <c r="R65" s="441"/>
      <c r="S65" s="442"/>
      <c r="T65" s="361" t="s">
        <v>897</v>
      </c>
      <c r="U65" s="362"/>
      <c r="V65" s="362"/>
      <c r="W65" s="362"/>
      <c r="X65" s="362"/>
      <c r="Y65" s="362"/>
      <c r="Z65" s="362"/>
      <c r="AA65" s="362"/>
      <c r="AB65" s="362"/>
      <c r="AC65" s="362"/>
      <c r="AD65" s="362"/>
      <c r="AE65" s="362"/>
      <c r="AF65" s="362"/>
      <c r="AG65" s="362"/>
      <c r="AH65" s="362"/>
      <c r="AI65" s="362"/>
      <c r="AJ65" s="362"/>
      <c r="AK65" s="362"/>
      <c r="AL65" s="363"/>
      <c r="AM65" s="290"/>
    </row>
    <row r="66" spans="1:47" ht="14.4" x14ac:dyDescent="0.3">
      <c r="A66" s="410"/>
      <c r="B66" s="411"/>
      <c r="C66" s="411"/>
      <c r="D66" s="411"/>
      <c r="E66" s="411"/>
      <c r="F66" s="411"/>
      <c r="G66" s="411"/>
      <c r="H66" s="411"/>
      <c r="I66" s="411"/>
      <c r="J66" s="411"/>
      <c r="K66" s="411"/>
      <c r="L66" s="411"/>
      <c r="M66" s="411"/>
      <c r="N66" s="411"/>
      <c r="O66" s="411"/>
      <c r="P66" s="411"/>
      <c r="Q66" s="411"/>
      <c r="R66" s="411"/>
      <c r="S66" s="412"/>
      <c r="T66" s="410"/>
      <c r="U66" s="411"/>
      <c r="V66" s="411"/>
      <c r="W66" s="411"/>
      <c r="X66" s="411"/>
      <c r="Y66" s="411"/>
      <c r="Z66" s="411"/>
      <c r="AA66" s="411"/>
      <c r="AB66" s="411"/>
      <c r="AC66" s="411"/>
      <c r="AD66" s="411"/>
      <c r="AE66" s="411"/>
      <c r="AF66" s="411"/>
      <c r="AG66" s="411"/>
      <c r="AH66" s="411"/>
      <c r="AI66" s="411"/>
      <c r="AJ66" s="411"/>
      <c r="AK66" s="411"/>
      <c r="AL66" s="412"/>
      <c r="AM66" s="290"/>
    </row>
    <row r="67" spans="1:47" ht="30.45" customHeight="1" x14ac:dyDescent="0.25">
      <c r="A67" s="439" t="s">
        <v>995</v>
      </c>
      <c r="B67" s="439"/>
      <c r="C67" s="439"/>
      <c r="D67" s="439"/>
      <c r="E67" s="439"/>
      <c r="F67" s="439"/>
      <c r="G67" s="439"/>
      <c r="H67" s="439"/>
      <c r="I67" s="439"/>
      <c r="J67" s="439"/>
      <c r="K67" s="439"/>
      <c r="L67" s="439"/>
      <c r="M67" s="439"/>
      <c r="N67" s="439"/>
      <c r="O67" s="439"/>
      <c r="P67" s="439"/>
      <c r="Q67" s="439"/>
      <c r="R67" s="439"/>
      <c r="S67" s="439"/>
      <c r="T67" s="439"/>
      <c r="U67" s="439"/>
      <c r="V67" s="439"/>
      <c r="W67" s="439"/>
      <c r="X67" s="439"/>
      <c r="Y67" s="439"/>
      <c r="Z67" s="439"/>
      <c r="AA67" s="439"/>
      <c r="AB67" s="439"/>
      <c r="AC67" s="439"/>
      <c r="AD67" s="439"/>
      <c r="AE67" s="439"/>
      <c r="AF67" s="439"/>
      <c r="AG67" s="439"/>
      <c r="AH67" s="439"/>
      <c r="AI67" s="439"/>
      <c r="AJ67" s="439"/>
      <c r="AK67" s="439"/>
      <c r="AL67" s="439"/>
      <c r="AM67" s="290" t="s">
        <v>996</v>
      </c>
    </row>
    <row r="68" spans="1:47" ht="14.4" x14ac:dyDescent="0.3">
      <c r="A68" s="418">
        <f>A62+A66+T66</f>
        <v>0</v>
      </c>
      <c r="B68" s="418"/>
      <c r="C68" s="418"/>
      <c r="D68" s="418"/>
      <c r="E68" s="418"/>
      <c r="F68" s="418"/>
      <c r="G68" s="418"/>
      <c r="H68" s="418"/>
      <c r="I68" s="418"/>
      <c r="J68" s="418"/>
      <c r="K68" s="418"/>
      <c r="L68" s="418"/>
      <c r="M68" s="418"/>
      <c r="N68" s="418"/>
      <c r="O68" s="418"/>
      <c r="P68" s="418"/>
      <c r="Q68" s="418"/>
      <c r="R68" s="418"/>
      <c r="S68" s="418"/>
      <c r="T68" s="418"/>
      <c r="U68" s="418"/>
      <c r="V68" s="418"/>
      <c r="W68" s="418"/>
      <c r="X68" s="418"/>
      <c r="Y68" s="418"/>
      <c r="Z68" s="418"/>
      <c r="AA68" s="418"/>
      <c r="AB68" s="418"/>
      <c r="AC68" s="418"/>
      <c r="AD68" s="418"/>
      <c r="AE68" s="418"/>
      <c r="AF68" s="418"/>
      <c r="AG68" s="418"/>
      <c r="AH68" s="418"/>
      <c r="AI68" s="418"/>
      <c r="AJ68" s="418"/>
      <c r="AK68" s="418"/>
      <c r="AL68" s="418"/>
      <c r="AM68" s="290"/>
    </row>
    <row r="69" spans="1:47" ht="14.4" x14ac:dyDescent="0.25">
      <c r="A69" s="376" t="s">
        <v>899</v>
      </c>
      <c r="B69" s="376"/>
      <c r="C69" s="376"/>
      <c r="D69" s="376"/>
      <c r="E69" s="376"/>
      <c r="F69" s="376"/>
      <c r="G69" s="376"/>
      <c r="H69" s="376"/>
      <c r="I69" s="376"/>
      <c r="J69" s="376"/>
      <c r="K69" s="376"/>
      <c r="L69" s="376"/>
      <c r="M69" s="376"/>
      <c r="N69" s="376"/>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c r="AL69" s="376"/>
    </row>
    <row r="70" spans="1:47" ht="14.4" x14ac:dyDescent="0.25">
      <c r="A70" s="355"/>
      <c r="B70" s="355"/>
      <c r="C70" s="355"/>
      <c r="D70" s="355"/>
      <c r="E70" s="355"/>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c r="AE70" s="355"/>
      <c r="AF70" s="355"/>
      <c r="AG70" s="355"/>
      <c r="AH70" s="355"/>
      <c r="AI70" s="355"/>
      <c r="AJ70" s="355"/>
      <c r="AK70" s="355"/>
      <c r="AL70" s="355"/>
    </row>
    <row r="71" spans="1:47" ht="14.4" x14ac:dyDescent="0.25">
      <c r="A71" s="376" t="s">
        <v>900</v>
      </c>
      <c r="B71" s="376"/>
      <c r="C71" s="376"/>
      <c r="D71" s="376"/>
      <c r="E71" s="376"/>
      <c r="F71" s="376"/>
      <c r="G71" s="376"/>
      <c r="H71" s="376"/>
      <c r="I71" s="376"/>
      <c r="J71" s="376"/>
      <c r="K71" s="376"/>
      <c r="L71" s="376"/>
      <c r="M71" s="376"/>
      <c r="N71" s="376"/>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c r="AL71" s="376"/>
    </row>
    <row r="72" spans="1:47" ht="14.4" x14ac:dyDescent="0.25">
      <c r="A72" s="355"/>
      <c r="B72" s="355"/>
      <c r="C72" s="355"/>
      <c r="D72" s="355"/>
      <c r="E72" s="355"/>
      <c r="F72" s="355"/>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c r="AD72" s="355"/>
      <c r="AE72" s="355"/>
      <c r="AF72" s="355"/>
      <c r="AG72" s="355"/>
      <c r="AH72" s="355"/>
      <c r="AI72" s="355"/>
      <c r="AJ72" s="355"/>
      <c r="AK72" s="355"/>
      <c r="AL72" s="355"/>
    </row>
    <row r="73" spans="1:47" ht="15" customHeight="1" x14ac:dyDescent="0.25">
      <c r="A73" s="149" t="s">
        <v>91</v>
      </c>
      <c r="B73" s="351" t="s">
        <v>97</v>
      </c>
      <c r="C73" s="351"/>
      <c r="D73" s="351"/>
      <c r="E73" s="351"/>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c r="AH73" s="351"/>
      <c r="AI73" s="351"/>
      <c r="AJ73" s="351"/>
      <c r="AK73" s="351"/>
      <c r="AL73" s="351"/>
      <c r="AM73" s="119"/>
    </row>
    <row r="74" spans="1:47" ht="36.450000000000003" customHeight="1" x14ac:dyDescent="0.25">
      <c r="A74" s="508" t="s">
        <v>912</v>
      </c>
      <c r="B74" s="508"/>
      <c r="C74" s="508"/>
      <c r="D74" s="508"/>
      <c r="E74" s="508"/>
      <c r="F74" s="508"/>
      <c r="G74" s="508"/>
      <c r="H74" s="508"/>
      <c r="I74" s="508"/>
      <c r="J74" s="508"/>
      <c r="K74" s="508"/>
      <c r="L74" s="508"/>
      <c r="M74" s="508"/>
      <c r="N74" s="508"/>
      <c r="O74" s="508"/>
      <c r="P74" s="508"/>
      <c r="Q74" s="508"/>
      <c r="R74" s="508"/>
      <c r="S74" s="508"/>
      <c r="T74" s="508"/>
      <c r="U74" s="508"/>
      <c r="V74" s="508"/>
      <c r="W74" s="508"/>
      <c r="X74" s="508"/>
      <c r="Y74" s="508"/>
      <c r="Z74" s="508"/>
      <c r="AA74" s="508"/>
      <c r="AB74" s="508"/>
      <c r="AC74" s="508"/>
      <c r="AD74" s="508"/>
      <c r="AE74" s="508"/>
      <c r="AF74" s="508"/>
      <c r="AG74" s="508"/>
      <c r="AH74" s="508"/>
      <c r="AI74" s="508"/>
      <c r="AJ74" s="508"/>
      <c r="AK74" s="508"/>
      <c r="AL74" s="508"/>
      <c r="AM74" s="335"/>
      <c r="AN74" s="335"/>
      <c r="AO74" s="335"/>
      <c r="AP74" s="335"/>
      <c r="AQ74" s="335"/>
      <c r="AR74" s="335"/>
      <c r="AS74" s="335"/>
      <c r="AT74" s="335"/>
      <c r="AU74" s="335"/>
    </row>
    <row r="75" spans="1:47" ht="97.2" customHeight="1" x14ac:dyDescent="0.25">
      <c r="A75" s="219" t="s">
        <v>127</v>
      </c>
      <c r="B75" s="494" t="s">
        <v>989</v>
      </c>
      <c r="C75" s="495"/>
      <c r="D75" s="495"/>
      <c r="E75" s="495"/>
      <c r="F75" s="495"/>
      <c r="G75" s="495"/>
      <c r="H75" s="495"/>
      <c r="I75" s="495"/>
      <c r="J75" s="495"/>
      <c r="K75" s="495"/>
      <c r="L75" s="495"/>
      <c r="M75" s="495"/>
      <c r="N75" s="495"/>
      <c r="O75" s="495"/>
      <c r="P75" s="496"/>
      <c r="Q75" s="497" t="s">
        <v>990</v>
      </c>
      <c r="R75" s="499"/>
      <c r="S75" s="499"/>
      <c r="T75" s="499"/>
      <c r="U75" s="499"/>
      <c r="V75" s="499"/>
      <c r="W75" s="499"/>
      <c r="X75" s="499"/>
      <c r="Y75" s="499"/>
      <c r="Z75" s="499"/>
      <c r="AA75" s="498"/>
      <c r="AB75" s="497" t="s">
        <v>987</v>
      </c>
      <c r="AC75" s="499"/>
      <c r="AD75" s="499"/>
      <c r="AE75" s="499"/>
      <c r="AF75" s="499"/>
      <c r="AG75" s="499"/>
      <c r="AH75" s="499"/>
      <c r="AI75" s="499"/>
      <c r="AJ75" s="498"/>
      <c r="AK75" s="497" t="s">
        <v>988</v>
      </c>
      <c r="AL75" s="498"/>
      <c r="AM75" s="335"/>
      <c r="AN75" s="335"/>
      <c r="AO75" s="335"/>
      <c r="AP75" s="335"/>
      <c r="AQ75" s="335"/>
      <c r="AR75" s="335"/>
      <c r="AS75" s="335"/>
      <c r="AT75" s="335"/>
      <c r="AU75" s="335"/>
    </row>
    <row r="76" spans="1:47" ht="14.7" customHeight="1" x14ac:dyDescent="0.3">
      <c r="A76" s="202">
        <v>1</v>
      </c>
      <c r="B76" s="477"/>
      <c r="C76" s="478"/>
      <c r="D76" s="478"/>
      <c r="E76" s="478"/>
      <c r="F76" s="478"/>
      <c r="G76" s="478"/>
      <c r="H76" s="478"/>
      <c r="I76" s="478"/>
      <c r="J76" s="478"/>
      <c r="K76" s="478"/>
      <c r="L76" s="478"/>
      <c r="M76" s="478"/>
      <c r="N76" s="478"/>
      <c r="O76" s="478"/>
      <c r="P76" s="479"/>
      <c r="Q76" s="483"/>
      <c r="R76" s="484"/>
      <c r="S76" s="484"/>
      <c r="T76" s="484"/>
      <c r="U76" s="484"/>
      <c r="V76" s="484"/>
      <c r="W76" s="484"/>
      <c r="X76" s="484"/>
      <c r="Y76" s="484"/>
      <c r="Z76" s="484"/>
      <c r="AA76" s="485"/>
      <c r="AB76" s="483"/>
      <c r="AC76" s="484"/>
      <c r="AD76" s="484"/>
      <c r="AE76" s="484"/>
      <c r="AF76" s="484"/>
      <c r="AG76" s="484"/>
      <c r="AH76" s="484"/>
      <c r="AI76" s="484"/>
      <c r="AJ76" s="485"/>
      <c r="AK76" s="483"/>
      <c r="AL76" s="485"/>
      <c r="AM76" s="335"/>
      <c r="AN76" s="335"/>
      <c r="AO76" s="335"/>
      <c r="AP76" s="335"/>
      <c r="AQ76" s="335"/>
      <c r="AR76" s="335"/>
      <c r="AS76" s="335"/>
      <c r="AT76" s="335"/>
      <c r="AU76" s="335"/>
    </row>
    <row r="77" spans="1:47" ht="14.7" customHeight="1" x14ac:dyDescent="0.3">
      <c r="A77" s="202">
        <v>2</v>
      </c>
      <c r="B77" s="477"/>
      <c r="C77" s="478"/>
      <c r="D77" s="478"/>
      <c r="E77" s="478"/>
      <c r="F77" s="478"/>
      <c r="G77" s="478"/>
      <c r="H77" s="478"/>
      <c r="I77" s="478"/>
      <c r="J77" s="478"/>
      <c r="K77" s="478"/>
      <c r="L77" s="478"/>
      <c r="M77" s="478"/>
      <c r="N77" s="478"/>
      <c r="O77" s="478"/>
      <c r="P77" s="479"/>
      <c r="Q77" s="483"/>
      <c r="R77" s="484"/>
      <c r="S77" s="484"/>
      <c r="T77" s="484"/>
      <c r="U77" s="484"/>
      <c r="V77" s="484"/>
      <c r="W77" s="484"/>
      <c r="X77" s="484"/>
      <c r="Y77" s="484"/>
      <c r="Z77" s="484"/>
      <c r="AA77" s="485"/>
      <c r="AB77" s="483"/>
      <c r="AC77" s="484"/>
      <c r="AD77" s="484"/>
      <c r="AE77" s="484"/>
      <c r="AF77" s="484"/>
      <c r="AG77" s="484"/>
      <c r="AH77" s="484"/>
      <c r="AI77" s="484"/>
      <c r="AJ77" s="485"/>
      <c r="AK77" s="483"/>
      <c r="AL77" s="485"/>
      <c r="AM77" s="335"/>
      <c r="AN77" s="335"/>
      <c r="AO77" s="335"/>
      <c r="AP77" s="335"/>
      <c r="AQ77" s="335"/>
      <c r="AR77" s="335"/>
      <c r="AS77" s="335"/>
      <c r="AT77" s="335"/>
      <c r="AU77" s="335"/>
    </row>
    <row r="78" spans="1:47" ht="14.7" customHeight="1" x14ac:dyDescent="0.3">
      <c r="A78" s="202">
        <v>3</v>
      </c>
      <c r="B78" s="477"/>
      <c r="C78" s="478"/>
      <c r="D78" s="478"/>
      <c r="E78" s="478"/>
      <c r="F78" s="478"/>
      <c r="G78" s="478"/>
      <c r="H78" s="478"/>
      <c r="I78" s="478"/>
      <c r="J78" s="478"/>
      <c r="K78" s="478"/>
      <c r="L78" s="478"/>
      <c r="M78" s="478"/>
      <c r="N78" s="478"/>
      <c r="O78" s="478"/>
      <c r="P78" s="479"/>
      <c r="Q78" s="483"/>
      <c r="R78" s="484"/>
      <c r="S78" s="484"/>
      <c r="T78" s="484"/>
      <c r="U78" s="484"/>
      <c r="V78" s="484"/>
      <c r="W78" s="484"/>
      <c r="X78" s="484"/>
      <c r="Y78" s="484"/>
      <c r="Z78" s="484"/>
      <c r="AA78" s="485"/>
      <c r="AB78" s="483"/>
      <c r="AC78" s="484"/>
      <c r="AD78" s="484"/>
      <c r="AE78" s="484"/>
      <c r="AF78" s="484"/>
      <c r="AG78" s="484"/>
      <c r="AH78" s="484"/>
      <c r="AI78" s="484"/>
      <c r="AJ78" s="485"/>
      <c r="AK78" s="483"/>
      <c r="AL78" s="485"/>
      <c r="AM78" s="335"/>
      <c r="AN78" s="335"/>
      <c r="AO78" s="335"/>
      <c r="AP78" s="335"/>
      <c r="AQ78" s="335"/>
      <c r="AR78" s="335"/>
      <c r="AS78" s="335"/>
      <c r="AT78" s="335"/>
      <c r="AU78" s="335"/>
    </row>
    <row r="79" spans="1:47" ht="14.7" customHeight="1" x14ac:dyDescent="0.3">
      <c r="A79" s="202">
        <v>4</v>
      </c>
      <c r="B79" s="477"/>
      <c r="C79" s="478"/>
      <c r="D79" s="478"/>
      <c r="E79" s="478"/>
      <c r="F79" s="478"/>
      <c r="G79" s="478"/>
      <c r="H79" s="478"/>
      <c r="I79" s="478"/>
      <c r="J79" s="478"/>
      <c r="K79" s="478"/>
      <c r="L79" s="478"/>
      <c r="M79" s="478"/>
      <c r="N79" s="478"/>
      <c r="O79" s="478"/>
      <c r="P79" s="479"/>
      <c r="Q79" s="483"/>
      <c r="R79" s="484"/>
      <c r="S79" s="484"/>
      <c r="T79" s="484"/>
      <c r="U79" s="484"/>
      <c r="V79" s="484"/>
      <c r="W79" s="484"/>
      <c r="X79" s="484"/>
      <c r="Y79" s="484"/>
      <c r="Z79" s="484"/>
      <c r="AA79" s="485"/>
      <c r="AB79" s="483"/>
      <c r="AC79" s="484"/>
      <c r="AD79" s="484"/>
      <c r="AE79" s="484"/>
      <c r="AF79" s="484"/>
      <c r="AG79" s="484"/>
      <c r="AH79" s="484"/>
      <c r="AI79" s="484"/>
      <c r="AJ79" s="485"/>
      <c r="AK79" s="483"/>
      <c r="AL79" s="485"/>
      <c r="AM79" s="335"/>
      <c r="AN79" s="335"/>
      <c r="AO79" s="335"/>
      <c r="AP79" s="335"/>
      <c r="AQ79" s="335"/>
      <c r="AR79" s="335"/>
      <c r="AS79" s="335"/>
      <c r="AT79" s="335"/>
      <c r="AU79" s="335"/>
    </row>
    <row r="80" spans="1:47" ht="14.7" customHeight="1" x14ac:dyDescent="0.3">
      <c r="A80" s="202">
        <v>5</v>
      </c>
      <c r="B80" s="477"/>
      <c r="C80" s="478"/>
      <c r="D80" s="478"/>
      <c r="E80" s="478"/>
      <c r="F80" s="478"/>
      <c r="G80" s="478"/>
      <c r="H80" s="478"/>
      <c r="I80" s="478"/>
      <c r="J80" s="478"/>
      <c r="K80" s="478"/>
      <c r="L80" s="478"/>
      <c r="M80" s="478"/>
      <c r="N80" s="478"/>
      <c r="O80" s="478"/>
      <c r="P80" s="479"/>
      <c r="Q80" s="483"/>
      <c r="R80" s="484"/>
      <c r="S80" s="484"/>
      <c r="T80" s="484"/>
      <c r="U80" s="484"/>
      <c r="V80" s="484"/>
      <c r="W80" s="484"/>
      <c r="X80" s="484"/>
      <c r="Y80" s="484"/>
      <c r="Z80" s="484"/>
      <c r="AA80" s="485"/>
      <c r="AB80" s="483"/>
      <c r="AC80" s="484"/>
      <c r="AD80" s="484"/>
      <c r="AE80" s="484"/>
      <c r="AF80" s="484"/>
      <c r="AG80" s="484"/>
      <c r="AH80" s="484"/>
      <c r="AI80" s="484"/>
      <c r="AJ80" s="485"/>
      <c r="AK80" s="483"/>
      <c r="AL80" s="485"/>
      <c r="AM80" s="335"/>
      <c r="AN80" s="335"/>
      <c r="AO80" s="335"/>
      <c r="AP80" s="335"/>
      <c r="AQ80" s="335"/>
      <c r="AR80" s="335"/>
      <c r="AS80" s="335"/>
      <c r="AT80" s="335"/>
      <c r="AU80" s="335"/>
    </row>
    <row r="81" spans="1:59" ht="14.7" customHeight="1" x14ac:dyDescent="0.3">
      <c r="A81" s="202">
        <v>6</v>
      </c>
      <c r="B81" s="477"/>
      <c r="C81" s="478"/>
      <c r="D81" s="478"/>
      <c r="E81" s="478"/>
      <c r="F81" s="478"/>
      <c r="G81" s="478"/>
      <c r="H81" s="478"/>
      <c r="I81" s="478"/>
      <c r="J81" s="478"/>
      <c r="K81" s="478"/>
      <c r="L81" s="478"/>
      <c r="M81" s="478"/>
      <c r="N81" s="478"/>
      <c r="O81" s="478"/>
      <c r="P81" s="479"/>
      <c r="Q81" s="483"/>
      <c r="R81" s="484"/>
      <c r="S81" s="484"/>
      <c r="T81" s="484"/>
      <c r="U81" s="484"/>
      <c r="V81" s="484"/>
      <c r="W81" s="484"/>
      <c r="X81" s="484"/>
      <c r="Y81" s="484"/>
      <c r="Z81" s="484"/>
      <c r="AA81" s="485"/>
      <c r="AB81" s="483"/>
      <c r="AC81" s="484"/>
      <c r="AD81" s="484"/>
      <c r="AE81" s="484"/>
      <c r="AF81" s="484"/>
      <c r="AG81" s="484"/>
      <c r="AH81" s="484"/>
      <c r="AI81" s="484"/>
      <c r="AJ81" s="485"/>
      <c r="AK81" s="483"/>
      <c r="AL81" s="485"/>
      <c r="AM81" s="335"/>
      <c r="AN81" s="335"/>
      <c r="AO81" s="335"/>
      <c r="AP81" s="335"/>
      <c r="AQ81" s="335"/>
      <c r="AR81" s="335"/>
      <c r="AS81" s="335"/>
      <c r="AT81" s="335"/>
      <c r="AU81" s="335"/>
    </row>
    <row r="82" spans="1:59" ht="14.7" customHeight="1" x14ac:dyDescent="0.3">
      <c r="A82" s="202">
        <v>7</v>
      </c>
      <c r="B82" s="477"/>
      <c r="C82" s="478"/>
      <c r="D82" s="478"/>
      <c r="E82" s="478"/>
      <c r="F82" s="478"/>
      <c r="G82" s="478"/>
      <c r="H82" s="478"/>
      <c r="I82" s="478"/>
      <c r="J82" s="478"/>
      <c r="K82" s="478"/>
      <c r="L82" s="478"/>
      <c r="M82" s="478"/>
      <c r="N82" s="478"/>
      <c r="O82" s="478"/>
      <c r="P82" s="479"/>
      <c r="Q82" s="483"/>
      <c r="R82" s="484"/>
      <c r="S82" s="484"/>
      <c r="T82" s="484"/>
      <c r="U82" s="484"/>
      <c r="V82" s="484"/>
      <c r="W82" s="484"/>
      <c r="X82" s="484"/>
      <c r="Y82" s="484"/>
      <c r="Z82" s="484"/>
      <c r="AA82" s="485"/>
      <c r="AB82" s="483"/>
      <c r="AC82" s="484"/>
      <c r="AD82" s="484"/>
      <c r="AE82" s="484"/>
      <c r="AF82" s="484"/>
      <c r="AG82" s="484"/>
      <c r="AH82" s="484"/>
      <c r="AI82" s="484"/>
      <c r="AJ82" s="485"/>
      <c r="AK82" s="483"/>
      <c r="AL82" s="485"/>
      <c r="AM82" s="335"/>
      <c r="AN82" s="335"/>
      <c r="AO82" s="335"/>
      <c r="AP82" s="335"/>
      <c r="AQ82" s="335"/>
      <c r="AR82" s="335"/>
      <c r="AS82" s="335"/>
      <c r="AT82" s="335"/>
      <c r="AU82" s="335"/>
    </row>
    <row r="83" spans="1:59" ht="14.7" customHeight="1" x14ac:dyDescent="0.3">
      <c r="A83" s="202">
        <v>8</v>
      </c>
      <c r="B83" s="477"/>
      <c r="C83" s="478"/>
      <c r="D83" s="478"/>
      <c r="E83" s="478"/>
      <c r="F83" s="478"/>
      <c r="G83" s="478"/>
      <c r="H83" s="478"/>
      <c r="I83" s="478"/>
      <c r="J83" s="478"/>
      <c r="K83" s="478"/>
      <c r="L83" s="478"/>
      <c r="M83" s="478"/>
      <c r="N83" s="478"/>
      <c r="O83" s="478"/>
      <c r="P83" s="479"/>
      <c r="Q83" s="483"/>
      <c r="R83" s="484"/>
      <c r="S83" s="484"/>
      <c r="T83" s="484"/>
      <c r="U83" s="484"/>
      <c r="V83" s="484"/>
      <c r="W83" s="484"/>
      <c r="X83" s="484"/>
      <c r="Y83" s="484"/>
      <c r="Z83" s="484"/>
      <c r="AA83" s="485"/>
      <c r="AB83" s="483"/>
      <c r="AC83" s="484"/>
      <c r="AD83" s="484"/>
      <c r="AE83" s="484"/>
      <c r="AF83" s="484"/>
      <c r="AG83" s="484"/>
      <c r="AH83" s="484"/>
      <c r="AI83" s="484"/>
      <c r="AJ83" s="485"/>
      <c r="AK83" s="483"/>
      <c r="AL83" s="485"/>
      <c r="AM83" s="335"/>
      <c r="AN83" s="335"/>
      <c r="AO83" s="335"/>
      <c r="AP83" s="335"/>
      <c r="AQ83" s="335"/>
      <c r="AR83" s="335"/>
      <c r="AS83" s="335"/>
      <c r="AT83" s="335"/>
      <c r="AU83" s="335"/>
    </row>
    <row r="84" spans="1:59" ht="14.7" customHeight="1" x14ac:dyDescent="0.3">
      <c r="A84" s="202">
        <v>9</v>
      </c>
      <c r="B84" s="477"/>
      <c r="C84" s="478"/>
      <c r="D84" s="478"/>
      <c r="E84" s="478"/>
      <c r="F84" s="478"/>
      <c r="G84" s="478"/>
      <c r="H84" s="478"/>
      <c r="I84" s="478"/>
      <c r="J84" s="478"/>
      <c r="K84" s="478"/>
      <c r="L84" s="478"/>
      <c r="M84" s="478"/>
      <c r="N84" s="478"/>
      <c r="O84" s="478"/>
      <c r="P84" s="479"/>
      <c r="Q84" s="483"/>
      <c r="R84" s="484"/>
      <c r="S84" s="484"/>
      <c r="T84" s="484"/>
      <c r="U84" s="484"/>
      <c r="V84" s="484"/>
      <c r="W84" s="484"/>
      <c r="X84" s="484"/>
      <c r="Y84" s="484"/>
      <c r="Z84" s="484"/>
      <c r="AA84" s="485"/>
      <c r="AB84" s="483"/>
      <c r="AC84" s="484"/>
      <c r="AD84" s="484"/>
      <c r="AE84" s="484"/>
      <c r="AF84" s="484"/>
      <c r="AG84" s="484"/>
      <c r="AH84" s="484"/>
      <c r="AI84" s="484"/>
      <c r="AJ84" s="485"/>
      <c r="AK84" s="483"/>
      <c r="AL84" s="485"/>
      <c r="AM84" s="335"/>
      <c r="AN84" s="335"/>
      <c r="AO84" s="335"/>
      <c r="AP84" s="335"/>
      <c r="AQ84" s="335"/>
      <c r="AR84" s="335"/>
      <c r="AS84" s="335"/>
      <c r="AT84" s="335"/>
      <c r="AU84" s="335"/>
    </row>
    <row r="85" spans="1:59" ht="14.7" customHeight="1" x14ac:dyDescent="0.3">
      <c r="A85" s="202">
        <v>10</v>
      </c>
      <c r="B85" s="477"/>
      <c r="C85" s="478"/>
      <c r="D85" s="478"/>
      <c r="E85" s="478"/>
      <c r="F85" s="478"/>
      <c r="G85" s="478"/>
      <c r="H85" s="478"/>
      <c r="I85" s="478"/>
      <c r="J85" s="478"/>
      <c r="K85" s="478"/>
      <c r="L85" s="478"/>
      <c r="M85" s="478"/>
      <c r="N85" s="478"/>
      <c r="O85" s="478"/>
      <c r="P85" s="479"/>
      <c r="Q85" s="483"/>
      <c r="R85" s="484"/>
      <c r="S85" s="484"/>
      <c r="T85" s="484"/>
      <c r="U85" s="484"/>
      <c r="V85" s="484"/>
      <c r="W85" s="484"/>
      <c r="X85" s="484"/>
      <c r="Y85" s="484"/>
      <c r="Z85" s="484"/>
      <c r="AA85" s="485"/>
      <c r="AB85" s="483"/>
      <c r="AC85" s="484"/>
      <c r="AD85" s="484"/>
      <c r="AE85" s="484"/>
      <c r="AF85" s="484"/>
      <c r="AG85" s="484"/>
      <c r="AH85" s="484"/>
      <c r="AI85" s="484"/>
      <c r="AJ85" s="485"/>
      <c r="AK85" s="483"/>
      <c r="AL85" s="485"/>
      <c r="AM85" s="335"/>
      <c r="AN85" s="335"/>
      <c r="AO85" s="335"/>
      <c r="AP85" s="335"/>
      <c r="AQ85" s="335"/>
      <c r="AR85" s="335"/>
      <c r="AS85" s="335"/>
      <c r="AT85" s="335"/>
      <c r="AU85" s="335"/>
    </row>
    <row r="86" spans="1:59" ht="14.7" customHeight="1" x14ac:dyDescent="0.3">
      <c r="A86" s="202">
        <v>11</v>
      </c>
      <c r="B86" s="564" t="s">
        <v>756</v>
      </c>
      <c r="C86" s="565"/>
      <c r="D86" s="565"/>
      <c r="E86" s="565"/>
      <c r="F86" s="565"/>
      <c r="G86" s="565"/>
      <c r="H86" s="565"/>
      <c r="I86" s="565"/>
      <c r="J86" s="565"/>
      <c r="K86" s="565"/>
      <c r="L86" s="565"/>
      <c r="M86" s="565"/>
      <c r="N86" s="565"/>
      <c r="O86" s="565"/>
      <c r="P86" s="566"/>
      <c r="Q86" s="561">
        <f>SUM(Q76:AA85)</f>
        <v>0</v>
      </c>
      <c r="R86" s="562"/>
      <c r="S86" s="562"/>
      <c r="T86" s="562"/>
      <c r="U86" s="562"/>
      <c r="V86" s="562"/>
      <c r="W86" s="562"/>
      <c r="X86" s="562"/>
      <c r="Y86" s="562"/>
      <c r="Z86" s="562"/>
      <c r="AA86" s="563"/>
      <c r="AB86" s="561">
        <f>SUM(AB76:AJ85)</f>
        <v>0</v>
      </c>
      <c r="AC86" s="562"/>
      <c r="AD86" s="562"/>
      <c r="AE86" s="562"/>
      <c r="AF86" s="562"/>
      <c r="AG86" s="562"/>
      <c r="AH86" s="562"/>
      <c r="AI86" s="562"/>
      <c r="AJ86" s="563"/>
      <c r="AK86" s="561">
        <f>SUM(AK76:AL85)</f>
        <v>0</v>
      </c>
      <c r="AL86" s="563"/>
    </row>
    <row r="87" spans="1:59" ht="14.4" x14ac:dyDescent="0.25">
      <c r="A87" s="328" t="s">
        <v>687</v>
      </c>
      <c r="B87" s="328"/>
      <c r="C87" s="328"/>
      <c r="D87" s="328"/>
      <c r="E87" s="328"/>
      <c r="F87" s="328"/>
      <c r="G87" s="328"/>
      <c r="H87" s="328"/>
      <c r="I87" s="328"/>
      <c r="J87" s="328"/>
      <c r="K87" s="328"/>
      <c r="L87" s="328"/>
      <c r="M87" s="328"/>
      <c r="N87" s="328"/>
      <c r="O87" s="328"/>
      <c r="P87" s="328"/>
      <c r="Q87" s="328"/>
      <c r="R87" s="328"/>
      <c r="S87" s="328"/>
      <c r="T87" s="328"/>
      <c r="U87" s="328"/>
      <c r="V87" s="328"/>
      <c r="W87" s="328"/>
      <c r="X87" s="328"/>
      <c r="Y87" s="328"/>
      <c r="Z87" s="328"/>
      <c r="AA87" s="328"/>
      <c r="AB87" s="328"/>
      <c r="AC87" s="328"/>
      <c r="AD87" s="328"/>
      <c r="AE87" s="328"/>
      <c r="AF87" s="328"/>
      <c r="AG87" s="328"/>
      <c r="AH87" s="328"/>
      <c r="AI87" s="328"/>
      <c r="AJ87" s="328"/>
      <c r="AK87" s="328"/>
      <c r="AL87" s="328"/>
      <c r="AM87" s="119"/>
    </row>
    <row r="88" spans="1:59" ht="32.25" customHeight="1" x14ac:dyDescent="0.25">
      <c r="A88" s="391" t="s">
        <v>735</v>
      </c>
      <c r="B88" s="391"/>
      <c r="C88" s="391"/>
      <c r="D88" s="391"/>
      <c r="E88" s="391"/>
      <c r="F88" s="391"/>
      <c r="G88" s="391"/>
      <c r="H88" s="391"/>
      <c r="I88" s="391"/>
      <c r="J88" s="391"/>
      <c r="K88" s="391"/>
      <c r="L88" s="391"/>
      <c r="M88" s="391"/>
      <c r="N88" s="391"/>
      <c r="O88" s="391"/>
      <c r="P88" s="391"/>
      <c r="Q88" s="391"/>
      <c r="R88" s="391"/>
      <c r="S88" s="391"/>
      <c r="T88" s="391"/>
      <c r="U88" s="391"/>
      <c r="V88" s="391"/>
      <c r="W88" s="391"/>
      <c r="X88" s="391"/>
      <c r="Y88" s="391"/>
      <c r="Z88" s="391"/>
      <c r="AA88" s="391"/>
      <c r="AB88" s="391"/>
      <c r="AC88" s="391"/>
      <c r="AD88" s="391"/>
      <c r="AE88" s="391"/>
      <c r="AF88" s="391"/>
      <c r="AG88" s="391"/>
      <c r="AH88" s="391"/>
      <c r="AI88" s="391"/>
      <c r="AJ88" s="391"/>
      <c r="AK88" s="391"/>
      <c r="AL88" s="391"/>
    </row>
    <row r="89" spans="1:59" s="116" customFormat="1" ht="45" customHeight="1" x14ac:dyDescent="0.25">
      <c r="A89" s="392" t="s">
        <v>736</v>
      </c>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c r="Z89" s="392"/>
      <c r="AA89" s="392"/>
      <c r="AB89" s="392"/>
      <c r="AC89" s="392"/>
      <c r="AD89" s="392"/>
      <c r="AE89" s="392"/>
      <c r="AF89" s="392"/>
      <c r="AG89" s="392"/>
      <c r="AH89" s="392"/>
      <c r="AI89" s="392"/>
      <c r="AJ89" s="392"/>
      <c r="AK89" s="392"/>
      <c r="AL89" s="392"/>
      <c r="AM89" s="101"/>
      <c r="AN89" s="124"/>
      <c r="AO89" s="124"/>
      <c r="AP89" s="124"/>
      <c r="AQ89" s="124"/>
      <c r="AR89" s="124"/>
      <c r="AS89" s="124"/>
      <c r="AT89" s="124"/>
      <c r="AU89" s="124"/>
      <c r="AV89" s="124"/>
      <c r="AW89" s="124"/>
      <c r="AX89" s="124"/>
      <c r="AY89" s="124"/>
      <c r="AZ89" s="124"/>
      <c r="BA89" s="124"/>
      <c r="BB89" s="124"/>
      <c r="BC89" s="124"/>
      <c r="BD89" s="124"/>
      <c r="BE89" s="124"/>
      <c r="BF89" s="124"/>
      <c r="BG89" s="124"/>
    </row>
    <row r="90" spans="1:59" ht="69" customHeight="1" x14ac:dyDescent="0.25">
      <c r="A90" s="332" t="s">
        <v>738</v>
      </c>
      <c r="B90" s="332"/>
      <c r="C90" s="332"/>
      <c r="D90" s="332"/>
      <c r="E90" s="332"/>
      <c r="F90" s="332"/>
      <c r="G90" s="332"/>
      <c r="H90" s="332"/>
      <c r="I90" s="332"/>
      <c r="J90" s="332"/>
      <c r="K90" s="332"/>
      <c r="L90" s="332"/>
      <c r="M90" s="332"/>
      <c r="N90" s="332"/>
      <c r="O90" s="332"/>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row>
    <row r="91" spans="1:59" ht="45" customHeight="1" x14ac:dyDescent="0.25">
      <c r="A91" s="333" t="s">
        <v>739</v>
      </c>
      <c r="B91" s="333"/>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101" t="str">
        <f>IF(A$91=Słowniki!P1,"Po wydrukowaniu należy przystawić imienną pieczęć i podpisać oświadczenie","")</f>
        <v/>
      </c>
    </row>
    <row r="92" spans="1:59" ht="45" customHeight="1" x14ac:dyDescent="0.25">
      <c r="A92" s="487"/>
      <c r="B92" s="487"/>
      <c r="C92" s="487"/>
      <c r="D92" s="487"/>
      <c r="E92" s="487"/>
      <c r="F92" s="487"/>
      <c r="G92" s="487"/>
      <c r="H92" s="487"/>
      <c r="I92" s="487"/>
      <c r="J92" s="487"/>
      <c r="K92" s="487"/>
      <c r="L92" s="487"/>
      <c r="M92" s="487"/>
      <c r="N92" s="487"/>
      <c r="O92" s="487"/>
      <c r="P92" s="487"/>
      <c r="Q92" s="487"/>
      <c r="R92" s="487"/>
      <c r="S92" s="487"/>
      <c r="T92" s="487"/>
      <c r="U92" s="487"/>
      <c r="V92" s="487"/>
      <c r="W92" s="487"/>
      <c r="X92" s="487"/>
      <c r="Y92" s="487"/>
      <c r="Z92" s="487"/>
      <c r="AA92" s="487"/>
      <c r="AB92" s="487"/>
      <c r="AC92" s="487"/>
      <c r="AD92" s="487"/>
      <c r="AE92" s="487"/>
      <c r="AF92" s="487"/>
      <c r="AG92" s="487"/>
      <c r="AH92" s="487"/>
      <c r="AI92" s="487"/>
      <c r="AJ92" s="487"/>
      <c r="AK92" s="487"/>
      <c r="AL92" s="487"/>
    </row>
    <row r="93" spans="1:59" ht="45" customHeight="1" x14ac:dyDescent="0.25">
      <c r="A93" s="404" t="s">
        <v>929</v>
      </c>
      <c r="B93" s="404"/>
      <c r="C93" s="404"/>
      <c r="D93" s="404"/>
      <c r="E93" s="404"/>
      <c r="F93" s="404"/>
      <c r="G93" s="404"/>
      <c r="H93" s="404"/>
      <c r="I93" s="404"/>
      <c r="J93" s="404"/>
      <c r="K93" s="404"/>
      <c r="L93" s="404"/>
      <c r="M93" s="404"/>
      <c r="N93" s="404"/>
      <c r="O93" s="404"/>
      <c r="P93" s="404"/>
      <c r="Q93" s="404"/>
      <c r="R93" s="404"/>
      <c r="S93" s="404"/>
      <c r="T93" s="404"/>
      <c r="U93" s="404"/>
      <c r="V93" s="404"/>
      <c r="W93" s="404"/>
      <c r="X93" s="404"/>
      <c r="Y93" s="404"/>
      <c r="Z93" s="404"/>
      <c r="AA93" s="404"/>
      <c r="AB93" s="404"/>
      <c r="AC93" s="404"/>
      <c r="AD93" s="404"/>
      <c r="AE93" s="404"/>
      <c r="AF93" s="404"/>
      <c r="AG93" s="404"/>
      <c r="AH93" s="404"/>
      <c r="AI93" s="404"/>
      <c r="AJ93" s="404"/>
      <c r="AK93" s="404"/>
      <c r="AL93" s="404"/>
    </row>
    <row r="94" spans="1:59" ht="72.45" customHeight="1" x14ac:dyDescent="0.25">
      <c r="A94" s="579"/>
      <c r="B94" s="579"/>
      <c r="C94" s="579"/>
      <c r="D94" s="579"/>
      <c r="E94" s="579"/>
      <c r="F94" s="579"/>
      <c r="G94" s="579"/>
      <c r="H94" s="579"/>
      <c r="I94" s="579"/>
      <c r="J94" s="579"/>
      <c r="K94" s="579"/>
      <c r="L94" s="579"/>
      <c r="M94" s="579"/>
      <c r="N94" s="579"/>
      <c r="O94" s="579"/>
      <c r="P94" s="579"/>
      <c r="Q94" s="579"/>
      <c r="R94" s="579"/>
      <c r="S94" s="579"/>
      <c r="T94" s="579"/>
      <c r="U94" s="579"/>
      <c r="V94" s="579"/>
      <c r="W94" s="579"/>
      <c r="X94" s="579"/>
      <c r="Y94" s="579"/>
      <c r="Z94" s="579"/>
      <c r="AA94" s="579"/>
      <c r="AB94" s="579"/>
      <c r="AC94" s="579"/>
      <c r="AD94" s="579"/>
      <c r="AE94" s="579"/>
      <c r="AF94" s="579"/>
      <c r="AG94" s="579"/>
      <c r="AH94" s="579"/>
      <c r="AI94" s="579"/>
      <c r="AJ94" s="579"/>
      <c r="AK94" s="579"/>
      <c r="AL94" s="579"/>
    </row>
    <row r="95" spans="1:59" ht="45.45" customHeight="1" x14ac:dyDescent="0.3">
      <c r="A95" s="318" t="s">
        <v>1013</v>
      </c>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c r="AB95" s="319"/>
      <c r="AC95" s="319"/>
      <c r="AD95" s="319"/>
      <c r="AE95" s="319"/>
      <c r="AF95" s="319"/>
      <c r="AG95" s="319"/>
      <c r="AH95" s="319"/>
      <c r="AI95" s="320"/>
      <c r="AJ95" s="575"/>
      <c r="AK95" s="576"/>
      <c r="AL95" s="576"/>
    </row>
    <row r="96" spans="1:59" ht="165" customHeight="1" x14ac:dyDescent="0.3">
      <c r="A96" s="318" t="s">
        <v>1014</v>
      </c>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319"/>
      <c r="AC96" s="319"/>
      <c r="AD96" s="319"/>
      <c r="AE96" s="319"/>
      <c r="AF96" s="319"/>
      <c r="AG96" s="319"/>
      <c r="AH96" s="319"/>
      <c r="AI96" s="320"/>
      <c r="AJ96" s="321">
        <f>IF(A94=Słowniki!D50,ROUNDDOWN(AB86/(AB86+AJ95),4),100%)</f>
        <v>1</v>
      </c>
      <c r="AK96" s="322"/>
      <c r="AL96" s="322"/>
    </row>
    <row r="97" spans="1:59" ht="72" customHeight="1" x14ac:dyDescent="0.25">
      <c r="A97" s="314" t="s">
        <v>1032</v>
      </c>
      <c r="B97" s="315"/>
      <c r="C97" s="315"/>
      <c r="D97" s="315"/>
      <c r="E97" s="315"/>
      <c r="F97" s="315"/>
      <c r="G97" s="315"/>
      <c r="H97" s="315"/>
      <c r="I97" s="315"/>
      <c r="J97" s="315"/>
      <c r="K97" s="315"/>
      <c r="L97" s="315"/>
      <c r="M97" s="315"/>
      <c r="N97" s="315"/>
      <c r="O97" s="315"/>
      <c r="P97" s="315"/>
      <c r="Q97" s="315"/>
      <c r="R97" s="315"/>
      <c r="S97" s="315"/>
      <c r="T97" s="315"/>
      <c r="U97" s="315"/>
      <c r="V97" s="315"/>
      <c r="W97" s="315"/>
      <c r="X97" s="315"/>
      <c r="Y97" s="315"/>
      <c r="Z97" s="315"/>
      <c r="AA97" s="315"/>
      <c r="AB97" s="315"/>
      <c r="AC97" s="315"/>
      <c r="AD97" s="315"/>
      <c r="AE97" s="315"/>
      <c r="AF97" s="315"/>
      <c r="AG97" s="315"/>
      <c r="AH97" s="315"/>
      <c r="AI97" s="315"/>
      <c r="AJ97" s="315"/>
      <c r="AK97" s="315"/>
      <c r="AL97" s="315"/>
    </row>
    <row r="98" spans="1:59" ht="121.5" customHeight="1" x14ac:dyDescent="0.25">
      <c r="A98" s="316"/>
      <c r="B98" s="317"/>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row>
    <row r="99" spans="1:59" ht="151.19999999999999" customHeight="1" x14ac:dyDescent="0.25">
      <c r="A99" s="308" t="s">
        <v>1110</v>
      </c>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row>
    <row r="100" spans="1:59" ht="84.75" customHeight="1" x14ac:dyDescent="0.25">
      <c r="A100" s="135" t="s">
        <v>127</v>
      </c>
      <c r="B100" s="311" t="s">
        <v>812</v>
      </c>
      <c r="C100" s="312"/>
      <c r="D100" s="312"/>
      <c r="E100" s="312"/>
      <c r="F100" s="313"/>
      <c r="G100" s="325" t="s">
        <v>813</v>
      </c>
      <c r="H100" s="325"/>
      <c r="I100" s="325"/>
      <c r="J100" s="325"/>
      <c r="K100" s="325"/>
      <c r="L100" s="325" t="s">
        <v>185</v>
      </c>
      <c r="M100" s="325"/>
      <c r="N100" s="325"/>
      <c r="O100" s="325"/>
      <c r="P100" s="325" t="s">
        <v>184</v>
      </c>
      <c r="Q100" s="325"/>
      <c r="R100" s="325"/>
      <c r="S100" s="325"/>
      <c r="T100" s="325" t="s">
        <v>665</v>
      </c>
      <c r="U100" s="325"/>
      <c r="V100" s="325"/>
      <c r="W100" s="325"/>
      <c r="X100" s="325"/>
      <c r="Y100" s="325"/>
      <c r="Z100" s="325"/>
      <c r="AA100" s="325" t="s">
        <v>664</v>
      </c>
      <c r="AB100" s="325"/>
      <c r="AC100" s="325"/>
      <c r="AD100" s="325"/>
      <c r="AE100" s="325"/>
      <c r="AF100" s="325"/>
      <c r="AG100" s="325"/>
      <c r="AH100" s="325" t="s">
        <v>179</v>
      </c>
      <c r="AI100" s="325"/>
      <c r="AJ100" s="325"/>
      <c r="AK100" s="325" t="s">
        <v>186</v>
      </c>
      <c r="AL100" s="325"/>
      <c r="AM100" s="144" t="s">
        <v>221</v>
      </c>
      <c r="AN100" s="61"/>
      <c r="AO100" s="61"/>
      <c r="AP100" s="60"/>
      <c r="AQ100" s="60"/>
      <c r="AR100" s="60"/>
      <c r="AS100" s="60"/>
      <c r="AT100" s="60"/>
      <c r="AU100" s="60"/>
      <c r="AV100" s="60"/>
      <c r="AW100" s="60"/>
      <c r="AX100" s="60"/>
      <c r="AY100" s="60"/>
      <c r="AZ100" s="60"/>
      <c r="BA100" s="60"/>
      <c r="BB100" s="60"/>
      <c r="BC100" s="60"/>
      <c r="BD100" s="60"/>
      <c r="BE100" s="60"/>
      <c r="BF100" s="60"/>
      <c r="BG100" s="60"/>
    </row>
    <row r="101" spans="1:59" ht="14.1" customHeight="1" x14ac:dyDescent="0.25">
      <c r="A101" s="135">
        <v>1</v>
      </c>
      <c r="B101" s="311">
        <v>2</v>
      </c>
      <c r="C101" s="312"/>
      <c r="D101" s="312"/>
      <c r="E101" s="312"/>
      <c r="F101" s="312"/>
      <c r="G101" s="311">
        <v>3</v>
      </c>
      <c r="H101" s="312"/>
      <c r="I101" s="312"/>
      <c r="J101" s="312"/>
      <c r="K101" s="313"/>
      <c r="L101" s="311">
        <v>4</v>
      </c>
      <c r="M101" s="312"/>
      <c r="N101" s="312"/>
      <c r="O101" s="313"/>
      <c r="P101" s="311">
        <v>5</v>
      </c>
      <c r="Q101" s="312"/>
      <c r="R101" s="312"/>
      <c r="S101" s="313"/>
      <c r="T101" s="311">
        <v>6</v>
      </c>
      <c r="U101" s="312"/>
      <c r="V101" s="312"/>
      <c r="W101" s="312"/>
      <c r="X101" s="312"/>
      <c r="Y101" s="312"/>
      <c r="Z101" s="313"/>
      <c r="AA101" s="311" t="s">
        <v>821</v>
      </c>
      <c r="AB101" s="312"/>
      <c r="AC101" s="312"/>
      <c r="AD101" s="312"/>
      <c r="AE101" s="312"/>
      <c r="AF101" s="312"/>
      <c r="AG101" s="313"/>
      <c r="AH101" s="311">
        <v>8</v>
      </c>
      <c r="AI101" s="312"/>
      <c r="AJ101" s="313"/>
      <c r="AK101" s="311" t="s">
        <v>666</v>
      </c>
      <c r="AL101" s="313"/>
      <c r="AM101" s="144"/>
      <c r="AN101" s="61"/>
      <c r="AO101" s="61"/>
      <c r="AP101" s="60"/>
      <c r="AQ101" s="60"/>
      <c r="AR101" s="60"/>
      <c r="AS101" s="60"/>
      <c r="AT101" s="60"/>
      <c r="AU101" s="60"/>
      <c r="AV101" s="60"/>
      <c r="AW101" s="60"/>
      <c r="AX101" s="60"/>
      <c r="AY101" s="60"/>
      <c r="AZ101" s="60"/>
      <c r="BA101" s="60"/>
      <c r="BB101" s="60"/>
      <c r="BC101" s="60"/>
      <c r="BD101" s="60"/>
      <c r="BE101" s="60"/>
      <c r="BF101" s="60"/>
      <c r="BG101" s="60"/>
    </row>
    <row r="102" spans="1:59" s="223" customFormat="1" ht="36" customHeight="1" x14ac:dyDescent="0.25">
      <c r="A102" s="128">
        <v>1</v>
      </c>
      <c r="B102" s="303" t="s">
        <v>859</v>
      </c>
      <c r="C102" s="304"/>
      <c r="D102" s="304"/>
      <c r="E102" s="304"/>
      <c r="F102" s="305"/>
      <c r="G102" s="300"/>
      <c r="H102" s="301"/>
      <c r="I102" s="301"/>
      <c r="J102" s="301"/>
      <c r="K102" s="302"/>
      <c r="L102" s="306"/>
      <c r="M102" s="307"/>
      <c r="N102" s="307"/>
      <c r="O102" s="307"/>
      <c r="P102" s="294"/>
      <c r="Q102" s="295"/>
      <c r="R102" s="295"/>
      <c r="S102" s="295"/>
      <c r="T102" s="528">
        <v>1</v>
      </c>
      <c r="U102" s="528"/>
      <c r="V102" s="528"/>
      <c r="W102" s="528"/>
      <c r="X102" s="528"/>
      <c r="Y102" s="528"/>
      <c r="Z102" s="529"/>
      <c r="AA102" s="526">
        <f>L102+ROUND(L102*P102*T102,2)</f>
        <v>0</v>
      </c>
      <c r="AB102" s="530"/>
      <c r="AC102" s="530"/>
      <c r="AD102" s="530"/>
      <c r="AE102" s="530"/>
      <c r="AF102" s="530"/>
      <c r="AG102" s="527"/>
      <c r="AH102" s="531">
        <f>AJ$96</f>
        <v>1</v>
      </c>
      <c r="AI102" s="532"/>
      <c r="AJ102" s="533"/>
      <c r="AK102" s="526">
        <f>ROUND(AA102*AH102,2)</f>
        <v>0</v>
      </c>
      <c r="AL102" s="527"/>
      <c r="AM102" s="221"/>
      <c r="AN102" s="222"/>
      <c r="AO102" s="222"/>
    </row>
    <row r="103" spans="1:59" s="223" customFormat="1" ht="42.45" customHeight="1" x14ac:dyDescent="0.25">
      <c r="A103" s="128">
        <v>2</v>
      </c>
      <c r="B103" s="303"/>
      <c r="C103" s="304"/>
      <c r="D103" s="304"/>
      <c r="E103" s="304"/>
      <c r="F103" s="305"/>
      <c r="G103" s="300"/>
      <c r="H103" s="301"/>
      <c r="I103" s="301"/>
      <c r="J103" s="301"/>
      <c r="K103" s="302"/>
      <c r="L103" s="306"/>
      <c r="M103" s="307"/>
      <c r="N103" s="307"/>
      <c r="O103" s="307"/>
      <c r="P103" s="294">
        <f>IF(OR(B103=Słowniki!A$46,B103=Słowniki!A$56,B103=Słowniki!A$58,B103=Słowniki!A$59),0.08,0.23)</f>
        <v>0.23</v>
      </c>
      <c r="Q103" s="295"/>
      <c r="R103" s="295"/>
      <c r="S103" s="295"/>
      <c r="T103" s="528">
        <v>1</v>
      </c>
      <c r="U103" s="528"/>
      <c r="V103" s="528"/>
      <c r="W103" s="528"/>
      <c r="X103" s="528"/>
      <c r="Y103" s="528"/>
      <c r="Z103" s="529"/>
      <c r="AA103" s="526">
        <f t="shared" ref="AA103:AA112" si="0">L103+ROUND(L103*P103*T103,2)</f>
        <v>0</v>
      </c>
      <c r="AB103" s="530"/>
      <c r="AC103" s="530"/>
      <c r="AD103" s="530"/>
      <c r="AE103" s="530"/>
      <c r="AF103" s="530"/>
      <c r="AG103" s="527"/>
      <c r="AH103" s="531">
        <f>AJ$96</f>
        <v>1</v>
      </c>
      <c r="AI103" s="532"/>
      <c r="AJ103" s="533"/>
      <c r="AK103" s="526">
        <f t="shared" ref="AK103:AK112" si="1">ROUND(AA103*AH103,2)</f>
        <v>0</v>
      </c>
      <c r="AL103" s="527"/>
      <c r="AM103" s="221"/>
      <c r="AN103" s="221"/>
      <c r="AO103" s="222"/>
    </row>
    <row r="104" spans="1:59" s="223" customFormat="1" ht="43.2" customHeight="1" x14ac:dyDescent="0.25">
      <c r="A104" s="128">
        <v>3</v>
      </c>
      <c r="B104" s="303"/>
      <c r="C104" s="304"/>
      <c r="D104" s="304"/>
      <c r="E104" s="304"/>
      <c r="F104" s="305"/>
      <c r="G104" s="300"/>
      <c r="H104" s="301"/>
      <c r="I104" s="301"/>
      <c r="J104" s="301"/>
      <c r="K104" s="302"/>
      <c r="L104" s="306"/>
      <c r="M104" s="307"/>
      <c r="N104" s="307"/>
      <c r="O104" s="307"/>
      <c r="P104" s="294">
        <f>IF(OR(B104=Słowniki!A$46,B104=Słowniki!A$56,B104=Słowniki!A$58,B104=Słowniki!A$59),0.08,0.23)</f>
        <v>0.23</v>
      </c>
      <c r="Q104" s="295"/>
      <c r="R104" s="295"/>
      <c r="S104" s="295"/>
      <c r="T104" s="528">
        <v>1</v>
      </c>
      <c r="U104" s="528"/>
      <c r="V104" s="528"/>
      <c r="W104" s="528"/>
      <c r="X104" s="528"/>
      <c r="Y104" s="528"/>
      <c r="Z104" s="529"/>
      <c r="AA104" s="526">
        <f t="shared" si="0"/>
        <v>0</v>
      </c>
      <c r="AB104" s="530"/>
      <c r="AC104" s="530"/>
      <c r="AD104" s="530"/>
      <c r="AE104" s="530"/>
      <c r="AF104" s="530"/>
      <c r="AG104" s="527"/>
      <c r="AH104" s="531">
        <f t="shared" ref="AH104:AH112" si="2">AJ$96</f>
        <v>1</v>
      </c>
      <c r="AI104" s="532"/>
      <c r="AJ104" s="533"/>
      <c r="AK104" s="526">
        <f t="shared" si="1"/>
        <v>0</v>
      </c>
      <c r="AL104" s="527"/>
      <c r="AM104" s="221"/>
      <c r="AN104" s="221"/>
      <c r="AO104" s="222"/>
    </row>
    <row r="105" spans="1:59" s="223" customFormat="1" ht="43.2" customHeight="1" x14ac:dyDescent="0.25">
      <c r="A105" s="128">
        <v>4</v>
      </c>
      <c r="B105" s="303"/>
      <c r="C105" s="304"/>
      <c r="D105" s="304"/>
      <c r="E105" s="304"/>
      <c r="F105" s="305"/>
      <c r="G105" s="300"/>
      <c r="H105" s="301"/>
      <c r="I105" s="301"/>
      <c r="J105" s="301"/>
      <c r="K105" s="302"/>
      <c r="L105" s="306"/>
      <c r="M105" s="307"/>
      <c r="N105" s="307"/>
      <c r="O105" s="307"/>
      <c r="P105" s="294">
        <f>IF(OR(B105=Słowniki!A$46,B105=Słowniki!A$56,B105=Słowniki!A$58,B105=Słowniki!A$59),0.08,0.23)</f>
        <v>0.23</v>
      </c>
      <c r="Q105" s="295"/>
      <c r="R105" s="295"/>
      <c r="S105" s="295"/>
      <c r="T105" s="528">
        <v>1</v>
      </c>
      <c r="U105" s="528"/>
      <c r="V105" s="528"/>
      <c r="W105" s="528"/>
      <c r="X105" s="528"/>
      <c r="Y105" s="528"/>
      <c r="Z105" s="529"/>
      <c r="AA105" s="526">
        <f t="shared" si="0"/>
        <v>0</v>
      </c>
      <c r="AB105" s="530"/>
      <c r="AC105" s="530"/>
      <c r="AD105" s="530"/>
      <c r="AE105" s="530"/>
      <c r="AF105" s="530"/>
      <c r="AG105" s="527"/>
      <c r="AH105" s="531">
        <f t="shared" si="2"/>
        <v>1</v>
      </c>
      <c r="AI105" s="532"/>
      <c r="AJ105" s="533"/>
      <c r="AK105" s="526">
        <f t="shared" si="1"/>
        <v>0</v>
      </c>
      <c r="AL105" s="527"/>
      <c r="AM105" s="221"/>
      <c r="AN105" s="221"/>
      <c r="AO105" s="222"/>
    </row>
    <row r="106" spans="1:59" s="223" customFormat="1" ht="43.2" customHeight="1" x14ac:dyDescent="0.25">
      <c r="A106" s="128">
        <v>5</v>
      </c>
      <c r="B106" s="303"/>
      <c r="C106" s="304"/>
      <c r="D106" s="304"/>
      <c r="E106" s="304"/>
      <c r="F106" s="305"/>
      <c r="G106" s="300"/>
      <c r="H106" s="301"/>
      <c r="I106" s="301"/>
      <c r="J106" s="301"/>
      <c r="K106" s="302"/>
      <c r="L106" s="306"/>
      <c r="M106" s="307"/>
      <c r="N106" s="307"/>
      <c r="O106" s="307"/>
      <c r="P106" s="294">
        <f>IF(OR(B106=Słowniki!A$46,B106=Słowniki!A$56,B106=Słowniki!A$58,B106=Słowniki!A$59),0.08,0.23)</f>
        <v>0.23</v>
      </c>
      <c r="Q106" s="295"/>
      <c r="R106" s="295"/>
      <c r="S106" s="295"/>
      <c r="T106" s="528">
        <v>1</v>
      </c>
      <c r="U106" s="528"/>
      <c r="V106" s="528"/>
      <c r="W106" s="528"/>
      <c r="X106" s="528"/>
      <c r="Y106" s="528"/>
      <c r="Z106" s="529"/>
      <c r="AA106" s="526">
        <f t="shared" si="0"/>
        <v>0</v>
      </c>
      <c r="AB106" s="530"/>
      <c r="AC106" s="530"/>
      <c r="AD106" s="530"/>
      <c r="AE106" s="530"/>
      <c r="AF106" s="530"/>
      <c r="AG106" s="527"/>
      <c r="AH106" s="531">
        <f t="shared" si="2"/>
        <v>1</v>
      </c>
      <c r="AI106" s="532"/>
      <c r="AJ106" s="533"/>
      <c r="AK106" s="526">
        <f t="shared" si="1"/>
        <v>0</v>
      </c>
      <c r="AL106" s="527"/>
      <c r="AM106" s="221"/>
      <c r="AN106" s="221"/>
      <c r="AO106" s="222"/>
    </row>
    <row r="107" spans="1:59" s="223" customFormat="1" ht="43.2" customHeight="1" x14ac:dyDescent="0.25">
      <c r="A107" s="128">
        <v>6</v>
      </c>
      <c r="B107" s="303"/>
      <c r="C107" s="304"/>
      <c r="D107" s="304"/>
      <c r="E107" s="304"/>
      <c r="F107" s="305"/>
      <c r="G107" s="300"/>
      <c r="H107" s="301"/>
      <c r="I107" s="301"/>
      <c r="J107" s="301"/>
      <c r="K107" s="302"/>
      <c r="L107" s="306"/>
      <c r="M107" s="307"/>
      <c r="N107" s="307"/>
      <c r="O107" s="307"/>
      <c r="P107" s="294">
        <f>IF(OR(B107=Słowniki!A$46,B107=Słowniki!A$56,B107=Słowniki!A$58,B107=Słowniki!A$59),0.08,0.23)</f>
        <v>0.23</v>
      </c>
      <c r="Q107" s="295"/>
      <c r="R107" s="295"/>
      <c r="S107" s="295"/>
      <c r="T107" s="528">
        <v>1</v>
      </c>
      <c r="U107" s="528"/>
      <c r="V107" s="528"/>
      <c r="W107" s="528"/>
      <c r="X107" s="528"/>
      <c r="Y107" s="528"/>
      <c r="Z107" s="529"/>
      <c r="AA107" s="526">
        <f t="shared" si="0"/>
        <v>0</v>
      </c>
      <c r="AB107" s="530"/>
      <c r="AC107" s="530"/>
      <c r="AD107" s="530"/>
      <c r="AE107" s="530"/>
      <c r="AF107" s="530"/>
      <c r="AG107" s="527"/>
      <c r="AH107" s="531">
        <f t="shared" si="2"/>
        <v>1</v>
      </c>
      <c r="AI107" s="532"/>
      <c r="AJ107" s="533"/>
      <c r="AK107" s="526">
        <f t="shared" si="1"/>
        <v>0</v>
      </c>
      <c r="AL107" s="527"/>
      <c r="AM107" s="221"/>
      <c r="AN107" s="221"/>
      <c r="AO107" s="222"/>
    </row>
    <row r="108" spans="1:59" s="223" customFormat="1" ht="43.2" customHeight="1" x14ac:dyDescent="0.25">
      <c r="A108" s="128">
        <v>7</v>
      </c>
      <c r="B108" s="303"/>
      <c r="C108" s="304"/>
      <c r="D108" s="304"/>
      <c r="E108" s="304"/>
      <c r="F108" s="305"/>
      <c r="G108" s="300"/>
      <c r="H108" s="301"/>
      <c r="I108" s="301"/>
      <c r="J108" s="301"/>
      <c r="K108" s="302"/>
      <c r="L108" s="306"/>
      <c r="M108" s="307"/>
      <c r="N108" s="307"/>
      <c r="O108" s="307"/>
      <c r="P108" s="294">
        <f>IF(OR(B108=Słowniki!A$46,B108=Słowniki!A$56,B108=Słowniki!A$58,B108=Słowniki!A$59),0.08,0.23)</f>
        <v>0.23</v>
      </c>
      <c r="Q108" s="295"/>
      <c r="R108" s="295"/>
      <c r="S108" s="295"/>
      <c r="T108" s="528">
        <v>1</v>
      </c>
      <c r="U108" s="528"/>
      <c r="V108" s="528"/>
      <c r="W108" s="528"/>
      <c r="X108" s="528"/>
      <c r="Y108" s="528"/>
      <c r="Z108" s="529"/>
      <c r="AA108" s="526">
        <f t="shared" si="0"/>
        <v>0</v>
      </c>
      <c r="AB108" s="530"/>
      <c r="AC108" s="530"/>
      <c r="AD108" s="530"/>
      <c r="AE108" s="530"/>
      <c r="AF108" s="530"/>
      <c r="AG108" s="527"/>
      <c r="AH108" s="531">
        <f t="shared" si="2"/>
        <v>1</v>
      </c>
      <c r="AI108" s="532"/>
      <c r="AJ108" s="533"/>
      <c r="AK108" s="526">
        <f t="shared" si="1"/>
        <v>0</v>
      </c>
      <c r="AL108" s="527"/>
      <c r="AM108" s="221"/>
      <c r="AN108" s="221"/>
      <c r="AO108" s="222"/>
    </row>
    <row r="109" spans="1:59" s="223" customFormat="1" ht="43.2" customHeight="1" x14ac:dyDescent="0.25">
      <c r="A109" s="128">
        <v>8</v>
      </c>
      <c r="B109" s="303"/>
      <c r="C109" s="304"/>
      <c r="D109" s="304"/>
      <c r="E109" s="304"/>
      <c r="F109" s="305"/>
      <c r="G109" s="300"/>
      <c r="H109" s="301"/>
      <c r="I109" s="301"/>
      <c r="J109" s="301"/>
      <c r="K109" s="302"/>
      <c r="L109" s="306"/>
      <c r="M109" s="307"/>
      <c r="N109" s="307"/>
      <c r="O109" s="307"/>
      <c r="P109" s="294">
        <f>IF(OR(B109=Słowniki!A$46,B109=Słowniki!A$56,B109=Słowniki!A$58,B109=Słowniki!A$59),0.08,0.23)</f>
        <v>0.23</v>
      </c>
      <c r="Q109" s="295"/>
      <c r="R109" s="295"/>
      <c r="S109" s="295"/>
      <c r="T109" s="528">
        <v>1</v>
      </c>
      <c r="U109" s="528"/>
      <c r="V109" s="528"/>
      <c r="W109" s="528"/>
      <c r="X109" s="528"/>
      <c r="Y109" s="528"/>
      <c r="Z109" s="529"/>
      <c r="AA109" s="526">
        <f t="shared" si="0"/>
        <v>0</v>
      </c>
      <c r="AB109" s="530"/>
      <c r="AC109" s="530"/>
      <c r="AD109" s="530"/>
      <c r="AE109" s="530"/>
      <c r="AF109" s="530"/>
      <c r="AG109" s="527"/>
      <c r="AH109" s="531">
        <f t="shared" si="2"/>
        <v>1</v>
      </c>
      <c r="AI109" s="532"/>
      <c r="AJ109" s="533"/>
      <c r="AK109" s="526">
        <f t="shared" si="1"/>
        <v>0</v>
      </c>
      <c r="AL109" s="527"/>
      <c r="AM109" s="221"/>
      <c r="AN109" s="221"/>
      <c r="AO109" s="222"/>
    </row>
    <row r="110" spans="1:59" s="223" customFormat="1" ht="43.2" customHeight="1" x14ac:dyDescent="0.25">
      <c r="A110" s="128">
        <v>9</v>
      </c>
      <c r="B110" s="303"/>
      <c r="C110" s="304"/>
      <c r="D110" s="304"/>
      <c r="E110" s="304"/>
      <c r="F110" s="305"/>
      <c r="G110" s="300"/>
      <c r="H110" s="301"/>
      <c r="I110" s="301"/>
      <c r="J110" s="301"/>
      <c r="K110" s="302"/>
      <c r="L110" s="306"/>
      <c r="M110" s="307"/>
      <c r="N110" s="307"/>
      <c r="O110" s="307"/>
      <c r="P110" s="294">
        <f>IF(OR(B110=Słowniki!A$46,B110=Słowniki!A$56,B110=Słowniki!A$58,B110=Słowniki!A$59),0.08,0.23)</f>
        <v>0.23</v>
      </c>
      <c r="Q110" s="295"/>
      <c r="R110" s="295"/>
      <c r="S110" s="295"/>
      <c r="T110" s="528">
        <v>1</v>
      </c>
      <c r="U110" s="528"/>
      <c r="V110" s="528"/>
      <c r="W110" s="528"/>
      <c r="X110" s="528"/>
      <c r="Y110" s="528"/>
      <c r="Z110" s="529"/>
      <c r="AA110" s="526">
        <f t="shared" si="0"/>
        <v>0</v>
      </c>
      <c r="AB110" s="530"/>
      <c r="AC110" s="530"/>
      <c r="AD110" s="530"/>
      <c r="AE110" s="530"/>
      <c r="AF110" s="530"/>
      <c r="AG110" s="527"/>
      <c r="AH110" s="531">
        <f t="shared" si="2"/>
        <v>1</v>
      </c>
      <c r="AI110" s="532"/>
      <c r="AJ110" s="533"/>
      <c r="AK110" s="526">
        <f t="shared" si="1"/>
        <v>0</v>
      </c>
      <c r="AL110" s="527"/>
      <c r="AM110" s="221"/>
      <c r="AN110" s="221"/>
      <c r="AO110" s="222"/>
    </row>
    <row r="111" spans="1:59" s="223" customFormat="1" ht="43.2" customHeight="1" x14ac:dyDescent="0.25">
      <c r="A111" s="128">
        <v>10</v>
      </c>
      <c r="B111" s="303"/>
      <c r="C111" s="304"/>
      <c r="D111" s="304"/>
      <c r="E111" s="304"/>
      <c r="F111" s="305"/>
      <c r="G111" s="300"/>
      <c r="H111" s="301"/>
      <c r="I111" s="301"/>
      <c r="J111" s="301"/>
      <c r="K111" s="302"/>
      <c r="L111" s="306"/>
      <c r="M111" s="307"/>
      <c r="N111" s="307"/>
      <c r="O111" s="307"/>
      <c r="P111" s="294">
        <f>IF(OR(B111=Słowniki!A$46,B111=Słowniki!A$56,B111=Słowniki!A$58,B111=Słowniki!A$59),0.08,0.23)</f>
        <v>0.23</v>
      </c>
      <c r="Q111" s="295"/>
      <c r="R111" s="295"/>
      <c r="S111" s="295"/>
      <c r="T111" s="528">
        <v>1</v>
      </c>
      <c r="U111" s="528"/>
      <c r="V111" s="528"/>
      <c r="W111" s="528"/>
      <c r="X111" s="528"/>
      <c r="Y111" s="528"/>
      <c r="Z111" s="529"/>
      <c r="AA111" s="526">
        <f>L111+ROUND(L111*P111*T111,2)</f>
        <v>0</v>
      </c>
      <c r="AB111" s="530"/>
      <c r="AC111" s="530"/>
      <c r="AD111" s="530"/>
      <c r="AE111" s="530"/>
      <c r="AF111" s="530"/>
      <c r="AG111" s="527"/>
      <c r="AH111" s="531">
        <f t="shared" si="2"/>
        <v>1</v>
      </c>
      <c r="AI111" s="532"/>
      <c r="AJ111" s="533"/>
      <c r="AK111" s="526">
        <f t="shared" si="1"/>
        <v>0</v>
      </c>
      <c r="AL111" s="527"/>
      <c r="AM111" s="221"/>
      <c r="AN111" s="221"/>
      <c r="AO111" s="222"/>
    </row>
    <row r="112" spans="1:59" s="223" customFormat="1" ht="43.2" customHeight="1" x14ac:dyDescent="0.25">
      <c r="A112" s="128">
        <v>11</v>
      </c>
      <c r="B112" s="303"/>
      <c r="C112" s="304"/>
      <c r="D112" s="304"/>
      <c r="E112" s="304"/>
      <c r="F112" s="305"/>
      <c r="G112" s="300"/>
      <c r="H112" s="301"/>
      <c r="I112" s="301"/>
      <c r="J112" s="301"/>
      <c r="K112" s="302"/>
      <c r="L112" s="306"/>
      <c r="M112" s="307"/>
      <c r="N112" s="307"/>
      <c r="O112" s="307"/>
      <c r="P112" s="294">
        <f>IF(OR(B112=Słowniki!A$46,B112=Słowniki!A$56,B112=Słowniki!A$58,B112=Słowniki!A$59),0.08,0.23)</f>
        <v>0.23</v>
      </c>
      <c r="Q112" s="295"/>
      <c r="R112" s="295"/>
      <c r="S112" s="295"/>
      <c r="T112" s="528">
        <v>1</v>
      </c>
      <c r="U112" s="528"/>
      <c r="V112" s="528"/>
      <c r="W112" s="528"/>
      <c r="X112" s="528"/>
      <c r="Y112" s="528"/>
      <c r="Z112" s="529"/>
      <c r="AA112" s="526">
        <f t="shared" si="0"/>
        <v>0</v>
      </c>
      <c r="AB112" s="530"/>
      <c r="AC112" s="530"/>
      <c r="AD112" s="530"/>
      <c r="AE112" s="530"/>
      <c r="AF112" s="530"/>
      <c r="AG112" s="527"/>
      <c r="AH112" s="531">
        <f t="shared" si="2"/>
        <v>1</v>
      </c>
      <c r="AI112" s="532"/>
      <c r="AJ112" s="533"/>
      <c r="AK112" s="526">
        <f t="shared" si="1"/>
        <v>0</v>
      </c>
      <c r="AL112" s="527"/>
      <c r="AM112" s="221"/>
      <c r="AN112" s="221"/>
      <c r="AO112" s="222"/>
    </row>
    <row r="113" spans="1:59" ht="14.1" customHeight="1" x14ac:dyDescent="0.25">
      <c r="A113" s="128">
        <v>23</v>
      </c>
      <c r="B113" s="451" t="s">
        <v>128</v>
      </c>
      <c r="C113" s="452"/>
      <c r="D113" s="452"/>
      <c r="E113" s="452"/>
      <c r="F113" s="452"/>
      <c r="G113" s="452"/>
      <c r="H113" s="452"/>
      <c r="I113" s="452"/>
      <c r="J113" s="452"/>
      <c r="K113" s="452"/>
      <c r="L113" s="296">
        <f>SUM(L102:O112)</f>
        <v>0</v>
      </c>
      <c r="M113" s="296"/>
      <c r="N113" s="296"/>
      <c r="O113" s="297"/>
      <c r="P113" s="463" t="s">
        <v>129</v>
      </c>
      <c r="Q113" s="463"/>
      <c r="R113" s="463"/>
      <c r="S113" s="463"/>
      <c r="T113" s="462" t="s">
        <v>129</v>
      </c>
      <c r="U113" s="462"/>
      <c r="V113" s="462"/>
      <c r="W113" s="462"/>
      <c r="X113" s="462"/>
      <c r="Y113" s="462"/>
      <c r="Z113" s="462"/>
      <c r="AA113" s="457">
        <f>SUM(AA102:AG112)</f>
        <v>0</v>
      </c>
      <c r="AB113" s="457"/>
      <c r="AC113" s="457"/>
      <c r="AD113" s="457"/>
      <c r="AE113" s="457"/>
      <c r="AF113" s="457"/>
      <c r="AG113" s="457"/>
      <c r="AH113" s="461" t="s">
        <v>129</v>
      </c>
      <c r="AI113" s="461"/>
      <c r="AJ113" s="461"/>
      <c r="AK113" s="457">
        <f>ROUND(SUM(AK102:AL112),2)</f>
        <v>0</v>
      </c>
      <c r="AL113" s="457"/>
      <c r="AM113" s="77"/>
      <c r="AO113" s="61"/>
      <c r="AP113" s="60"/>
      <c r="AQ113" s="60"/>
      <c r="AR113" s="60"/>
      <c r="AS113" s="60"/>
      <c r="AT113" s="60"/>
      <c r="AU113" s="60"/>
      <c r="AV113" s="60"/>
      <c r="AW113" s="60"/>
      <c r="AX113" s="60"/>
      <c r="AY113" s="60"/>
      <c r="AZ113" s="60"/>
      <c r="BA113" s="60"/>
      <c r="BB113" s="60"/>
      <c r="BC113" s="60"/>
      <c r="BD113" s="60"/>
      <c r="BE113" s="60"/>
      <c r="BF113" s="60"/>
      <c r="BG113" s="60"/>
    </row>
    <row r="114" spans="1:59" ht="118.5" customHeight="1" x14ac:dyDescent="0.25">
      <c r="A114" s="334" t="s">
        <v>1111</v>
      </c>
      <c r="B114" s="334"/>
      <c r="C114" s="334"/>
      <c r="D114" s="334"/>
      <c r="E114" s="334"/>
      <c r="F114" s="334"/>
      <c r="G114" s="334"/>
      <c r="H114" s="334"/>
      <c r="I114" s="334"/>
      <c r="J114" s="334"/>
      <c r="K114" s="334"/>
      <c r="L114" s="334"/>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c r="AI114" s="334"/>
      <c r="AJ114" s="334"/>
      <c r="AK114" s="334"/>
      <c r="AL114" s="334"/>
      <c r="AM114" s="77"/>
      <c r="AO114" s="61"/>
      <c r="AP114" s="60"/>
      <c r="AQ114" s="60"/>
      <c r="AR114" s="60"/>
      <c r="AS114" s="60"/>
      <c r="AT114" s="60"/>
      <c r="AU114" s="60"/>
      <c r="AV114" s="60"/>
      <c r="AW114" s="60"/>
      <c r="AX114" s="60"/>
      <c r="AY114" s="60"/>
      <c r="AZ114" s="60"/>
      <c r="BA114" s="60"/>
      <c r="BB114" s="60"/>
      <c r="BC114" s="60"/>
      <c r="BD114" s="60"/>
      <c r="BE114" s="60"/>
      <c r="BF114" s="60"/>
      <c r="BG114" s="60"/>
    </row>
    <row r="115" spans="1:59" ht="13.95" customHeight="1" x14ac:dyDescent="0.25">
      <c r="A115" s="129"/>
      <c r="B115" s="453" t="s">
        <v>181</v>
      </c>
      <c r="C115" s="453"/>
      <c r="D115" s="453"/>
      <c r="E115" s="453"/>
      <c r="F115" s="453"/>
      <c r="G115" s="453"/>
      <c r="H115" s="453"/>
      <c r="I115" s="453"/>
      <c r="J115" s="453"/>
      <c r="K115" s="453"/>
      <c r="L115" s="453"/>
      <c r="M115" s="453"/>
      <c r="N115" s="453"/>
      <c r="O115" s="453"/>
      <c r="P115" s="453"/>
      <c r="Q115" s="453"/>
      <c r="R115" s="453"/>
      <c r="S115" s="453"/>
      <c r="T115" s="458">
        <v>0.5</v>
      </c>
      <c r="U115" s="458"/>
      <c r="V115" s="458"/>
      <c r="W115" s="458"/>
      <c r="X115" s="458"/>
      <c r="Y115" s="458"/>
      <c r="Z115" s="458"/>
      <c r="AA115" s="458"/>
      <c r="AB115" s="458"/>
      <c r="AC115" s="458"/>
      <c r="AD115" s="458"/>
      <c r="AE115" s="458"/>
      <c r="AF115" s="458"/>
      <c r="AG115" s="458"/>
      <c r="AH115" s="458"/>
      <c r="AI115" s="458"/>
      <c r="AJ115" s="458"/>
      <c r="AK115" s="130"/>
      <c r="AL115" s="131"/>
      <c r="AM115" s="77"/>
      <c r="AN115" s="61"/>
      <c r="AO115" s="61"/>
      <c r="AP115" s="60"/>
      <c r="AQ115" s="60"/>
      <c r="AR115" s="60"/>
      <c r="AS115" s="60"/>
      <c r="AT115" s="60"/>
      <c r="AU115" s="60"/>
      <c r="AV115" s="60"/>
      <c r="AW115" s="60"/>
      <c r="AX115" s="60"/>
      <c r="AY115" s="60"/>
      <c r="AZ115" s="60"/>
      <c r="BA115" s="60"/>
      <c r="BB115" s="60"/>
      <c r="BC115" s="60"/>
      <c r="BD115" s="60"/>
      <c r="BE115" s="60"/>
      <c r="BF115" s="60"/>
      <c r="BG115" s="60"/>
    </row>
    <row r="116" spans="1:59" ht="13.95" customHeight="1" x14ac:dyDescent="0.25">
      <c r="A116" s="129"/>
      <c r="B116" s="453" t="s">
        <v>183</v>
      </c>
      <c r="C116" s="453"/>
      <c r="D116" s="453"/>
      <c r="E116" s="453"/>
      <c r="F116" s="453"/>
      <c r="G116" s="453"/>
      <c r="H116" s="453"/>
      <c r="I116" s="453"/>
      <c r="J116" s="453"/>
      <c r="K116" s="453"/>
      <c r="L116" s="453"/>
      <c r="M116" s="453"/>
      <c r="N116" s="453"/>
      <c r="O116" s="453"/>
      <c r="P116" s="453"/>
      <c r="Q116" s="453"/>
      <c r="R116" s="453"/>
      <c r="S116" s="453"/>
      <c r="T116" s="459"/>
      <c r="U116" s="459"/>
      <c r="V116" s="459"/>
      <c r="W116" s="459"/>
      <c r="X116" s="459"/>
      <c r="Y116" s="459"/>
      <c r="Z116" s="459"/>
      <c r="AA116" s="459"/>
      <c r="AB116" s="459"/>
      <c r="AC116" s="459"/>
      <c r="AD116" s="459"/>
      <c r="AE116" s="459"/>
      <c r="AF116" s="459"/>
      <c r="AG116" s="459"/>
      <c r="AH116" s="459"/>
      <c r="AI116" s="459"/>
      <c r="AJ116" s="459"/>
      <c r="AK116" s="130"/>
      <c r="AL116" s="131"/>
      <c r="AM116" s="77"/>
      <c r="AN116" s="61"/>
      <c r="AO116" s="61"/>
      <c r="AP116" s="60"/>
      <c r="AQ116" s="60"/>
      <c r="AR116" s="60"/>
      <c r="AS116" s="60"/>
      <c r="AT116" s="60"/>
      <c r="AU116" s="60"/>
      <c r="AV116" s="60"/>
      <c r="AW116" s="60"/>
      <c r="AX116" s="60"/>
      <c r="AY116" s="60"/>
      <c r="AZ116" s="60"/>
      <c r="BA116" s="60"/>
      <c r="BB116" s="60"/>
      <c r="BC116" s="60"/>
      <c r="BD116" s="60"/>
      <c r="BE116" s="60"/>
      <c r="BF116" s="60"/>
      <c r="BG116" s="60"/>
    </row>
    <row r="117" spans="1:59" ht="14.7" customHeight="1" x14ac:dyDescent="0.3">
      <c r="A117" s="129"/>
      <c r="B117" s="453" t="s">
        <v>182</v>
      </c>
      <c r="C117" s="453"/>
      <c r="D117" s="453"/>
      <c r="E117" s="453"/>
      <c r="F117" s="453"/>
      <c r="G117" s="453"/>
      <c r="H117" s="453"/>
      <c r="I117" s="453"/>
      <c r="J117" s="453"/>
      <c r="K117" s="453"/>
      <c r="L117" s="453"/>
      <c r="M117" s="453"/>
      <c r="N117" s="453"/>
      <c r="O117" s="453"/>
      <c r="P117" s="453"/>
      <c r="Q117" s="453"/>
      <c r="R117" s="453"/>
      <c r="S117" s="453"/>
      <c r="T117" s="466">
        <f>ROUNDDOWN(AK113*(T115+T116),2)</f>
        <v>0</v>
      </c>
      <c r="U117" s="466"/>
      <c r="V117" s="466"/>
      <c r="W117" s="466"/>
      <c r="X117" s="466"/>
      <c r="Y117" s="466"/>
      <c r="Z117" s="466"/>
      <c r="AA117" s="466"/>
      <c r="AB117" s="466"/>
      <c r="AC117" s="466"/>
      <c r="AD117" s="466"/>
      <c r="AE117" s="466"/>
      <c r="AF117" s="466"/>
      <c r="AG117" s="466"/>
      <c r="AH117" s="466"/>
      <c r="AI117" s="466"/>
      <c r="AJ117" s="466"/>
      <c r="AK117" s="130"/>
      <c r="AL117" s="131"/>
      <c r="AM117" s="133" t="s">
        <v>215</v>
      </c>
      <c r="AN117" s="61"/>
      <c r="AO117" s="61"/>
      <c r="AP117" s="60"/>
      <c r="AQ117" s="60"/>
      <c r="AR117" s="60"/>
      <c r="AS117" s="60"/>
      <c r="AT117" s="60"/>
      <c r="AU117" s="60"/>
      <c r="AV117" s="60"/>
      <c r="AW117" s="60"/>
      <c r="AX117" s="60"/>
      <c r="AY117" s="60"/>
      <c r="AZ117" s="60"/>
      <c r="BA117" s="60"/>
      <c r="BB117" s="60"/>
      <c r="BC117" s="60"/>
      <c r="BD117" s="60"/>
      <c r="BE117" s="60"/>
      <c r="BF117" s="60"/>
      <c r="BG117" s="60"/>
    </row>
    <row r="118" spans="1:59" ht="47.25" customHeight="1" x14ac:dyDescent="0.25">
      <c r="A118" s="332" t="s">
        <v>790</v>
      </c>
      <c r="B118" s="332"/>
      <c r="C118" s="332"/>
      <c r="D118" s="332"/>
      <c r="E118" s="332"/>
      <c r="F118" s="332"/>
      <c r="G118" s="332"/>
      <c r="H118" s="332"/>
      <c r="I118" s="332"/>
      <c r="J118" s="332"/>
      <c r="K118" s="332"/>
      <c r="L118" s="332"/>
      <c r="M118" s="332"/>
      <c r="N118" s="332"/>
      <c r="O118" s="332"/>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574"/>
      <c r="AM118" s="117"/>
    </row>
    <row r="119" spans="1:59" ht="45" customHeight="1" x14ac:dyDescent="0.25">
      <c r="A119" s="333" t="s">
        <v>827</v>
      </c>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c r="AM119" s="101" t="s">
        <v>957</v>
      </c>
    </row>
    <row r="120" spans="1:59" ht="158.69999999999999" customHeight="1" x14ac:dyDescent="0.25">
      <c r="A120" s="308" t="s">
        <v>1113</v>
      </c>
      <c r="B120" s="332"/>
      <c r="C120" s="332"/>
      <c r="D120" s="332"/>
      <c r="E120" s="332"/>
      <c r="F120" s="332"/>
      <c r="G120" s="332"/>
      <c r="H120" s="332"/>
      <c r="I120" s="332"/>
      <c r="J120" s="332"/>
      <c r="K120" s="332"/>
      <c r="L120" s="332"/>
      <c r="M120" s="332"/>
      <c r="N120" s="332"/>
      <c r="O120" s="332"/>
      <c r="P120" s="332"/>
      <c r="Q120" s="332"/>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row>
    <row r="121" spans="1:59" ht="172.5" customHeight="1" x14ac:dyDescent="0.25">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row>
    <row r="122" spans="1:59" ht="31.5" customHeight="1" x14ac:dyDescent="0.25">
      <c r="A122" s="332" t="s">
        <v>1115</v>
      </c>
      <c r="B122" s="332"/>
      <c r="C122" s="332"/>
      <c r="D122" s="332"/>
      <c r="E122" s="332"/>
      <c r="F122" s="332"/>
      <c r="G122" s="332"/>
      <c r="H122" s="332"/>
      <c r="I122" s="332"/>
      <c r="J122" s="332"/>
      <c r="K122" s="332"/>
      <c r="L122" s="332"/>
      <c r="M122" s="332"/>
      <c r="N122" s="332"/>
      <c r="O122" s="332"/>
      <c r="P122" s="332"/>
      <c r="Q122" s="332"/>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117"/>
    </row>
    <row r="123" spans="1:59" ht="36" customHeight="1" x14ac:dyDescent="0.25">
      <c r="A123" s="333" t="s">
        <v>961</v>
      </c>
      <c r="B123" s="333"/>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c r="Z123" s="333"/>
      <c r="AA123" s="333"/>
      <c r="AB123" s="333"/>
      <c r="AC123" s="333"/>
      <c r="AD123" s="333"/>
      <c r="AE123" s="333"/>
      <c r="AF123" s="333"/>
      <c r="AG123" s="333"/>
      <c r="AH123" s="333"/>
      <c r="AI123" s="333"/>
      <c r="AJ123" s="333"/>
      <c r="AK123" s="333"/>
      <c r="AL123" s="333"/>
    </row>
    <row r="124" spans="1:59" ht="45.75" customHeight="1" x14ac:dyDescent="0.25">
      <c r="A124" s="308" t="s">
        <v>1120</v>
      </c>
      <c r="B124" s="332"/>
      <c r="C124" s="332"/>
      <c r="D124" s="332"/>
      <c r="E124" s="332"/>
      <c r="F124" s="332"/>
      <c r="G124" s="332"/>
      <c r="H124" s="332"/>
      <c r="I124" s="332"/>
      <c r="J124" s="332"/>
      <c r="K124" s="332"/>
      <c r="L124" s="332"/>
      <c r="M124" s="332"/>
      <c r="N124" s="332"/>
      <c r="O124" s="332"/>
      <c r="P124" s="332"/>
      <c r="Q124" s="332"/>
      <c r="R124" s="332"/>
      <c r="S124" s="332"/>
      <c r="T124" s="332"/>
      <c r="U124" s="332"/>
      <c r="V124" s="332"/>
      <c r="W124" s="332"/>
      <c r="X124" s="332"/>
      <c r="Y124" s="332"/>
      <c r="Z124" s="332"/>
      <c r="AA124" s="332"/>
      <c r="AB124" s="332"/>
      <c r="AC124" s="332"/>
      <c r="AD124" s="332"/>
      <c r="AE124" s="332"/>
      <c r="AF124" s="332"/>
      <c r="AG124" s="332"/>
      <c r="AH124" s="332"/>
      <c r="AI124" s="332"/>
      <c r="AJ124" s="332"/>
      <c r="AK124" s="332"/>
      <c r="AL124" s="332"/>
    </row>
    <row r="125" spans="1:59" ht="45" customHeight="1" x14ac:dyDescent="0.25">
      <c r="A125" s="333" t="str">
        <f>IF(A70=Słowniki!AA3,Słowniki!W6,Słowniki!W5)</f>
        <v>Żaden lokal nie będzie przeznaczony dla rodzin z dziećmi posiadającymi zaświadczenie, o którym mowa w art. 4 ust. 3 ustawy z dnia 4 listopada 2016 r. o wsparciu kobiet w ciąży i rodzin „Za życiem” (Dz. U. z 2024 r. poz. 1829).</v>
      </c>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101" t="str">
        <f>IF(A$125=Słowniki!P1,"Po wydrukowaniu należy przystawić imienną pieczęć i podpisać oświadczenie","")</f>
        <v/>
      </c>
    </row>
    <row r="126" spans="1:59" ht="126" customHeight="1" x14ac:dyDescent="0.25">
      <c r="A126" s="308" t="s">
        <v>1123</v>
      </c>
      <c r="B126" s="332"/>
      <c r="C126" s="332"/>
      <c r="D126" s="332"/>
      <c r="E126" s="332"/>
      <c r="F126" s="332"/>
      <c r="G126" s="332"/>
      <c r="H126" s="332"/>
      <c r="I126" s="332"/>
      <c r="J126" s="332"/>
      <c r="K126" s="332"/>
      <c r="L126" s="332"/>
      <c r="M126" s="332"/>
      <c r="N126" s="332"/>
      <c r="O126" s="332"/>
      <c r="P126" s="332"/>
      <c r="Q126" s="332"/>
      <c r="R126" s="332"/>
      <c r="S126" s="332"/>
      <c r="T126" s="332"/>
      <c r="U126" s="332"/>
      <c r="V126" s="332"/>
      <c r="W126" s="332"/>
      <c r="X126" s="332"/>
      <c r="Y126" s="332"/>
      <c r="Z126" s="332"/>
      <c r="AA126" s="332"/>
      <c r="AB126" s="332"/>
      <c r="AC126" s="332"/>
      <c r="AD126" s="332"/>
      <c r="AE126" s="332"/>
      <c r="AF126" s="332"/>
      <c r="AG126" s="332"/>
      <c r="AH126" s="332"/>
      <c r="AI126" s="332"/>
      <c r="AJ126" s="332"/>
      <c r="AK126" s="332"/>
      <c r="AL126" s="332"/>
      <c r="AM126" s="117"/>
    </row>
    <row r="127" spans="1:59" ht="70.95" customHeight="1" x14ac:dyDescent="0.25">
      <c r="A127" s="333" t="s">
        <v>784</v>
      </c>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row>
    <row r="128" spans="1:59" ht="52.95" customHeight="1" x14ac:dyDescent="0.25">
      <c r="A128" s="308" t="s">
        <v>1125</v>
      </c>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c r="AD128" s="308"/>
      <c r="AE128" s="308"/>
      <c r="AF128" s="308"/>
      <c r="AG128" s="308"/>
      <c r="AH128" s="308"/>
      <c r="AI128" s="308"/>
      <c r="AJ128" s="308"/>
      <c r="AK128" s="308"/>
      <c r="AL128" s="308"/>
    </row>
    <row r="129" spans="1:59" ht="70.95" customHeight="1" x14ac:dyDescent="0.25">
      <c r="A129" s="333" t="str">
        <f>IF(SUM(A66,T66)&gt;0,Słowniki!W$10,Słowniki!W$11)</f>
        <v>Nie dotyczy realizowanego przedsięwzięwzięcia</v>
      </c>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row>
    <row r="130" spans="1:59" ht="78.45" customHeight="1" x14ac:dyDescent="0.25">
      <c r="A130" s="308" t="s">
        <v>1126</v>
      </c>
      <c r="B130" s="332"/>
      <c r="C130" s="332"/>
      <c r="D130" s="332"/>
      <c r="E130" s="332"/>
      <c r="F130" s="332"/>
      <c r="G130" s="332"/>
      <c r="H130" s="332"/>
      <c r="I130" s="332"/>
      <c r="J130" s="332"/>
      <c r="K130" s="332"/>
      <c r="L130" s="332"/>
      <c r="M130" s="332"/>
      <c r="N130" s="332"/>
      <c r="O130" s="332"/>
      <c r="P130" s="332"/>
      <c r="Q130" s="332"/>
      <c r="R130" s="332"/>
      <c r="S130" s="332"/>
      <c r="T130" s="332"/>
      <c r="U130" s="332"/>
      <c r="V130" s="332"/>
      <c r="W130" s="332"/>
      <c r="X130" s="332"/>
      <c r="Y130" s="332"/>
      <c r="Z130" s="332"/>
      <c r="AA130" s="332"/>
      <c r="AB130" s="332"/>
      <c r="AC130" s="332"/>
      <c r="AD130" s="332"/>
      <c r="AE130" s="332"/>
      <c r="AF130" s="332"/>
      <c r="AG130" s="332"/>
      <c r="AH130" s="332"/>
      <c r="AI130" s="332"/>
      <c r="AJ130" s="332"/>
      <c r="AK130" s="332"/>
      <c r="AL130" s="332"/>
      <c r="AM130" s="77"/>
    </row>
    <row r="131" spans="1:59" ht="80.7" customHeight="1" x14ac:dyDescent="0.25">
      <c r="A131" s="333" t="str">
        <f>IF(AND(A72&gt;Słowniki!AA3,AK86&gt;Słowniki!AA3),Słowniki!Z$1,Słowniki!Z$2)</f>
        <v>NIE DOTYCZY</v>
      </c>
      <c r="B131" s="333"/>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77" t="str">
        <f>IF(A$131=Słowniki!P1,"Po wydrukowaniu należy przystawić imienną pieczęć i podpisać oświadczenie","")</f>
        <v/>
      </c>
    </row>
    <row r="132" spans="1:59" ht="63.6" customHeight="1" x14ac:dyDescent="0.25">
      <c r="A132" s="332" t="s">
        <v>1128</v>
      </c>
      <c r="B132" s="332"/>
      <c r="C132" s="332"/>
      <c r="D132" s="332"/>
      <c r="E132" s="332"/>
      <c r="F132" s="332"/>
      <c r="G132" s="332"/>
      <c r="H132" s="332"/>
      <c r="I132" s="332"/>
      <c r="J132" s="332"/>
      <c r="K132" s="332"/>
      <c r="L132" s="332"/>
      <c r="M132" s="332"/>
      <c r="N132" s="332"/>
      <c r="O132" s="332"/>
      <c r="P132" s="332"/>
      <c r="Q132" s="332"/>
      <c r="R132" s="332"/>
      <c r="S132" s="332"/>
      <c r="T132" s="332"/>
      <c r="U132" s="332"/>
      <c r="V132" s="332"/>
      <c r="W132" s="332"/>
      <c r="X132" s="332"/>
      <c r="Y132" s="332"/>
      <c r="Z132" s="332"/>
      <c r="AA132" s="332"/>
      <c r="AB132" s="332"/>
      <c r="AC132" s="332"/>
      <c r="AD132" s="332"/>
      <c r="AE132" s="332"/>
      <c r="AF132" s="332"/>
      <c r="AG132" s="332"/>
      <c r="AH132" s="332"/>
      <c r="AI132" s="332"/>
      <c r="AJ132" s="332"/>
      <c r="AK132" s="332"/>
      <c r="AL132" s="332"/>
      <c r="AM132" s="77"/>
    </row>
    <row r="133" spans="1:59" ht="58.95" customHeight="1" x14ac:dyDescent="0.25">
      <c r="A133" s="333" t="str">
        <f>IF(B16=Słowniki!A7,Słowniki!Z3,Słowniki!Z4)</f>
        <v>NIE DOTYCZY</v>
      </c>
      <c r="B133" s="333"/>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c r="AM133" s="77"/>
    </row>
    <row r="134" spans="1:59" ht="88.2" customHeight="1" x14ac:dyDescent="0.25">
      <c r="A134" s="332" t="s">
        <v>1130</v>
      </c>
      <c r="B134" s="332"/>
      <c r="C134" s="332"/>
      <c r="D134" s="332"/>
      <c r="E134" s="332"/>
      <c r="F134" s="332"/>
      <c r="G134" s="332"/>
      <c r="H134" s="332"/>
      <c r="I134" s="332"/>
      <c r="J134" s="332"/>
      <c r="K134" s="332"/>
      <c r="L134" s="332"/>
      <c r="M134" s="332"/>
      <c r="N134" s="332"/>
      <c r="O134" s="332"/>
      <c r="P134" s="332"/>
      <c r="Q134" s="332"/>
      <c r="R134" s="332"/>
      <c r="S134" s="332"/>
      <c r="T134" s="332"/>
      <c r="U134" s="332"/>
      <c r="V134" s="332"/>
      <c r="W134" s="332"/>
      <c r="X134" s="332"/>
      <c r="Y134" s="332"/>
      <c r="Z134" s="332"/>
      <c r="AA134" s="332"/>
      <c r="AB134" s="332"/>
      <c r="AC134" s="332"/>
      <c r="AD134" s="332"/>
      <c r="AE134" s="332"/>
      <c r="AF134" s="332"/>
      <c r="AG134" s="332"/>
      <c r="AH134" s="332"/>
      <c r="AI134" s="332"/>
      <c r="AJ134" s="332"/>
      <c r="AK134" s="332"/>
      <c r="AL134" s="332"/>
      <c r="AM134" s="117"/>
    </row>
    <row r="135" spans="1:59" ht="45" customHeight="1" x14ac:dyDescent="0.25">
      <c r="A135" s="333"/>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77"/>
    </row>
    <row r="136" spans="1:59" ht="64.2" customHeight="1" x14ac:dyDescent="0.25">
      <c r="A136" s="315" t="s">
        <v>1135</v>
      </c>
      <c r="B136" s="315"/>
      <c r="C136" s="315"/>
      <c r="D136" s="315"/>
      <c r="E136" s="315"/>
      <c r="F136" s="315"/>
      <c r="G136" s="315"/>
      <c r="H136" s="315"/>
      <c r="I136" s="315"/>
      <c r="J136" s="315"/>
      <c r="K136" s="315"/>
      <c r="L136" s="315"/>
      <c r="M136" s="315"/>
      <c r="N136" s="315"/>
      <c r="O136" s="315"/>
      <c r="P136" s="315"/>
      <c r="Q136" s="315"/>
      <c r="R136" s="315"/>
      <c r="S136" s="315"/>
      <c r="T136" s="315"/>
      <c r="U136" s="315"/>
      <c r="V136" s="315"/>
      <c r="W136" s="315"/>
      <c r="X136" s="315"/>
      <c r="Y136" s="315"/>
      <c r="Z136" s="315"/>
      <c r="AA136" s="315"/>
      <c r="AB136" s="315"/>
      <c r="AC136" s="315"/>
      <c r="AD136" s="315"/>
      <c r="AE136" s="315"/>
      <c r="AF136" s="315"/>
      <c r="AG136" s="315"/>
      <c r="AH136" s="315"/>
      <c r="AI136" s="315"/>
      <c r="AJ136" s="315"/>
      <c r="AK136" s="315"/>
      <c r="AL136" s="315"/>
      <c r="AM136" s="77"/>
    </row>
    <row r="137" spans="1:59" ht="91.95" customHeight="1" x14ac:dyDescent="0.25">
      <c r="A137" s="333" t="s">
        <v>1146</v>
      </c>
      <c r="B137" s="333"/>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77"/>
    </row>
    <row r="138" spans="1:59" ht="46.2" customHeight="1" x14ac:dyDescent="0.25">
      <c r="A138" s="308" t="s">
        <v>1138</v>
      </c>
      <c r="B138" s="332"/>
      <c r="C138" s="332"/>
      <c r="D138" s="332"/>
      <c r="E138" s="332"/>
      <c r="F138" s="332"/>
      <c r="G138" s="332"/>
      <c r="H138" s="332"/>
      <c r="I138" s="332"/>
      <c r="J138" s="332"/>
      <c r="K138" s="332"/>
      <c r="L138" s="332"/>
      <c r="M138" s="332"/>
      <c r="N138" s="332"/>
      <c r="O138" s="332"/>
      <c r="P138" s="332"/>
      <c r="Q138" s="332"/>
      <c r="R138" s="332"/>
      <c r="S138" s="332"/>
      <c r="T138" s="332"/>
      <c r="U138" s="332"/>
      <c r="V138" s="332"/>
      <c r="W138" s="332"/>
      <c r="X138" s="332"/>
      <c r="Y138" s="332"/>
      <c r="Z138" s="332"/>
      <c r="AA138" s="332"/>
      <c r="AB138" s="332"/>
      <c r="AC138" s="332"/>
      <c r="AD138" s="332"/>
      <c r="AE138" s="332"/>
      <c r="AF138" s="332"/>
      <c r="AG138" s="332"/>
      <c r="AH138" s="332"/>
      <c r="AI138" s="332"/>
      <c r="AJ138" s="332"/>
      <c r="AK138" s="332"/>
      <c r="AL138" s="332"/>
      <c r="AM138" s="77"/>
    </row>
    <row r="139" spans="1:59" ht="48.45" customHeight="1" x14ac:dyDescent="0.25">
      <c r="A139" s="333" t="s">
        <v>1139</v>
      </c>
      <c r="B139" s="333"/>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c r="AM139" s="77"/>
    </row>
    <row r="140" spans="1:59" ht="27.6" customHeight="1" x14ac:dyDescent="0.25">
      <c r="A140" s="308" t="s">
        <v>752</v>
      </c>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c r="AH140" s="308"/>
      <c r="AI140" s="308"/>
      <c r="AJ140" s="308"/>
      <c r="AK140" s="308"/>
      <c r="AL140" s="308"/>
      <c r="AM140" s="77"/>
      <c r="AN140" s="61"/>
      <c r="AO140" s="61"/>
      <c r="AP140" s="60"/>
      <c r="AQ140" s="60"/>
      <c r="AR140" s="60"/>
      <c r="AS140" s="60"/>
      <c r="AT140" s="60"/>
      <c r="AU140" s="60"/>
      <c r="AV140" s="60"/>
      <c r="AW140" s="60"/>
      <c r="AX140" s="60"/>
      <c r="AY140" s="60"/>
      <c r="AZ140" s="60"/>
      <c r="BA140" s="60"/>
      <c r="BB140" s="60"/>
      <c r="BC140" s="60"/>
      <c r="BD140" s="60"/>
      <c r="BE140" s="60"/>
      <c r="BF140" s="60"/>
      <c r="BG140" s="60"/>
    </row>
    <row r="141" spans="1:59" ht="59.7" customHeight="1" x14ac:dyDescent="0.25">
      <c r="A141" s="308" t="s">
        <v>979</v>
      </c>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c r="AJ141" s="308"/>
      <c r="AK141" s="308"/>
      <c r="AL141" s="308"/>
      <c r="AM141" s="138"/>
      <c r="AN141" s="61"/>
      <c r="AO141" s="61"/>
      <c r="AP141" s="60"/>
      <c r="AQ141" s="60"/>
      <c r="AR141" s="60"/>
      <c r="AS141" s="60"/>
      <c r="AT141" s="60"/>
      <c r="AU141" s="60"/>
      <c r="AV141" s="60"/>
      <c r="AW141" s="60"/>
      <c r="AX141" s="60"/>
      <c r="AY141" s="60"/>
      <c r="AZ141" s="60"/>
      <c r="BA141" s="60"/>
      <c r="BB141" s="60"/>
      <c r="BC141" s="60"/>
      <c r="BD141" s="60"/>
      <c r="BE141" s="60"/>
      <c r="BF141" s="60"/>
      <c r="BG141" s="60"/>
    </row>
    <row r="142" spans="1:59" ht="37.950000000000003" customHeight="1" x14ac:dyDescent="0.25">
      <c r="A142" s="308" t="s">
        <v>1024</v>
      </c>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c r="AH142" s="308"/>
      <c r="AI142" s="308"/>
      <c r="AJ142" s="308"/>
      <c r="AK142" s="308"/>
      <c r="AL142" s="308"/>
      <c r="AM142" s="138"/>
      <c r="AN142" s="61"/>
      <c r="AO142" s="61"/>
      <c r="AP142" s="60"/>
      <c r="AQ142" s="60"/>
      <c r="AR142" s="60"/>
      <c r="AS142" s="60"/>
      <c r="AT142" s="60"/>
      <c r="AU142" s="60"/>
      <c r="AV142" s="60"/>
      <c r="AW142" s="60"/>
      <c r="AX142" s="60"/>
      <c r="AY142" s="60"/>
      <c r="AZ142" s="60"/>
      <c r="BA142" s="60"/>
      <c r="BB142" s="60"/>
      <c r="BC142" s="60"/>
      <c r="BD142" s="60"/>
      <c r="BE142" s="60"/>
      <c r="BF142" s="60"/>
      <c r="BG142" s="60"/>
    </row>
    <row r="143" spans="1:59" ht="75.45" customHeight="1" x14ac:dyDescent="0.25">
      <c r="A143" s="308" t="s">
        <v>1153</v>
      </c>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08"/>
      <c r="AF143" s="308"/>
      <c r="AG143" s="308"/>
      <c r="AH143" s="308"/>
      <c r="AI143" s="308"/>
      <c r="AJ143" s="308"/>
      <c r="AK143" s="308"/>
      <c r="AL143" s="308"/>
      <c r="AM143" s="138"/>
      <c r="AN143" s="61"/>
      <c r="AO143" s="61"/>
      <c r="AP143" s="60"/>
      <c r="AQ143" s="60"/>
      <c r="AR143" s="60"/>
      <c r="AS143" s="60"/>
      <c r="AT143" s="60"/>
      <c r="AU143" s="60"/>
      <c r="AV143" s="60"/>
      <c r="AW143" s="60"/>
      <c r="AX143" s="60"/>
      <c r="AY143" s="60"/>
      <c r="AZ143" s="60"/>
      <c r="BA143" s="60"/>
      <c r="BB143" s="60"/>
      <c r="BC143" s="60"/>
      <c r="BD143" s="60"/>
      <c r="BE143" s="60"/>
      <c r="BF143" s="60"/>
      <c r="BG143" s="60"/>
    </row>
    <row r="144" spans="1:59" ht="77.7" customHeight="1" x14ac:dyDescent="0.25">
      <c r="A144" s="308" t="s">
        <v>1002</v>
      </c>
      <c r="B144" s="328"/>
      <c r="C144" s="328"/>
      <c r="D144" s="328"/>
      <c r="E144" s="328"/>
      <c r="F144" s="328"/>
      <c r="G144" s="328"/>
      <c r="H144" s="328"/>
      <c r="I144" s="328"/>
      <c r="J144" s="328"/>
      <c r="K144" s="328"/>
      <c r="L144" s="328"/>
      <c r="M144" s="328"/>
      <c r="N144" s="328"/>
      <c r="O144" s="328"/>
      <c r="P144" s="328"/>
      <c r="Q144" s="328"/>
      <c r="R144" s="328"/>
      <c r="S144" s="328"/>
      <c r="T144" s="328"/>
      <c r="U144" s="328"/>
      <c r="V144" s="328"/>
      <c r="W144" s="328"/>
      <c r="X144" s="328"/>
      <c r="Y144" s="328"/>
      <c r="Z144" s="328"/>
      <c r="AA144" s="328"/>
      <c r="AB144" s="328"/>
      <c r="AC144" s="328"/>
      <c r="AD144" s="328"/>
      <c r="AE144" s="328"/>
      <c r="AF144" s="328"/>
      <c r="AG144" s="328"/>
      <c r="AH144" s="328"/>
      <c r="AI144" s="328"/>
      <c r="AJ144" s="328"/>
      <c r="AK144" s="328"/>
      <c r="AL144" s="328"/>
    </row>
    <row r="145" spans="1:59" ht="23.7" customHeight="1" x14ac:dyDescent="0.25">
      <c r="A145" s="308" t="s">
        <v>1051</v>
      </c>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08"/>
      <c r="AH145" s="308"/>
      <c r="AI145" s="308"/>
      <c r="AJ145" s="308"/>
      <c r="AK145" s="308"/>
      <c r="AL145" s="308"/>
    </row>
    <row r="146" spans="1:59" ht="44.7" customHeight="1" x14ac:dyDescent="0.25">
      <c r="A146" s="508" t="str">
        <f>IF(B16="Gmina","1)  w przypadku gminy - wójta (burmistrza, prezydenta miasta)",IF(B16="Powiat","3)  w przypadku powiatu - starostę)",IF(B16="Związek międzygminny","2)  w przypadku związku międzygminnego - zarząd związku",IF(OR(B16="Organizacja pozarządowa",B16="Podmioty, o których mowa w art. 3 ust. 3 ustawy z dnia 24 kwietnia 2003 r. o działalności pożytku publicznego i o wolontariacie"),"4)  w przypadku organizacji pozarządowej lub podmiotów, o których mowa w art. 3 ust. 3 ustawy o działalności pożytku publicznego i o wolontariacie - osobę lub osoby uprawnione do składania oświadczeń woli w imieniu  organizacji",IF(B16="Jednoosobowa spółka gminna","4)  w przypadku jednoosobowej spółki gminnej - osobę lub osoby uprawnione do składania oświadczeń woli w imieniu spółki",IF(B16="",""))))))</f>
        <v/>
      </c>
      <c r="B146" s="508"/>
      <c r="C146" s="508"/>
      <c r="D146" s="508"/>
      <c r="E146" s="508"/>
      <c r="F146" s="508"/>
      <c r="G146" s="508"/>
      <c r="H146" s="508"/>
      <c r="I146" s="508"/>
      <c r="J146" s="508"/>
      <c r="K146" s="508"/>
      <c r="L146" s="508"/>
      <c r="M146" s="508"/>
      <c r="N146" s="508"/>
      <c r="O146" s="508"/>
      <c r="P146" s="508"/>
      <c r="Q146" s="508"/>
      <c r="R146" s="508"/>
      <c r="S146" s="508"/>
      <c r="T146" s="508"/>
      <c r="U146" s="508"/>
      <c r="V146" s="508"/>
      <c r="W146" s="508"/>
      <c r="X146" s="508"/>
      <c r="Y146" s="508"/>
      <c r="Z146" s="508"/>
      <c r="AA146" s="508"/>
      <c r="AB146" s="508"/>
      <c r="AC146" s="508"/>
      <c r="AD146" s="508"/>
      <c r="AE146" s="508"/>
      <c r="AF146" s="508"/>
      <c r="AG146" s="508"/>
      <c r="AH146" s="508"/>
      <c r="AI146" s="508"/>
      <c r="AJ146" s="508"/>
      <c r="AK146" s="508"/>
      <c r="AL146" s="508"/>
      <c r="AM146" s="454" t="s">
        <v>974</v>
      </c>
    </row>
    <row r="147" spans="1:59" s="116" customFormat="1" ht="45" customHeight="1" x14ac:dyDescent="0.3">
      <c r="A147" s="460" t="s">
        <v>753</v>
      </c>
      <c r="B147" s="460"/>
      <c r="C147" s="460"/>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60"/>
      <c r="AM147" s="455"/>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row>
    <row r="148" spans="1:59" ht="13.95" customHeight="1" x14ac:dyDescent="0.25">
      <c r="A148" s="449" t="s">
        <v>1148</v>
      </c>
      <c r="B148" s="449"/>
      <c r="C148" s="449"/>
      <c r="D148" s="449"/>
      <c r="E148" s="449"/>
      <c r="F148" s="449"/>
      <c r="G148" s="449"/>
      <c r="H148" s="449"/>
      <c r="I148" s="449"/>
      <c r="J148" s="449"/>
      <c r="K148" s="449"/>
      <c r="L148" s="449"/>
      <c r="M148" s="449"/>
      <c r="N148" s="449"/>
      <c r="O148" s="449"/>
      <c r="P148" s="449"/>
      <c r="Q148" s="449"/>
      <c r="R148" s="449"/>
      <c r="S148" s="449"/>
      <c r="T148" s="449"/>
      <c r="U148" s="449"/>
      <c r="V148" s="449"/>
      <c r="W148" s="449"/>
      <c r="X148" s="449"/>
      <c r="Y148" s="449"/>
      <c r="Z148" s="449"/>
      <c r="AA148" s="449"/>
      <c r="AB148" s="449"/>
      <c r="AC148" s="449"/>
      <c r="AD148" s="449"/>
      <c r="AE148" s="449"/>
      <c r="AF148" s="449"/>
      <c r="AG148" s="449"/>
      <c r="AH148" s="449"/>
      <c r="AI148" s="449"/>
      <c r="AJ148" s="449"/>
      <c r="AK148" s="449"/>
      <c r="AL148" s="449"/>
    </row>
    <row r="149" spans="1:59" ht="13.95" customHeight="1" x14ac:dyDescent="0.25">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c r="W149" s="450"/>
      <c r="X149" s="450"/>
      <c r="Y149" s="450"/>
      <c r="Z149" s="450"/>
      <c r="AA149" s="450"/>
      <c r="AB149" s="450"/>
      <c r="AC149" s="450"/>
      <c r="AD149" s="450"/>
      <c r="AE149" s="450"/>
      <c r="AF149" s="450"/>
      <c r="AG149" s="450"/>
      <c r="AH149" s="450"/>
      <c r="AI149" s="450"/>
      <c r="AJ149" s="450"/>
      <c r="AK149" s="450"/>
      <c r="AL149" s="450"/>
    </row>
    <row r="150" spans="1:59" ht="13.95" customHeight="1" x14ac:dyDescent="0.3">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c r="W150" s="450"/>
      <c r="X150" s="450"/>
      <c r="Y150" s="450"/>
      <c r="Z150" s="450"/>
      <c r="AA150" s="450"/>
      <c r="AB150" s="450"/>
      <c r="AC150" s="450"/>
      <c r="AD150" s="450"/>
      <c r="AE150" s="450"/>
      <c r="AF150" s="450"/>
      <c r="AG150" s="450"/>
      <c r="AH150" s="450"/>
      <c r="AI150" s="450"/>
      <c r="AJ150" s="450"/>
      <c r="AK150" s="450"/>
      <c r="AL150" s="450"/>
      <c r="AM150" s="256" t="s">
        <v>1155</v>
      </c>
    </row>
    <row r="151" spans="1:59" ht="13.95" customHeight="1" x14ac:dyDescent="0.25">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c r="W151" s="450"/>
      <c r="X151" s="450"/>
      <c r="Y151" s="450"/>
      <c r="Z151" s="450"/>
      <c r="AA151" s="450"/>
      <c r="AB151" s="450"/>
      <c r="AC151" s="450"/>
      <c r="AD151" s="450"/>
      <c r="AE151" s="450"/>
      <c r="AF151" s="450"/>
      <c r="AG151" s="450"/>
      <c r="AH151" s="450"/>
      <c r="AI151" s="450"/>
      <c r="AJ151" s="450"/>
      <c r="AK151" s="450"/>
      <c r="AL151" s="450"/>
      <c r="AM151" s="255" t="s">
        <v>1156</v>
      </c>
    </row>
    <row r="152" spans="1:59" ht="160.19999999999999" customHeight="1" x14ac:dyDescent="0.25">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c r="W152" s="450"/>
      <c r="X152" s="450"/>
      <c r="Y152" s="450"/>
      <c r="Z152" s="450"/>
      <c r="AA152" s="450"/>
      <c r="AB152" s="450"/>
      <c r="AC152" s="450"/>
      <c r="AD152" s="450"/>
      <c r="AE152" s="450"/>
      <c r="AF152" s="450"/>
      <c r="AG152" s="450"/>
      <c r="AH152" s="450"/>
      <c r="AI152" s="450"/>
      <c r="AJ152" s="450"/>
      <c r="AK152" s="450"/>
      <c r="AL152" s="450"/>
    </row>
  </sheetData>
  <sheetProtection algorithmName="SHA-512" hashValue="HK4ysY/drYT+2viJKzW6v1Vw1UwCkd4ZWdH3UFMheYTXfuo4DNc5xKyOiyVq/51MyfRYrwDhAtwV6eEqp4sobw==" saltValue="ozxjV2stoWkk9mhWikTZCg==" spinCount="100000" sheet="1" formatCells="0" formatRows="0" insertRows="0"/>
  <mergeCells count="327">
    <mergeCell ref="A1:AL1"/>
    <mergeCell ref="B110:F110"/>
    <mergeCell ref="G110:K110"/>
    <mergeCell ref="L110:O110"/>
    <mergeCell ref="AH110:AJ110"/>
    <mergeCell ref="T112:Z112"/>
    <mergeCell ref="AA112:AG112"/>
    <mergeCell ref="AM146:AM147"/>
    <mergeCell ref="B44:AL44"/>
    <mergeCell ref="A65:S65"/>
    <mergeCell ref="T65:AL65"/>
    <mergeCell ref="S57:AL57"/>
    <mergeCell ref="A55:A57"/>
    <mergeCell ref="A45:A50"/>
    <mergeCell ref="Z46:AJ46"/>
    <mergeCell ref="AK47:AL47"/>
    <mergeCell ref="AK48:AL48"/>
    <mergeCell ref="AK49:AL49"/>
    <mergeCell ref="B58:AL58"/>
    <mergeCell ref="Z49:AJ49"/>
    <mergeCell ref="A59:AL59"/>
    <mergeCell ref="P111:S111"/>
    <mergeCell ref="A94:AL94"/>
    <mergeCell ref="A98:AL98"/>
    <mergeCell ref="A148:AL152"/>
    <mergeCell ref="B46:Y46"/>
    <mergeCell ref="B47:Y47"/>
    <mergeCell ref="B48:Y48"/>
    <mergeCell ref="B49:Y49"/>
    <mergeCell ref="B50:Y50"/>
    <mergeCell ref="B113:K113"/>
    <mergeCell ref="L113:O113"/>
    <mergeCell ref="B111:F111"/>
    <mergeCell ref="G111:K111"/>
    <mergeCell ref="L111:O111"/>
    <mergeCell ref="B112:F112"/>
    <mergeCell ref="G112:K112"/>
    <mergeCell ref="B108:F108"/>
    <mergeCell ref="A69:AL69"/>
    <mergeCell ref="T109:Z109"/>
    <mergeCell ref="AA109:AG109"/>
    <mergeCell ref="T66:AL66"/>
    <mergeCell ref="P108:S108"/>
    <mergeCell ref="T108:Z108"/>
    <mergeCell ref="B103:F103"/>
    <mergeCell ref="A138:AL138"/>
    <mergeCell ref="A139:AL139"/>
    <mergeCell ref="P106:S106"/>
    <mergeCell ref="A97:AL97"/>
    <mergeCell ref="AJ95:AL95"/>
    <mergeCell ref="AJ96:AL96"/>
    <mergeCell ref="A96:AI96"/>
    <mergeCell ref="AK108:AL108"/>
    <mergeCell ref="AK109:AL109"/>
    <mergeCell ref="P104:S104"/>
    <mergeCell ref="AH107:AJ107"/>
    <mergeCell ref="B107:F107"/>
    <mergeCell ref="G106:K106"/>
    <mergeCell ref="L107:O107"/>
    <mergeCell ref="G103:K103"/>
    <mergeCell ref="L103:O103"/>
    <mergeCell ref="P105:S105"/>
    <mergeCell ref="T105:Z105"/>
    <mergeCell ref="AA105:AG105"/>
    <mergeCell ref="AH105:AJ105"/>
    <mergeCell ref="P103:S103"/>
    <mergeCell ref="P102:S102"/>
    <mergeCell ref="T107:Z107"/>
    <mergeCell ref="AA107:AG107"/>
    <mergeCell ref="G107:K107"/>
    <mergeCell ref="AK106:AL106"/>
    <mergeCell ref="B105:F105"/>
    <mergeCell ref="T116:AJ116"/>
    <mergeCell ref="G108:K108"/>
    <mergeCell ref="L108:O108"/>
    <mergeCell ref="L112:O112"/>
    <mergeCell ref="AK112:AL112"/>
    <mergeCell ref="AK111:AL111"/>
    <mergeCell ref="P112:S112"/>
    <mergeCell ref="P113:S113"/>
    <mergeCell ref="AA113:AG113"/>
    <mergeCell ref="AH112:AJ112"/>
    <mergeCell ref="T111:Z111"/>
    <mergeCell ref="AA111:AG111"/>
    <mergeCell ref="AH111:AJ111"/>
    <mergeCell ref="T110:Z110"/>
    <mergeCell ref="AA110:AG110"/>
    <mergeCell ref="AK110:AL110"/>
    <mergeCell ref="A137:AL137"/>
    <mergeCell ref="A142:AL142"/>
    <mergeCell ref="A145:AL145"/>
    <mergeCell ref="A129:AL129"/>
    <mergeCell ref="A118:AL118"/>
    <mergeCell ref="A119:AL119"/>
    <mergeCell ref="AA108:AG108"/>
    <mergeCell ref="P110:S110"/>
    <mergeCell ref="AK113:AL113"/>
    <mergeCell ref="AH113:AJ113"/>
    <mergeCell ref="AH109:AJ109"/>
    <mergeCell ref="P109:S109"/>
    <mergeCell ref="T113:Z113"/>
    <mergeCell ref="A128:AL128"/>
    <mergeCell ref="AH108:AJ108"/>
    <mergeCell ref="B109:F109"/>
    <mergeCell ref="G109:K109"/>
    <mergeCell ref="L109:O109"/>
    <mergeCell ref="T115:AJ115"/>
    <mergeCell ref="B115:S115"/>
    <mergeCell ref="B117:S117"/>
    <mergeCell ref="T117:AJ117"/>
    <mergeCell ref="A114:AL114"/>
    <mergeCell ref="B116:S116"/>
    <mergeCell ref="B38:AL38"/>
    <mergeCell ref="B40:AL40"/>
    <mergeCell ref="AK46:AL46"/>
    <mergeCell ref="B52:R52"/>
    <mergeCell ref="A147:AL147"/>
    <mergeCell ref="A124:AL124"/>
    <mergeCell ref="A144:AL144"/>
    <mergeCell ref="A146:AL146"/>
    <mergeCell ref="A120:AL120"/>
    <mergeCell ref="A121:AL121"/>
    <mergeCell ref="A122:AL122"/>
    <mergeCell ref="A123:AL123"/>
    <mergeCell ref="A141:AL141"/>
    <mergeCell ref="A140:AL140"/>
    <mergeCell ref="A130:AL130"/>
    <mergeCell ref="A131:AL131"/>
    <mergeCell ref="A125:AL125"/>
    <mergeCell ref="A134:AL134"/>
    <mergeCell ref="A135:AL135"/>
    <mergeCell ref="A132:AL132"/>
    <mergeCell ref="A133:AL133"/>
    <mergeCell ref="A127:AL127"/>
    <mergeCell ref="A126:AL126"/>
    <mergeCell ref="A136:AL136"/>
    <mergeCell ref="A39:A40"/>
    <mergeCell ref="A66:S66"/>
    <mergeCell ref="B42:AL42"/>
    <mergeCell ref="A63:S63"/>
    <mergeCell ref="B35:AL35"/>
    <mergeCell ref="B36:AL36"/>
    <mergeCell ref="AK104:AL104"/>
    <mergeCell ref="G104:K104"/>
    <mergeCell ref="L104:O104"/>
    <mergeCell ref="AH104:AJ104"/>
    <mergeCell ref="AA103:AG103"/>
    <mergeCell ref="AH103:AJ103"/>
    <mergeCell ref="B101:F101"/>
    <mergeCell ref="G101:K101"/>
    <mergeCell ref="L101:O101"/>
    <mergeCell ref="B102:F102"/>
    <mergeCell ref="T104:Z104"/>
    <mergeCell ref="T103:Z103"/>
    <mergeCell ref="B104:F104"/>
    <mergeCell ref="P101:S101"/>
    <mergeCell ref="T101:Z101"/>
    <mergeCell ref="A74:AL74"/>
    <mergeCell ref="A93:AL93"/>
    <mergeCell ref="A36:A37"/>
    <mergeCell ref="A70:AL70"/>
    <mergeCell ref="A71:AL71"/>
    <mergeCell ref="AB82:AJ82"/>
    <mergeCell ref="AK82:AL82"/>
    <mergeCell ref="B81:P81"/>
    <mergeCell ref="B82:P82"/>
    <mergeCell ref="Q79:AA79"/>
    <mergeCell ref="AB79:AJ79"/>
    <mergeCell ref="AK79:AL79"/>
    <mergeCell ref="Q80:AA80"/>
    <mergeCell ref="AB80:AJ80"/>
    <mergeCell ref="AB81:AJ81"/>
    <mergeCell ref="AK81:AL81"/>
    <mergeCell ref="Q82:AA82"/>
    <mergeCell ref="AK80:AL80"/>
    <mergeCell ref="AB76:AJ76"/>
    <mergeCell ref="AK76:AL76"/>
    <mergeCell ref="T106:Z106"/>
    <mergeCell ref="AA106:AG106"/>
    <mergeCell ref="AH106:AJ106"/>
    <mergeCell ref="B106:F106"/>
    <mergeCell ref="AA104:AG104"/>
    <mergeCell ref="L106:O106"/>
    <mergeCell ref="AK105:AL105"/>
    <mergeCell ref="AK103:AL103"/>
    <mergeCell ref="A99:AL99"/>
    <mergeCell ref="P100:S100"/>
    <mergeCell ref="T100:Z100"/>
    <mergeCell ref="AA100:AG100"/>
    <mergeCell ref="G105:K105"/>
    <mergeCell ref="L105:O105"/>
    <mergeCell ref="G102:K102"/>
    <mergeCell ref="L102:O102"/>
    <mergeCell ref="AK107:AL107"/>
    <mergeCell ref="P107:S107"/>
    <mergeCell ref="A87:AL87"/>
    <mergeCell ref="A89:AL89"/>
    <mergeCell ref="A91:AL91"/>
    <mergeCell ref="A90:AL90"/>
    <mergeCell ref="A88:AL88"/>
    <mergeCell ref="B60:AL60"/>
    <mergeCell ref="B57:R57"/>
    <mergeCell ref="A61:AL61"/>
    <mergeCell ref="A92:AL92"/>
    <mergeCell ref="AH102:AJ102"/>
    <mergeCell ref="AK102:AL102"/>
    <mergeCell ref="AA101:AG101"/>
    <mergeCell ref="AH101:AJ101"/>
    <mergeCell ref="AK101:AL101"/>
    <mergeCell ref="T102:Z102"/>
    <mergeCell ref="AA102:AG102"/>
    <mergeCell ref="A95:AI95"/>
    <mergeCell ref="B100:F100"/>
    <mergeCell ref="G100:K100"/>
    <mergeCell ref="L100:O100"/>
    <mergeCell ref="AH100:AJ100"/>
    <mergeCell ref="AK100:AL100"/>
    <mergeCell ref="B51:AL51"/>
    <mergeCell ref="Z50:AJ50"/>
    <mergeCell ref="T63:AL63"/>
    <mergeCell ref="Q77:AA77"/>
    <mergeCell ref="AB77:AJ77"/>
    <mergeCell ref="AK77:AL77"/>
    <mergeCell ref="Q78:AA78"/>
    <mergeCell ref="AB78:AJ78"/>
    <mergeCell ref="AK78:AL78"/>
    <mergeCell ref="B77:P77"/>
    <mergeCell ref="B78:P78"/>
    <mergeCell ref="A64:S64"/>
    <mergeCell ref="T64:AL64"/>
    <mergeCell ref="Q75:AA75"/>
    <mergeCell ref="B76:P76"/>
    <mergeCell ref="AB75:AJ75"/>
    <mergeCell ref="AK75:AL75"/>
    <mergeCell ref="A67:AL67"/>
    <mergeCell ref="B75:P75"/>
    <mergeCell ref="S52:AL52"/>
    <mergeCell ref="B53:R53"/>
    <mergeCell ref="A72:AL72"/>
    <mergeCell ref="A62:AL62"/>
    <mergeCell ref="B73:AL73"/>
    <mergeCell ref="A3:F3"/>
    <mergeCell ref="H3:L3"/>
    <mergeCell ref="A4:F4"/>
    <mergeCell ref="H4:L4"/>
    <mergeCell ref="A10:AL10"/>
    <mergeCell ref="A11:AL11"/>
    <mergeCell ref="A6:F6"/>
    <mergeCell ref="G6:L6"/>
    <mergeCell ref="N6:P6"/>
    <mergeCell ref="Q6:AA6"/>
    <mergeCell ref="AB6:AE6"/>
    <mergeCell ref="A7:P7"/>
    <mergeCell ref="Q7:AL7"/>
    <mergeCell ref="A8:AL8"/>
    <mergeCell ref="A12:AL12"/>
    <mergeCell ref="A14:AK14"/>
    <mergeCell ref="A15:A16"/>
    <mergeCell ref="B15:AL15"/>
    <mergeCell ref="B16:AL16"/>
    <mergeCell ref="A17:A18"/>
    <mergeCell ref="B17:AL17"/>
    <mergeCell ref="B18:AL18"/>
    <mergeCell ref="A43:A44"/>
    <mergeCell ref="B43:AL43"/>
    <mergeCell ref="B34:AL34"/>
    <mergeCell ref="B30:AL30"/>
    <mergeCell ref="B31:AL31"/>
    <mergeCell ref="B23:V23"/>
    <mergeCell ref="B26:AL26"/>
    <mergeCell ref="B25:AL25"/>
    <mergeCell ref="A23:A26"/>
    <mergeCell ref="A27:A35"/>
    <mergeCell ref="W23:AL23"/>
    <mergeCell ref="B24:V24"/>
    <mergeCell ref="W24:AL24"/>
    <mergeCell ref="B27:AL27"/>
    <mergeCell ref="B28:AL28"/>
    <mergeCell ref="B29:AL29"/>
    <mergeCell ref="A41:A42"/>
    <mergeCell ref="AM61:AM66"/>
    <mergeCell ref="Q86:AA86"/>
    <mergeCell ref="AB86:AJ86"/>
    <mergeCell ref="AK86:AL86"/>
    <mergeCell ref="Q85:AA85"/>
    <mergeCell ref="AB85:AJ85"/>
    <mergeCell ref="AK85:AL85"/>
    <mergeCell ref="B85:P85"/>
    <mergeCell ref="B86:P86"/>
    <mergeCell ref="Q83:AA83"/>
    <mergeCell ref="AB83:AJ83"/>
    <mergeCell ref="AK83:AL83"/>
    <mergeCell ref="Q84:AA84"/>
    <mergeCell ref="AB84:AJ84"/>
    <mergeCell ref="AK84:AL84"/>
    <mergeCell ref="B83:P83"/>
    <mergeCell ref="B84:P84"/>
    <mergeCell ref="Q81:AA81"/>
    <mergeCell ref="AM74:AU85"/>
    <mergeCell ref="AM67:AM68"/>
    <mergeCell ref="A68:AL68"/>
    <mergeCell ref="Q76:AA76"/>
    <mergeCell ref="Z48:AJ48"/>
    <mergeCell ref="A143:AL143"/>
    <mergeCell ref="B45:AL45"/>
    <mergeCell ref="Z47:AJ47"/>
    <mergeCell ref="B79:P79"/>
    <mergeCell ref="B80:P80"/>
    <mergeCell ref="A19:A22"/>
    <mergeCell ref="B19:AL19"/>
    <mergeCell ref="B20:AL20"/>
    <mergeCell ref="S53:AL53"/>
    <mergeCell ref="B54:R54"/>
    <mergeCell ref="S54:AL54"/>
    <mergeCell ref="A51:A54"/>
    <mergeCell ref="B55:AL55"/>
    <mergeCell ref="B56:R56"/>
    <mergeCell ref="S56:AL56"/>
    <mergeCell ref="B37:S37"/>
    <mergeCell ref="T37:AL37"/>
    <mergeCell ref="B39:AL39"/>
    <mergeCell ref="B41:AL41"/>
    <mergeCell ref="AK50:AL50"/>
    <mergeCell ref="B32:AL32"/>
    <mergeCell ref="B33:AL33"/>
    <mergeCell ref="B21:AL21"/>
    <mergeCell ref="B22:AL22"/>
  </mergeCells>
  <conditionalFormatting sqref="A3 H3 A59 A74 A118:A119">
    <cfRule type="expression" dxfId="657" priority="335">
      <formula>IF(A3="",1,0)</formula>
    </cfRule>
  </conditionalFormatting>
  <conditionalFormatting sqref="A61:A62">
    <cfRule type="expression" dxfId="656" priority="251">
      <formula>IF(A61="",1,0)</formula>
    </cfRule>
  </conditionalFormatting>
  <conditionalFormatting sqref="A63:A64">
    <cfRule type="expression" dxfId="655" priority="15">
      <formula>IF(A63="",1,0)</formula>
    </cfRule>
  </conditionalFormatting>
  <conditionalFormatting sqref="A65:A72">
    <cfRule type="expression" dxfId="654" priority="24">
      <formula>IF(A65="",1,0)</formula>
    </cfRule>
  </conditionalFormatting>
  <conditionalFormatting sqref="A89:A92">
    <cfRule type="expression" dxfId="651" priority="157">
      <formula>IF(A89="",1,0)</formula>
    </cfRule>
  </conditionalFormatting>
  <conditionalFormatting sqref="A94:A98">
    <cfRule type="expression" dxfId="650" priority="13">
      <formula>IF(A94="",1,0)</formula>
    </cfRule>
  </conditionalFormatting>
  <conditionalFormatting sqref="A121:A139">
    <cfRule type="expression" dxfId="649" priority="2">
      <formula>IF(A121="",1,0)</formula>
    </cfRule>
  </conditionalFormatting>
  <conditionalFormatting sqref="A141:A143">
    <cfRule type="expression" dxfId="648" priority="1">
      <formula>IF(A141="",1,0)</formula>
    </cfRule>
  </conditionalFormatting>
  <conditionalFormatting sqref="A146:A147">
    <cfRule type="expression" dxfId="647" priority="123">
      <formula>IF(A146="",1,0)</formula>
    </cfRule>
  </conditionalFormatting>
  <conditionalFormatting sqref="A75:B75">
    <cfRule type="expression" dxfId="646" priority="30">
      <formula>IF(A75="",1,0)</formula>
    </cfRule>
  </conditionalFormatting>
  <conditionalFormatting sqref="B20">
    <cfRule type="expression" dxfId="638" priority="33">
      <formula>IF(B20="",1,0)</formula>
    </cfRule>
  </conditionalFormatting>
  <conditionalFormatting sqref="B22">
    <cfRule type="expression" dxfId="637" priority="10">
      <formula>IF(B22="",1,0)</formula>
    </cfRule>
  </conditionalFormatting>
  <conditionalFormatting sqref="B29">
    <cfRule type="expression" dxfId="636" priority="78">
      <formula>IF(B29="",1,0)</formula>
    </cfRule>
  </conditionalFormatting>
  <conditionalFormatting sqref="B31">
    <cfRule type="expression" dxfId="635" priority="76">
      <formula>IF(B31="",1,0)</formula>
    </cfRule>
  </conditionalFormatting>
  <conditionalFormatting sqref="B33">
    <cfRule type="expression" dxfId="634" priority="77">
      <formula>IF(B33="",1,0)</formula>
    </cfRule>
  </conditionalFormatting>
  <conditionalFormatting sqref="B35">
    <cfRule type="expression" dxfId="633" priority="75">
      <formula>IF(B35="",1,0)</formula>
    </cfRule>
  </conditionalFormatting>
  <conditionalFormatting sqref="B37">
    <cfRule type="expression" dxfId="632" priority="11">
      <formula>IF(B37="",1,0)</formula>
    </cfRule>
  </conditionalFormatting>
  <conditionalFormatting sqref="B41:B44">
    <cfRule type="expression" dxfId="631" priority="66">
      <formula>IF(B41="",1,0)</formula>
    </cfRule>
  </conditionalFormatting>
  <conditionalFormatting sqref="B52:B57">
    <cfRule type="expression" dxfId="630" priority="133">
      <formula>IF(B52="",1,0)</formula>
    </cfRule>
  </conditionalFormatting>
  <conditionalFormatting sqref="B76:B86">
    <cfRule type="expression" dxfId="629" priority="25">
      <formula>IF(B76="",1,0)</formula>
    </cfRule>
  </conditionalFormatting>
  <conditionalFormatting sqref="B102:B112">
    <cfRule type="expression" dxfId="628" priority="80">
      <formula>IF(B102="",1,0)</formula>
    </cfRule>
  </conditionalFormatting>
  <conditionalFormatting sqref="B16:AL16 B18 W24 B24:B26">
    <cfRule type="expression" dxfId="627" priority="79">
      <formula>IF(B16="",1,0)</formula>
    </cfRule>
  </conditionalFormatting>
  <conditionalFormatting sqref="G102:G112">
    <cfRule type="expression" dxfId="626" priority="84">
      <formula>IF(G102="",1,0)</formula>
    </cfRule>
  </conditionalFormatting>
  <conditionalFormatting sqref="L102:L112">
    <cfRule type="expression" dxfId="625" priority="83">
      <formula>IF(L102="",1,0)</formula>
    </cfRule>
  </conditionalFormatting>
  <conditionalFormatting sqref="N6">
    <cfRule type="expression" dxfId="624" priority="36">
      <formula>IF(N6="",1,0)</formula>
    </cfRule>
  </conditionalFormatting>
  <conditionalFormatting sqref="P102:P112">
    <cfRule type="expression" dxfId="623" priority="81">
      <formula>IF(P102="",1,0)</formula>
    </cfRule>
  </conditionalFormatting>
  <conditionalFormatting sqref="Q75:Q86 AB75:AB86 AK75:AK86">
    <cfRule type="expression" dxfId="622" priority="28">
      <formula>IF(Q75="",1,0)</formula>
    </cfRule>
  </conditionalFormatting>
  <conditionalFormatting sqref="Q7:AL7">
    <cfRule type="expression" dxfId="621" priority="34">
      <formula>IF(Q7="",1,0)</formula>
    </cfRule>
  </conditionalFormatting>
  <conditionalFormatting sqref="S52:S54">
    <cfRule type="expression" dxfId="620" priority="134">
      <formula>IF(S52="",1,0)</formula>
    </cfRule>
  </conditionalFormatting>
  <conditionalFormatting sqref="S56:S57">
    <cfRule type="expression" dxfId="619" priority="132">
      <formula>IF(S56="",1,0)</formula>
    </cfRule>
  </conditionalFormatting>
  <conditionalFormatting sqref="T64:T66">
    <cfRule type="expression" dxfId="618" priority="14">
      <formula>IF(T64="",1,0)</formula>
    </cfRule>
  </conditionalFormatting>
  <conditionalFormatting sqref="T115">
    <cfRule type="expression" dxfId="617" priority="105">
      <formula>IF(#REF!="",1,0)</formula>
    </cfRule>
  </conditionalFormatting>
  <conditionalFormatting sqref="T116">
    <cfRule type="expression" dxfId="616" priority="131">
      <formula>IF(T116="",1,0)</formula>
    </cfRule>
  </conditionalFormatting>
  <conditionalFormatting sqref="Z47">
    <cfRule type="expression" dxfId="615" priority="162">
      <formula>IF(Z47="",1,0)</formula>
    </cfRule>
  </conditionalFormatting>
  <conditionalFormatting sqref="Z49">
    <cfRule type="expression" dxfId="614" priority="161">
      <formula>IF(Z49="",1,0)</formula>
    </cfRule>
  </conditionalFormatting>
  <conditionalFormatting sqref="Z50">
    <cfRule type="expression" dxfId="613" priority="7354">
      <formula>IF($Z$50&lt;&gt;$AK$113,1,0)</formula>
    </cfRule>
  </conditionalFormatting>
  <conditionalFormatting sqref="AB6">
    <cfRule type="expression" dxfId="612" priority="35">
      <formula>IF(AB6="",1,0)</formula>
    </cfRule>
  </conditionalFormatting>
  <conditionalFormatting sqref="AH102:AH112">
    <cfRule type="expression" dxfId="611" priority="89">
      <formula>IF(AH102="",1,0)</formula>
    </cfRule>
  </conditionalFormatting>
  <conditionalFormatting sqref="AJ95:AJ96">
    <cfRule type="expression" dxfId="610" priority="21">
      <formula>IF(AJ95="",1,0)</formula>
    </cfRule>
  </conditionalFormatting>
  <dataValidations xWindow="255" yWindow="617" count="30">
    <dataValidation type="textLength" operator="equal" allowBlank="1" showInputMessage="1" showErrorMessage="1" errorTitle="REGON" error="REGON to ciąg dziewięciu cyfr np. 571961124" promptTitle="Wprowadź" prompt="nr REGON" sqref="W24:AL24" xr:uid="{00000000-0002-0000-0500-000000000000}">
      <formula1>9</formula1>
    </dataValidation>
    <dataValidation allowBlank="1" showInputMessage="1" showErrorMessage="1" promptTitle="Wprowadź" prompt="dane" sqref="B29:AL29 B31:AL31 AJ95:AL96" xr:uid="{00000000-0002-0000-0500-000001000000}"/>
    <dataValidation allowBlank="1" showInputMessage="1" showErrorMessage="1" promptTitle="Wprowadź" prompt="adres beneficjenta" sqref="B20" xr:uid="{00000000-0002-0000-0500-000002000000}"/>
    <dataValidation type="textLength" operator="equal" allowBlank="1" showInputMessage="1" showErrorMessage="1" errorTitle="NIP" error="NIP to ciąg dziesięciu cyfr np. 5719611245" promptTitle="Wprowadź" prompt="NIP" sqref="B24:V24" xr:uid="{00000000-0002-0000-0500-000004000000}">
      <formula1>10</formula1>
    </dataValidation>
    <dataValidation type="decimal" allowBlank="1" showInputMessage="1" showErrorMessage="1" sqref="AH102:AJ112" xr:uid="{00000000-0002-0000-0500-000008000000}">
      <formula1>0</formula1>
      <formula2>1</formula2>
    </dataValidation>
    <dataValidation allowBlank="1" showErrorMessage="1" promptTitle="Wybierz" prompt="właściwe" sqref="A130 A124:AL124 A126:AL126" xr:uid="{00000000-0002-0000-0500-000009000000}"/>
    <dataValidation type="whole" allowBlank="1" showInputMessage="1" showErrorMessage="1" promptTitle="Wprowadź " prompt="ilość" sqref="A72:AL72 A70:AL70 A64" xr:uid="{00000000-0002-0000-0500-00000A000000}">
      <formula1>0</formula1>
      <formula2>1000000</formula2>
    </dataValidation>
    <dataValidation allowBlank="1" showInputMessage="1" showErrorMessage="1" promptTitle="Wybierz" prompt="właściwe" sqref="A132:AL132 A63" xr:uid="{00000000-0002-0000-0500-00000B000000}"/>
    <dataValidation allowBlank="1" promptTitle="Wybierz" prompt="właściwe" sqref="A146:AL146" xr:uid="{00000000-0002-0000-0500-00000C000000}"/>
    <dataValidation type="whole" allowBlank="1" showInputMessage="1" showErrorMessage="1" promptTitle="Wprowadź" prompt="ilość" sqref="A62" xr:uid="{00000000-0002-0000-0500-00000D000000}">
      <formula1>0</formula1>
      <formula2>1E+31</formula2>
    </dataValidation>
    <dataValidation type="decimal" allowBlank="1" showInputMessage="1" showErrorMessage="1" promptTitle="Wprowadź" prompt="kwotę" sqref="Z48" xr:uid="{00000000-0002-0000-0500-00000E000000}">
      <formula1>0</formula1>
      <formula2>100000000000000000</formula2>
    </dataValidation>
    <dataValidation type="decimal" allowBlank="1" showInputMessage="1" showErrorMessage="1" promptTitle="Wprowadź" prompt="kwotę" sqref="Z49" xr:uid="{00000000-0002-0000-0500-00000F000000}">
      <formula1>0</formula1>
      <formula2>10000000000000000000</formula2>
    </dataValidation>
    <dataValidation type="textLength" operator="greaterThan" allowBlank="1" showInputMessage="1" showErrorMessage="1" promptTitle="Wprowadź" prompt="nazwę beneficjenta" sqref="B18:AL18" xr:uid="{00000000-0002-0000-0500-000010000000}">
      <formula1>3</formula1>
    </dataValidation>
    <dataValidation allowBlank="1" showErrorMessage="1" promptTitle="Wprowadź" prompt="kwotę" sqref="B40" xr:uid="{00000000-0002-0000-0500-000011000000}"/>
    <dataValidation allowBlank="1" showInputMessage="1" showErrorMessage="1" promptTitle="Wprowadź" prompt="adres ePUAP beneficjenta" sqref="B21" xr:uid="{4B3A476E-8A3A-4CE5-8EF9-9E909DEED3D9}"/>
    <dataValidation type="textLength" operator="equal" allowBlank="1" showInputMessage="1" errorTitle="KRS" promptTitle="Wprowadź" prompt="numer KRS" sqref="B26:AL26" xr:uid="{00000000-0002-0000-0500-000014000000}">
      <formula1>10</formula1>
    </dataValidation>
    <dataValidation allowBlank="1" showErrorMessage="1" promptTitle="Wybierz" prompt="właściwe oświadczenie" sqref="A90:AL90 A118:AL118 A122:AL122" xr:uid="{00000000-0002-0000-0500-000015000000}"/>
    <dataValidation allowBlank="1" showInputMessage="1" showErrorMessage="1" promptTitle="Wpisz " prompt="przyczyny braku instalacji wyposażenia lub wpisz nie dotyczy" sqref="A92:AL92" xr:uid="{00000000-0002-0000-0500-000016000000}"/>
    <dataValidation allowBlank="1" showErrorMessage="1" promptTitle="Wprowadź" prompt="nr księgi wieczystej - nr działki ewidencyjnej" sqref="A134:AL134 A141:AL141 A142:A143" xr:uid="{00000000-0002-0000-0500-000017000000}"/>
    <dataValidation allowBlank="1" showInputMessage="1" showErrorMessage="1" promptTitle="Wprowadź" prompt="wartość_x000a_" sqref="S52:AL54 S56:AL57" xr:uid="{00000000-0002-0000-0500-000018000000}"/>
    <dataValidation allowBlank="1" promptTitle="Wprowadź" prompt="numer rachunku bankowego" sqref="C52:R54 B52:B57 C56:R57" xr:uid="{00000000-0002-0000-0500-000019000000}"/>
    <dataValidation type="decimal" allowBlank="1" showInputMessage="1" promptTitle="Wybierz" prompt="właściwą wysokość wsparcia lub wpiszmniejszą wartość" sqref="T115:AJ115" xr:uid="{00000000-0002-0000-0500-00001A000000}">
      <formula1>0</formula1>
      <formula2>0.8</formula2>
    </dataValidation>
    <dataValidation allowBlank="1" showInputMessage="1" showErrorMessage="1" promptTitle="Wprowadź" prompt="Adres do doręczeń elektronicznych" sqref="B22:AL22" xr:uid="{B27C7E01-3758-4D51-A482-57484556ED45}"/>
    <dataValidation operator="greaterThanOrEqual" allowBlank="1" showInputMessage="1" showErrorMessage="1" promptTitle="Wprowadź" prompt="datę w formacie rrrr-mm-dd_x000a_" sqref="B44:AL44" xr:uid="{00000000-0002-0000-0500-00001C000000}"/>
    <dataValidation type="whole" allowBlank="1" showInputMessage="1" showErrorMessage="1" promptTitle="Wprowadź" prompt="opcjonalni ilość" sqref="T66 A66 A68" xr:uid="{00000000-0002-0000-0500-00001D000000}">
      <formula1>0</formula1>
      <formula2>10000000</formula2>
    </dataValidation>
    <dataValidation allowBlank="1" sqref="AK75 AB75 Q75 A75:B75" xr:uid="{00000000-0002-0000-0500-00001E000000}"/>
    <dataValidation allowBlank="1" showInputMessage="1" showErrorMessage="1" promptTitle="Wprowadź" prompt="opcjonalni ilość" sqref="A67:AL67" xr:uid="{00000000-0002-0000-0500-00001F000000}"/>
    <dataValidation type="textLength" operator="equal" allowBlank="1" showInputMessage="1" promptTitle="Wprowadź" prompt="numer rachunku bankowego" sqref="T37:AL37" xr:uid="{45CE9523-482F-4EC0-932E-F29838C8BF61}">
      <formula1>26</formula1>
    </dataValidation>
    <dataValidation allowBlank="1" showInputMessage="1" sqref="AN91:XFD98" xr:uid="{00000000-0002-0000-0500-000005000000}"/>
    <dataValidation type="textLength" operator="equal" showInputMessage="1" promptTitle="Wprowadź" prompt="numer rachunku bankowego tj. 26 cyfr" sqref="B37:S37" xr:uid="{678F46E2-4047-4B65-BAB0-78B38D216E77}">
      <formula1>26</formula1>
    </dataValidation>
  </dataValidations>
  <hyperlinks>
    <hyperlink ref="AM40" location="'Wniosek kupno'!B98" display="Kliknij &quot;tutaj&quot; i przejdź do wypełnienia zestawienia kosztów" xr:uid="{00000000-0004-0000-0500-000000000000}"/>
    <hyperlink ref="AM117" location="'Wniosek kupno'!B42" display="Wróć do wypełniania wniosku" xr:uid="{00000000-0004-0000-0500-000001000000}"/>
    <hyperlink ref="B40:AL40" location="'Wniosek kupno'!B95" display="'Wniosek kupno'!B95" xr:uid="{00000000-0004-0000-0500-000002000000}"/>
    <hyperlink ref="AM19" r:id="rId1" display="Weryfikocji można dokonać na stronie internetowej -&gt; https://eteryt.stat.gov.pl/eTeryt/rejestr_teryt/udostepnianie_danych/baza_teryt/uzytkownicy_indywidualni/wyszukiwanie/wyszukiwanie.aspx?contrast=default" xr:uid="{00000000-0004-0000-0500-000003000000}"/>
    <hyperlink ref="AM21" r:id="rId2" xr:uid="{00000000-0004-0000-0500-000004000000}"/>
    <hyperlink ref="AM17" r:id="rId3" xr:uid="{00000000-0004-0000-0500-000005000000}"/>
    <hyperlink ref="AM23" r:id="rId4" xr:uid="{00000000-0004-0000-0500-000006000000}"/>
    <hyperlink ref="AM25" r:id="rId5" xr:uid="{00000000-0004-0000-0500-000007000000}"/>
    <hyperlink ref="AM151" r:id="rId6" xr:uid="{6EFFD549-A653-46AF-AAC4-C5907094778C}"/>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7130" id="{E3F2C454-C55C-4B12-B0A3-9327504654C9}">
            <xm:f>IF(#REF!=Słowniki!$F$19,1,0)</xm:f>
            <x14:dxf>
              <fill>
                <patternFill>
                  <bgColor theme="0"/>
                </patternFill>
              </fill>
            </x14:dxf>
          </x14:cfRule>
          <xm:sqref>A66 T66</xm:sqref>
        </x14:conditionalFormatting>
        <x14:conditionalFormatting xmlns:xm="http://schemas.microsoft.com/office/excel/2006/main">
          <x14:cfRule type="expression" priority="23" id="{FB68A4D3-1ECA-4712-8F5C-5B395A1F6E6C}">
            <xm:f>IF($A$75=Słowniki!$F$19,1,0)</xm:f>
            <x14:dxf>
              <fill>
                <patternFill>
                  <bgColor theme="0"/>
                </patternFill>
              </fill>
            </x14:dxf>
          </x14:cfRule>
          <xm:sqref>A67:A68</xm:sqref>
        </x14:conditionalFormatting>
        <x14:conditionalFormatting xmlns:xm="http://schemas.microsoft.com/office/excel/2006/main">
          <x14:cfRule type="expression" priority="250" id="{79311A8A-0E29-4173-B3AE-24861C7D94C0}">
            <xm:f>IF($A$65=Słowniki!$F$26,1,0)</xm:f>
            <x14:dxf>
              <fill>
                <patternFill>
                  <bgColor theme="0"/>
                </patternFill>
              </fill>
            </x14:dxf>
          </x14:cfRule>
          <xm:sqref>A62:AL62</xm:sqref>
        </x14:conditionalFormatting>
        <x14:conditionalFormatting xmlns:xm="http://schemas.microsoft.com/office/excel/2006/main">
          <x14:cfRule type="expression" priority="160" id="{8680F3A7-9542-42A3-9B29-15476170EF22}">
            <xm:f>IF(#REF!=Słowniki!$P$2,1,0)</xm:f>
            <x14:dxf>
              <font>
                <b/>
                <i val="0"/>
                <strike/>
                <color theme="1"/>
              </font>
            </x14:dxf>
          </x14:cfRule>
          <xm:sqref>A88:AL88</xm:sqref>
        </x14:conditionalFormatting>
        <x14:conditionalFormatting xmlns:xm="http://schemas.microsoft.com/office/excel/2006/main">
          <x14:cfRule type="expression" priority="20" id="{3408B6A6-6DFF-408D-818C-3502FE3098CE}">
            <xm:f>IF('Wniosek art 5 budowa'!$A$151=Słowniki!$P$2,1,0)</xm:f>
            <x14:dxf>
              <font>
                <strike/>
              </font>
            </x14:dxf>
          </x14:cfRule>
          <xm:sqref>A93:AL93</xm:sqref>
        </x14:conditionalFormatting>
        <x14:conditionalFormatting xmlns:xm="http://schemas.microsoft.com/office/excel/2006/main">
          <x14:cfRule type="expression" priority="296" id="{9C132006-6A32-4DFC-B26E-7A2BC4FCBD91}">
            <xm:f>IF($A$121=Słowniki!$P$2,1,0)</xm:f>
            <x14:dxf>
              <font>
                <strike/>
              </font>
            </x14:dxf>
          </x14:cfRule>
          <xm:sqref>A120:AL120</xm:sqref>
        </x14:conditionalFormatting>
        <x14:conditionalFormatting xmlns:xm="http://schemas.microsoft.com/office/excel/2006/main">
          <x14:cfRule type="expression" priority="7" id="{F3DD3795-ED52-46A6-A7E3-DDDEC8423E6E}">
            <xm:f>IF($A$161=Słowniki!$P$2,1,0)</xm:f>
            <x14:dxf>
              <font>
                <strike/>
              </font>
            </x14:dxf>
          </x14:cfRule>
          <xm:sqref>A124:AL124</xm:sqref>
        </x14:conditionalFormatting>
        <x14:conditionalFormatting xmlns:xm="http://schemas.microsoft.com/office/excel/2006/main">
          <x14:cfRule type="expression" priority="50" id="{E2647FDE-A022-4A5C-9D88-49024CB702B2}">
            <xm:f>IF($A$133=Słowniki!$P$2,1,0)</xm:f>
            <x14:dxf>
              <font>
                <strike/>
              </font>
            </x14:dxf>
          </x14:cfRule>
          <xm:sqref>A130:AL130</xm:sqref>
        </x14:conditionalFormatting>
        <x14:conditionalFormatting xmlns:xm="http://schemas.microsoft.com/office/excel/2006/main">
          <x14:cfRule type="expression" priority="49" id="{B0CAA1A8-98AD-47E9-8E2E-DBEBC740CF9A}">
            <xm:f>IF(#REF!=Słowniki!$Q$2,1,0)</xm:f>
            <x14:dxf>
              <font>
                <strike/>
              </font>
            </x14:dxf>
          </x14:cfRule>
          <xm:sqref>A132:AL132</xm:sqref>
        </x14:conditionalFormatting>
      </x14:conditionalFormattings>
    </ext>
    <ext xmlns:x14="http://schemas.microsoft.com/office/spreadsheetml/2009/9/main" uri="{CCE6A557-97BC-4b89-ADB6-D9C93CAAB3DF}">
      <x14:dataValidations xmlns:xm="http://schemas.microsoft.com/office/excel/2006/main" xWindow="255" yWindow="617" count="29">
        <x14:dataValidation type="list" allowBlank="1" showInputMessage="1" showErrorMessage="1" promptTitle="Wybierz" prompt="rodzaj przedsięwzięcia" xr:uid="{00000000-0002-0000-0500-000021000000}">
          <x14:formula1>
            <xm:f>Słowniki!$D$6:$D$7</xm:f>
          </x14:formula1>
          <xm:sqref>A59:AL59</xm:sqref>
        </x14:dataValidation>
        <x14:dataValidation type="list" allowBlank="1" showInputMessage="1" showErrorMessage="1" promptTitle="Wybierz" prompt="właściwe" xr:uid="{00000000-0002-0000-0500-000022000000}">
          <x14:formula1>
            <xm:f>Słowniki!$H$2:$H$5</xm:f>
          </x14:formula1>
          <xm:sqref>B73:AL73</xm:sqref>
        </x14:dataValidation>
        <x14:dataValidation type="list" allowBlank="1" showInputMessage="1" showErrorMessage="1" promptTitle="Wybierz" prompt="beneficjenta" xr:uid="{00000000-0002-0000-0500-000023000000}">
          <x14:formula1>
            <xm:f>Słowniki!$A$3:$A$7</xm:f>
          </x14:formula1>
          <xm:sqref>B16:AL16</xm:sqref>
        </x14:dataValidation>
        <x14:dataValidation type="list" allowBlank="1" showInputMessage="1" showErrorMessage="1" promptTitle="Wybierz" prompt="właściwe" xr:uid="{00000000-0002-0000-0500-000024000000}">
          <x14:formula1>
            <xm:f>Słowniki!$AO$1:$AO$2</xm:f>
          </x14:formula1>
          <xm:sqref>B41:AL41</xm:sqref>
        </x14:dataValidation>
        <x14:dataValidation type="list" allowBlank="1" showInputMessage="1" promptTitle="Wprowadź" prompt="dane lub wybierz nie dotyczy" xr:uid="{00000000-0002-0000-0500-000027000000}">
          <x14:formula1>
            <xm:f>Słowniki!$F$26</xm:f>
          </x14:formula1>
          <xm:sqref>B33:AL33 B35:AL35</xm:sqref>
        </x14:dataValidation>
        <x14:dataValidation type="list" allowBlank="1" showInputMessage="1" showErrorMessage="1" promptTitle="Wybierz" prompt="właściwy rodzaj" xr:uid="{00000000-0002-0000-0500-000028000000}">
          <x14:formula1>
            <xm:f>Słowniki!$J$3</xm:f>
          </x14:formula1>
          <xm:sqref>A74:AL74</xm:sqref>
        </x14:dataValidation>
        <x14:dataValidation type="list" allowBlank="1" showInputMessage="1" showErrorMessage="1" promptTitle="Wybierz" prompt="właściwe" xr:uid="{00000000-0002-0000-0500-000029000000}">
          <x14:formula1>
            <xm:f>Słowniki!$U$1:$U$2</xm:f>
          </x14:formula1>
          <xm:sqref>A89:AL89</xm:sqref>
        </x14:dataValidation>
        <x14:dataValidation type="list" allowBlank="1" showInputMessage="1" showErrorMessage="1" promptTitle="Wybierz" prompt="właściwe" xr:uid="{00000000-0002-0000-0500-00002A000000}">
          <x14:formula1>
            <xm:f>Słowniki!$U$3:$U$4</xm:f>
          </x14:formula1>
          <xm:sqref>A91:AL91</xm:sqref>
        </x14:dataValidation>
        <x14:dataValidation type="list" allowBlank="1" showInputMessage="1" showErrorMessage="1" promptTitle="Wybierz" prompt="właściwe" xr:uid="{00000000-0002-0000-0500-00002B000000}">
          <x14:formula1>
            <xm:f>Słowniki!$W$20:$W$22</xm:f>
          </x14:formula1>
          <xm:sqref>A119:AL119</xm:sqref>
        </x14:dataValidation>
        <x14:dataValidation type="list" allowBlank="1" showInputMessage="1" showErrorMessage="1" promptTitle="Wybierz" prompt="właściwe" xr:uid="{00000000-0002-0000-0500-00002D000000}">
          <x14:formula1>
            <xm:f>Słowniki!$W$3:$W$4</xm:f>
          </x14:formula1>
          <xm:sqref>A123:AL123</xm:sqref>
        </x14:dataValidation>
        <x14:dataValidation type="list" allowBlank="1" showInputMessage="1" showErrorMessage="1" promptTitle="Wybierz" prompt="właściwe" xr:uid="{00000000-0002-0000-0500-00002E000000}">
          <x14:formula1>
            <xm:f>Słowniki!$W$5:$W$6</xm:f>
          </x14:formula1>
          <xm:sqref>A125:AL125</xm:sqref>
        </x14:dataValidation>
        <x14:dataValidation type="list" allowBlank="1" showInputMessage="1" showErrorMessage="1" promptTitle="Wybierz" prompt="właściwe" xr:uid="{00000000-0002-0000-0500-00002F000000}">
          <x14:formula1>
            <xm:f>Słowniki!$Y$1:$Y$5</xm:f>
          </x14:formula1>
          <xm:sqref>A127:AL127</xm:sqref>
        </x14:dataValidation>
        <x14:dataValidation type="list" allowBlank="1" showInputMessage="1" showErrorMessage="1" promptTitle="Wybierz" prompt="właściwe" xr:uid="{00000000-0002-0000-0500-000031000000}">
          <x14:formula1>
            <xm:f>Słowniki!$Z$3:$Z$4</xm:f>
          </x14:formula1>
          <xm:sqref>A133:AL133</xm:sqref>
        </x14:dataValidation>
        <x14:dataValidation type="list" allowBlank="1" showInputMessage="1" showErrorMessage="1" promptTitle="Wybierz" prompt="właściwe" xr:uid="{00000000-0002-0000-0500-000032000000}">
          <x14:formula1>
            <xm:f>Słowniki!$E$169:$E$170</xm:f>
          </x14:formula1>
          <xm:sqref>T116:AJ116</xm:sqref>
        </x14:dataValidation>
        <x14:dataValidation type="list" allowBlank="1" showInputMessage="1" showErrorMessage="1" promptTitle="Wybierz" prompt="właściwe" xr:uid="{00000000-0002-0000-0500-000033000000}">
          <x14:formula1>
            <xm:f>Słowniki!$AD$9:$AD$10</xm:f>
          </x14:formula1>
          <xm:sqref>A135:AL135</xm:sqref>
        </x14:dataValidation>
        <x14:dataValidation type="list" allowBlank="1" showInputMessage="1" showErrorMessage="1" xr:uid="{00000000-0002-0000-0500-000036000000}">
          <x14:formula1>
            <xm:f>Słowniki!$AP$1:$AP$2</xm:f>
          </x14:formula1>
          <xm:sqref>B43:AL43</xm:sqref>
        </x14:dataValidation>
        <x14:dataValidation type="list" allowBlank="1" showInputMessage="1" showErrorMessage="1" xr:uid="{00000000-0002-0000-0500-000037000000}">
          <x14:formula1>
            <xm:f>Słowniki!$F$2</xm:f>
          </x14:formula1>
          <xm:sqref>A61:AL61</xm:sqref>
        </x14:dataValidation>
        <x14:dataValidation type="list" allowBlank="1" showInputMessage="1" showErrorMessage="1" promptTitle="Wprowadź" prompt="opcjonalnie dla przedsięwźięć mieszanych" xr:uid="{00000000-0002-0000-0500-000038000000}">
          <x14:formula1>
            <xm:f>Słowniki!$F$3:$F$5</xm:f>
          </x14:formula1>
          <xm:sqref>A65 T65</xm:sqref>
        </x14:dataValidation>
        <x14:dataValidation type="list" allowBlank="1" showInputMessage="1" showErrorMessage="1" promptTitle="Wybierz" prompt="właściwe" xr:uid="{00000000-0002-0000-0500-000039000000}">
          <x14:formula1>
            <xm:f>Słowniki!$W$10:$W$11</xm:f>
          </x14:formula1>
          <xm:sqref>A129:AL129</xm:sqref>
        </x14:dataValidation>
        <x14:dataValidation type="list" allowBlank="1" showInputMessage="1" showErrorMessage="1" promptTitle="Wybierz" prompt="właściwe" xr:uid="{00000000-0002-0000-0500-00003A000000}">
          <x14:formula1>
            <xm:f>Słowniki!$W$12:$W$14</xm:f>
          </x14:formula1>
          <xm:sqref>A137:AL137</xm:sqref>
        </x14:dataValidation>
        <x14:dataValidation type="list" allowBlank="1" showInputMessage="1" promptTitle="Wybierz" prompt="i/lub modyfikuj nr załącznika" xr:uid="{00000000-0002-0000-0500-00003B000000}">
          <x14:formula1>
            <xm:f>Słowniki!$X$19:$X$20</xm:f>
          </x14:formula1>
          <xm:sqref>A121:AL121</xm:sqref>
        </x14:dataValidation>
        <x14:dataValidation type="list" allowBlank="1" showInputMessage="1" showErrorMessage="1" promptTitle="Wybierz" prompt="właściwe" xr:uid="{00000000-0002-0000-0500-00003C000000}">
          <x14:formula1>
            <xm:f>Słowniki!$C$3:$C$4</xm:f>
          </x14:formula1>
          <xm:sqref>AB6:AE6 N6:P6</xm:sqref>
        </x14:dataValidation>
        <x14:dataValidation type="list" allowBlank="1" showInputMessage="1" showErrorMessage="1" promptTitle="Wybierz" prompt="właściwe" xr:uid="{1D8C0FC5-3476-4F51-AB3D-5E72CDDABEC1}">
          <x14:formula1>
            <xm:f>Słowniki!$D$49:$D$50</xm:f>
          </x14:formula1>
          <xm:sqref>A94:AL94</xm:sqref>
        </x14:dataValidation>
        <x14:dataValidation type="list" errorStyle="information" allowBlank="1" showInputMessage="1" showErrorMessage="1" xr:uid="{7F3C3B4C-7952-4C4F-8C7F-08675AD24BEA}">
          <x14:formula1>
            <xm:f>Słowniki!$A$34:$A$40</xm:f>
          </x14:formula1>
          <xm:sqref>G102:K112</xm:sqref>
        </x14:dataValidation>
        <x14:dataValidation type="list" errorStyle="information" allowBlank="1" showInputMessage="1" showErrorMessage="1" promptTitle="Wybierz" prompt="właściwe" xr:uid="{00000000-0002-0000-0500-000035000000}">
          <x14:formula1>
            <xm:f>Słowniki!$A$48:$A$58</xm:f>
          </x14:formula1>
          <xm:sqref>B102:F102</xm:sqref>
        </x14:dataValidation>
        <x14:dataValidation type="list" errorStyle="information" allowBlank="1" showInputMessage="1" showErrorMessage="1" promptTitle="Wybierz" prompt="właściwe" xr:uid="{69D9DB1C-DF13-479F-ABE6-732D1AEF37F7}">
          <x14:formula1>
            <xm:f>Słowniki!$A$46:$A$60</xm:f>
          </x14:formula1>
          <xm:sqref>B103:F112</xm:sqref>
        </x14:dataValidation>
        <x14:dataValidation type="list" allowBlank="1" showInputMessage="1" showErrorMessage="1" promptTitle="Wybierz" prompt="właściwe" xr:uid="{A4FAF57D-5C0F-41A2-ADF2-211CD98FE5C3}">
          <x14:formula1>
            <xm:f>Słowniki!$Z$1:$Z$2</xm:f>
          </x14:formula1>
          <xm:sqref>A131:AL131</xm:sqref>
        </x14:dataValidation>
        <x14:dataValidation type="list" allowBlank="1" showInputMessage="1" showErrorMessage="1" xr:uid="{86A8333F-5BB7-42EF-A8DE-48DC2D60BA4C}">
          <x14:formula1>
            <xm:f>Słowniki!$Y$9:$Y$10</xm:f>
          </x14:formula1>
          <xm:sqref>A139:AL139</xm:sqref>
        </x14:dataValidation>
        <x14:dataValidation type="date" operator="greaterThan" allowBlank="1" showInputMessage="1" showErrorMessage="1" promptTitle="Wprowadź" prompt="datę w formacie rrrr-mm-dd_x000a_" xr:uid="{00000000-0002-0000-0500-00003D000000}">
          <x14:formula1>
            <xm:f>Słowniki!AQ1</xm:f>
          </x14:formula1>
          <xm:sqref>B42:AL42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usz5"/>
  <dimension ref="A1:BB233"/>
  <sheetViews>
    <sheetView showGridLines="0" topLeftCell="A191" zoomScale="90" zoomScaleNormal="90" workbookViewId="0">
      <selection activeCell="AM192" sqref="AM192"/>
    </sheetView>
  </sheetViews>
  <sheetFormatPr defaultColWidth="9.33203125" defaultRowHeight="14.4" x14ac:dyDescent="0.3"/>
  <cols>
    <col min="1" max="1" width="3.33203125" style="88" customWidth="1"/>
    <col min="2" max="2" width="4" style="88" customWidth="1"/>
    <col min="3" max="3" width="2.33203125" style="88" customWidth="1"/>
    <col min="4" max="4" width="2.5546875" style="88" customWidth="1"/>
    <col min="5" max="5" width="2" style="88" customWidth="1"/>
    <col min="6" max="6" width="1.6640625" style="88" customWidth="1"/>
    <col min="7" max="7" width="1.44140625" style="88" customWidth="1"/>
    <col min="8" max="8" width="2.33203125" style="88" customWidth="1"/>
    <col min="9" max="9" width="2.44140625" style="88" customWidth="1"/>
    <col min="10" max="10" width="1.5546875" style="88" customWidth="1"/>
    <col min="11" max="11" width="1.6640625" style="88" customWidth="1"/>
    <col min="12" max="12" width="5.33203125" style="88" customWidth="1"/>
    <col min="13" max="13" width="0.6640625" style="88" customWidth="1"/>
    <col min="14" max="14" width="3.44140625" style="88" customWidth="1"/>
    <col min="15" max="15" width="2.5546875" style="88" customWidth="1"/>
    <col min="16" max="17" width="1.5546875" style="88" customWidth="1"/>
    <col min="18" max="18" width="1.33203125" style="88" customWidth="1"/>
    <col min="19" max="19" width="2.33203125" style="88" customWidth="1"/>
    <col min="20" max="20" width="1.33203125" style="88" customWidth="1"/>
    <col min="21" max="21" width="1" style="88" customWidth="1"/>
    <col min="22" max="22" width="0.6640625" style="88" customWidth="1"/>
    <col min="23" max="23" width="3" style="88" customWidth="1"/>
    <col min="24" max="24" width="1.33203125" style="88" customWidth="1"/>
    <col min="25" max="25" width="1.44140625" style="88" customWidth="1"/>
    <col min="26" max="27" width="1.33203125" style="88" customWidth="1"/>
    <col min="28" max="28" width="2" style="88" customWidth="1"/>
    <col min="29" max="29" width="1" style="88" customWidth="1"/>
    <col min="30" max="31" width="1.6640625" style="88" customWidth="1"/>
    <col min="32" max="32" width="1.33203125" style="88" customWidth="1"/>
    <col min="33" max="33" width="1.6640625" style="88" customWidth="1"/>
    <col min="34" max="34" width="2.33203125" style="88" customWidth="1"/>
    <col min="35" max="35" width="1.44140625" style="88" customWidth="1"/>
    <col min="36" max="36" width="4" style="88" customWidth="1"/>
    <col min="37" max="37" width="9.33203125" style="88" customWidth="1"/>
    <col min="38" max="38" width="5.6640625" style="88" customWidth="1"/>
    <col min="39" max="39" width="179.33203125" style="101" customWidth="1"/>
    <col min="40" max="16384" width="9.33203125" style="60"/>
  </cols>
  <sheetData>
    <row r="1" spans="1:54" ht="28.9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105"/>
      <c r="AN2" s="70"/>
      <c r="AO2" s="70"/>
      <c r="AP2" s="70"/>
      <c r="AQ2" s="70"/>
      <c r="AR2" s="70"/>
      <c r="AS2" s="70"/>
      <c r="AT2" s="70"/>
      <c r="AU2" s="70"/>
      <c r="AV2" s="70"/>
      <c r="AW2" s="70"/>
      <c r="AX2" s="70"/>
      <c r="AY2" s="70"/>
      <c r="AZ2" s="70"/>
      <c r="BA2" s="70"/>
      <c r="BB2" s="70"/>
    </row>
    <row r="3" spans="1:54" x14ac:dyDescent="0.3">
      <c r="AM3" s="102" t="s">
        <v>160</v>
      </c>
    </row>
    <row r="4" spans="1:54" x14ac:dyDescent="0.3">
      <c r="A4" s="597"/>
      <c r="B4" s="513"/>
      <c r="C4" s="513"/>
      <c r="D4" s="513"/>
      <c r="E4" s="513"/>
      <c r="F4" s="513"/>
      <c r="G4" s="89"/>
      <c r="H4" s="514">
        <f ca="1">TODAY()</f>
        <v>46184</v>
      </c>
      <c r="I4" s="513"/>
      <c r="J4" s="513"/>
      <c r="K4" s="513"/>
      <c r="L4" s="513"/>
      <c r="N4"/>
      <c r="O4"/>
      <c r="P4"/>
      <c r="Q4"/>
      <c r="R4"/>
      <c r="S4"/>
      <c r="T4"/>
      <c r="U4"/>
      <c r="V4"/>
      <c r="W4"/>
      <c r="X4"/>
      <c r="Y4"/>
      <c r="Z4"/>
      <c r="AA4"/>
      <c r="AB4"/>
    </row>
    <row r="5" spans="1:54" ht="15" customHeight="1" x14ac:dyDescent="0.3">
      <c r="A5" s="515" t="s">
        <v>125</v>
      </c>
      <c r="B5" s="515"/>
      <c r="C5" s="515"/>
      <c r="D5" s="515"/>
      <c r="E5" s="515"/>
      <c r="F5" s="515"/>
      <c r="G5" s="151"/>
      <c r="H5" s="515" t="s">
        <v>124</v>
      </c>
      <c r="I5" s="515"/>
      <c r="J5" s="515"/>
      <c r="K5" s="515"/>
      <c r="L5" s="515"/>
      <c r="M5" s="148"/>
      <c r="N5"/>
      <c r="O5"/>
      <c r="P5"/>
      <c r="Q5"/>
      <c r="R5"/>
      <c r="S5"/>
      <c r="T5"/>
      <c r="U5"/>
      <c r="V5"/>
      <c r="W5"/>
      <c r="X5"/>
      <c r="Y5"/>
      <c r="Z5"/>
      <c r="AA5"/>
      <c r="AB5"/>
      <c r="AC5" s="148"/>
      <c r="AD5" s="148"/>
      <c r="AE5" s="148"/>
      <c r="AF5" s="148"/>
      <c r="AG5" s="148"/>
      <c r="AH5" s="148"/>
      <c r="AI5" s="148"/>
      <c r="AJ5" s="148"/>
      <c r="AK5" s="148"/>
      <c r="AL5" s="148"/>
    </row>
    <row r="6" spans="1:54" ht="15" customHeight="1" x14ac:dyDescent="0.3">
      <c r="A6" s="239"/>
      <c r="B6" s="239"/>
      <c r="C6" s="239"/>
      <c r="D6" s="239"/>
      <c r="E6" s="239"/>
      <c r="F6" s="239"/>
      <c r="G6" s="151"/>
      <c r="H6" s="239"/>
      <c r="I6" s="239"/>
      <c r="J6" s="239"/>
      <c r="K6" s="239"/>
      <c r="L6" s="239"/>
      <c r="M6" s="148"/>
      <c r="N6" s="241"/>
      <c r="O6" s="241"/>
      <c r="P6" s="241"/>
      <c r="Q6" s="241"/>
      <c r="R6" s="241"/>
      <c r="S6" s="241"/>
      <c r="T6" s="152"/>
      <c r="U6" s="239"/>
      <c r="V6" s="239"/>
      <c r="W6" s="239"/>
      <c r="X6" s="239"/>
      <c r="Y6" s="239"/>
      <c r="Z6" s="239"/>
      <c r="AA6" s="148"/>
      <c r="AB6" s="148"/>
      <c r="AC6" s="148"/>
      <c r="AD6" s="148"/>
      <c r="AE6" s="148"/>
      <c r="AF6" s="148"/>
      <c r="AG6" s="148"/>
      <c r="AH6" s="148"/>
      <c r="AI6" s="148"/>
      <c r="AJ6" s="148"/>
      <c r="AK6" s="148"/>
      <c r="AL6" s="148"/>
    </row>
    <row r="7" spans="1:54" ht="15"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ht="30.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994</v>
      </c>
    </row>
    <row r="9" spans="1:54" ht="111.4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53"/>
      <c r="B10" s="153"/>
      <c r="C10" s="153"/>
      <c r="D10" s="153"/>
      <c r="E10" s="153"/>
      <c r="F10" s="153"/>
      <c r="G10" s="151"/>
      <c r="H10" s="148"/>
      <c r="I10" s="148"/>
      <c r="J10" s="148"/>
      <c r="K10" s="148"/>
      <c r="L10" s="148"/>
      <c r="M10" s="148"/>
      <c r="N10" s="241"/>
      <c r="O10" s="241"/>
      <c r="P10" s="241"/>
      <c r="Q10" s="241"/>
      <c r="R10" s="241"/>
      <c r="S10" s="241"/>
      <c r="T10" s="152"/>
      <c r="U10" s="153"/>
      <c r="V10" s="153"/>
      <c r="W10" s="153"/>
      <c r="X10" s="153"/>
      <c r="Y10" s="153"/>
      <c r="Z10" s="153"/>
      <c r="AA10" s="148"/>
      <c r="AB10" s="148"/>
      <c r="AC10" s="148"/>
      <c r="AD10" s="148"/>
      <c r="AE10" s="148"/>
      <c r="AF10" s="148"/>
      <c r="AG10" s="148"/>
      <c r="AH10" s="148"/>
      <c r="AI10" s="148"/>
      <c r="AJ10" s="148"/>
      <c r="AK10" s="148"/>
      <c r="AL10" s="148"/>
    </row>
    <row r="11" spans="1:54" x14ac:dyDescent="0.3">
      <c r="A11" s="148"/>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row>
    <row r="12" spans="1:54" ht="14.7" customHeight="1" x14ac:dyDescent="0.25">
      <c r="A12" s="370" t="s">
        <v>106</v>
      </c>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row>
    <row r="13" spans="1:54" x14ac:dyDescent="0.25">
      <c r="A13" s="326" t="s">
        <v>107</v>
      </c>
      <c r="B13" s="326"/>
      <c r="C13" s="326"/>
      <c r="D13" s="326"/>
      <c r="E13" s="326"/>
      <c r="F13" s="326"/>
      <c r="G13" s="326"/>
      <c r="H13" s="326"/>
      <c r="I13" s="326"/>
      <c r="J13" s="326"/>
      <c r="K13" s="326"/>
      <c r="L13" s="326"/>
      <c r="M13" s="326"/>
      <c r="N13" s="326"/>
      <c r="O13" s="326"/>
      <c r="P13" s="326"/>
      <c r="Q13" s="326"/>
      <c r="R13" s="326"/>
      <c r="S13" s="326"/>
      <c r="T13" s="326"/>
      <c r="U13" s="326"/>
      <c r="V13" s="326"/>
      <c r="W13" s="326"/>
      <c r="X13" s="326"/>
      <c r="Y13" s="326"/>
      <c r="Z13" s="326"/>
      <c r="AA13" s="326"/>
      <c r="AB13" s="326"/>
      <c r="AC13" s="326"/>
      <c r="AD13" s="326"/>
      <c r="AE13" s="326"/>
      <c r="AF13" s="326"/>
      <c r="AG13" s="326"/>
      <c r="AH13" s="326"/>
      <c r="AI13" s="326"/>
      <c r="AJ13" s="326"/>
      <c r="AK13" s="326"/>
      <c r="AL13" s="326"/>
    </row>
    <row r="14" spans="1:54" ht="17.25" customHeight="1" x14ac:dyDescent="0.25">
      <c r="A14" s="371" t="s">
        <v>958</v>
      </c>
      <c r="B14" s="371"/>
      <c r="C14" s="371"/>
      <c r="D14" s="371"/>
      <c r="E14" s="371"/>
      <c r="F14" s="371"/>
      <c r="G14" s="371"/>
      <c r="H14" s="371"/>
      <c r="I14" s="371"/>
      <c r="J14" s="371"/>
      <c r="K14" s="371"/>
      <c r="L14" s="371"/>
      <c r="M14" s="371"/>
      <c r="N14" s="371"/>
      <c r="O14" s="371"/>
      <c r="P14" s="371"/>
      <c r="Q14" s="371"/>
      <c r="R14" s="371"/>
      <c r="S14" s="371"/>
      <c r="T14" s="371"/>
      <c r="U14" s="371"/>
      <c r="V14" s="371"/>
      <c r="W14" s="371"/>
      <c r="X14" s="371"/>
      <c r="Y14" s="371"/>
      <c r="Z14" s="371"/>
      <c r="AA14" s="371"/>
      <c r="AB14" s="371"/>
      <c r="AC14" s="371"/>
      <c r="AD14" s="371"/>
      <c r="AE14" s="371"/>
      <c r="AF14" s="371"/>
      <c r="AG14" s="371"/>
      <c r="AH14" s="371"/>
      <c r="AI14" s="371"/>
      <c r="AJ14" s="371"/>
      <c r="AK14" s="371"/>
      <c r="AL14" s="371"/>
    </row>
    <row r="15" spans="1:54" x14ac:dyDescent="0.3">
      <c r="A15" s="148"/>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row>
    <row r="16" spans="1:54" x14ac:dyDescent="0.3">
      <c r="A16" s="372" t="s">
        <v>71</v>
      </c>
      <c r="B16" s="372"/>
      <c r="C16" s="372"/>
      <c r="D16" s="372"/>
      <c r="E16" s="372"/>
      <c r="F16" s="372"/>
      <c r="G16" s="372"/>
      <c r="H16" s="372"/>
      <c r="I16" s="372"/>
      <c r="J16" s="372"/>
      <c r="K16" s="372"/>
      <c r="L16" s="372"/>
      <c r="M16" s="372"/>
      <c r="N16" s="372"/>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148"/>
    </row>
    <row r="17" spans="1:39" x14ac:dyDescent="0.25">
      <c r="A17" s="326" t="s">
        <v>1</v>
      </c>
      <c r="B17" s="373" t="s">
        <v>63</v>
      </c>
      <c r="C17" s="373"/>
      <c r="D17" s="373"/>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row>
    <row r="18" spans="1:39" x14ac:dyDescent="0.25">
      <c r="A18" s="326"/>
      <c r="B18" s="443"/>
      <c r="C18" s="443"/>
      <c r="D18" s="443"/>
      <c r="E18" s="443"/>
      <c r="F18" s="443"/>
      <c r="G18" s="443"/>
      <c r="H18" s="443"/>
      <c r="I18" s="443"/>
      <c r="J18" s="443"/>
      <c r="K18" s="443"/>
      <c r="L18" s="443"/>
      <c r="M18" s="443"/>
      <c r="N18" s="443"/>
      <c r="O18" s="443"/>
      <c r="P18" s="443"/>
      <c r="Q18" s="443"/>
      <c r="R18" s="443"/>
      <c r="S18" s="443"/>
      <c r="T18" s="443"/>
      <c r="U18" s="443"/>
      <c r="V18" s="443"/>
      <c r="W18" s="443"/>
      <c r="X18" s="443"/>
      <c r="Y18" s="443"/>
      <c r="Z18" s="443"/>
      <c r="AA18" s="443"/>
      <c r="AB18" s="443"/>
      <c r="AC18" s="443"/>
      <c r="AD18" s="443"/>
      <c r="AE18" s="443"/>
      <c r="AF18" s="443"/>
      <c r="AG18" s="443"/>
      <c r="AH18" s="443"/>
      <c r="AI18" s="443"/>
      <c r="AJ18" s="443"/>
      <c r="AK18" s="443"/>
      <c r="AL18" s="443"/>
    </row>
    <row r="19" spans="1:39" x14ac:dyDescent="0.3">
      <c r="A19" s="326" t="s">
        <v>4</v>
      </c>
      <c r="B19" s="344" t="s">
        <v>64</v>
      </c>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c r="AJ19" s="344"/>
      <c r="AK19" s="344"/>
      <c r="AL19" s="344"/>
      <c r="AM19" s="100" t="s">
        <v>969</v>
      </c>
    </row>
    <row r="20" spans="1:39" x14ac:dyDescent="0.25">
      <c r="A20" s="326"/>
      <c r="B20" s="591"/>
      <c r="C20" s="592"/>
      <c r="D20" s="592"/>
      <c r="E20" s="592"/>
      <c r="F20" s="592"/>
      <c r="G20" s="592"/>
      <c r="H20" s="592"/>
      <c r="I20" s="592"/>
      <c r="J20" s="592"/>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2"/>
      <c r="AJ20" s="592"/>
      <c r="AK20" s="592"/>
      <c r="AL20" s="592"/>
    </row>
    <row r="21" spans="1:39" ht="25.95" customHeight="1" x14ac:dyDescent="0.3">
      <c r="A21" s="326" t="s">
        <v>6</v>
      </c>
      <c r="B21" s="465" t="s">
        <v>986</v>
      </c>
      <c r="C21" s="465"/>
      <c r="D21" s="465"/>
      <c r="E21" s="465"/>
      <c r="F21" s="465"/>
      <c r="G21" s="465"/>
      <c r="H21" s="465"/>
      <c r="I21" s="465"/>
      <c r="J21" s="465"/>
      <c r="K21" s="465"/>
      <c r="L21" s="465"/>
      <c r="M21" s="465"/>
      <c r="N21" s="465"/>
      <c r="O21" s="465"/>
      <c r="P21" s="465"/>
      <c r="Q21" s="465"/>
      <c r="R21" s="465"/>
      <c r="S21" s="465"/>
      <c r="T21" s="465"/>
      <c r="U21" s="465"/>
      <c r="V21" s="465"/>
      <c r="W21" s="465"/>
      <c r="X21" s="465"/>
      <c r="Y21" s="465"/>
      <c r="Z21" s="465"/>
      <c r="AA21" s="465"/>
      <c r="AB21" s="465"/>
      <c r="AC21" s="465"/>
      <c r="AD21" s="465"/>
      <c r="AE21" s="465"/>
      <c r="AF21" s="465"/>
      <c r="AG21" s="465"/>
      <c r="AH21" s="465"/>
      <c r="AI21" s="465"/>
      <c r="AJ21" s="465"/>
      <c r="AK21" s="465"/>
      <c r="AL21" s="465"/>
      <c r="AM21" s="100" t="s">
        <v>959</v>
      </c>
    </row>
    <row r="22" spans="1:39" x14ac:dyDescent="0.25">
      <c r="A22" s="326"/>
      <c r="B22" s="339"/>
      <c r="C22" s="339"/>
      <c r="D22" s="339"/>
      <c r="E22" s="339"/>
      <c r="F22" s="339"/>
      <c r="G22" s="339"/>
      <c r="H22" s="339"/>
      <c r="I22" s="339"/>
      <c r="J22" s="339"/>
      <c r="K22" s="339"/>
      <c r="L22" s="339"/>
      <c r="M22" s="339"/>
      <c r="N22" s="339"/>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row>
    <row r="23" spans="1:39" ht="52.95" customHeight="1" x14ac:dyDescent="0.3">
      <c r="A23" s="326"/>
      <c r="B23" s="309" t="s">
        <v>1067</v>
      </c>
      <c r="C23" s="309"/>
      <c r="D23" s="309"/>
      <c r="E23" s="309"/>
      <c r="F23" s="309"/>
      <c r="G23" s="309"/>
      <c r="H23" s="309"/>
      <c r="I23" s="309"/>
      <c r="J23" s="309"/>
      <c r="K23" s="309"/>
      <c r="L23" s="309"/>
      <c r="M23" s="309"/>
      <c r="N23" s="309"/>
      <c r="O23" s="309"/>
      <c r="P23" s="309"/>
      <c r="Q23" s="309"/>
      <c r="R23" s="309"/>
      <c r="S23" s="309"/>
      <c r="T23" s="309"/>
      <c r="U23" s="309"/>
      <c r="V23" s="309"/>
      <c r="W23" s="309"/>
      <c r="X23" s="309"/>
      <c r="Y23" s="309"/>
      <c r="Z23" s="309"/>
      <c r="AA23" s="309"/>
      <c r="AB23" s="309"/>
      <c r="AC23" s="309"/>
      <c r="AD23" s="309"/>
      <c r="AE23" s="309"/>
      <c r="AF23" s="309"/>
      <c r="AG23" s="309"/>
      <c r="AH23" s="309"/>
      <c r="AI23" s="309"/>
      <c r="AJ23" s="309"/>
      <c r="AK23" s="309"/>
      <c r="AL23" s="309"/>
      <c r="AM23" s="242" t="s">
        <v>967</v>
      </c>
    </row>
    <row r="24" spans="1:39" x14ac:dyDescent="0.25">
      <c r="A24" s="326"/>
      <c r="B24" s="310"/>
      <c r="C24" s="310"/>
      <c r="D24" s="310"/>
      <c r="E24" s="310"/>
      <c r="F24" s="310"/>
      <c r="G24" s="310"/>
      <c r="H24" s="310"/>
      <c r="I24" s="310"/>
      <c r="J24" s="310"/>
      <c r="K24" s="310"/>
      <c r="L24" s="310"/>
      <c r="M24" s="310"/>
      <c r="N24" s="310"/>
      <c r="O24" s="310"/>
      <c r="P24" s="310"/>
      <c r="Q24" s="310"/>
      <c r="R24" s="310"/>
      <c r="S24" s="310"/>
      <c r="T24" s="310"/>
      <c r="U24" s="310"/>
      <c r="V24" s="310"/>
      <c r="W24" s="310"/>
      <c r="X24" s="310"/>
      <c r="Y24" s="310"/>
      <c r="Z24" s="310"/>
      <c r="AA24" s="310"/>
      <c r="AB24" s="310"/>
      <c r="AC24" s="310"/>
      <c r="AD24" s="310"/>
      <c r="AE24" s="310"/>
      <c r="AF24" s="310"/>
      <c r="AG24" s="310"/>
      <c r="AH24" s="310"/>
      <c r="AI24" s="310"/>
      <c r="AJ24" s="310"/>
      <c r="AK24" s="310"/>
      <c r="AL24" s="310"/>
    </row>
    <row r="25" spans="1:39" x14ac:dyDescent="0.3">
      <c r="A25" s="337" t="s">
        <v>7</v>
      </c>
      <c r="B25" s="344" t="s">
        <v>65</v>
      </c>
      <c r="C25" s="344"/>
      <c r="D25" s="344"/>
      <c r="E25" s="344"/>
      <c r="F25" s="344"/>
      <c r="G25" s="344"/>
      <c r="H25" s="344"/>
      <c r="I25" s="344"/>
      <c r="J25" s="344"/>
      <c r="K25" s="344"/>
      <c r="L25" s="344"/>
      <c r="M25" s="344"/>
      <c r="N25" s="344"/>
      <c r="O25" s="344"/>
      <c r="P25" s="344"/>
      <c r="Q25" s="344"/>
      <c r="R25" s="344"/>
      <c r="S25" s="344"/>
      <c r="T25" s="344"/>
      <c r="U25" s="344"/>
      <c r="V25" s="344"/>
      <c r="W25" s="349" t="s">
        <v>224</v>
      </c>
      <c r="X25" s="344"/>
      <c r="Y25" s="344"/>
      <c r="Z25" s="344"/>
      <c r="AA25" s="344"/>
      <c r="AB25" s="344"/>
      <c r="AC25" s="344"/>
      <c r="AD25" s="344"/>
      <c r="AE25" s="344"/>
      <c r="AF25" s="344"/>
      <c r="AG25" s="344"/>
      <c r="AH25" s="344"/>
      <c r="AI25" s="344"/>
      <c r="AJ25" s="344"/>
      <c r="AK25" s="344"/>
      <c r="AL25" s="344"/>
      <c r="AM25" s="100" t="s">
        <v>968</v>
      </c>
    </row>
    <row r="26" spans="1:39" x14ac:dyDescent="0.3">
      <c r="A26" s="326"/>
      <c r="B26" s="600"/>
      <c r="C26" s="600"/>
      <c r="D26" s="600"/>
      <c r="E26" s="600"/>
      <c r="F26" s="600"/>
      <c r="G26" s="600"/>
      <c r="H26" s="600"/>
      <c r="I26" s="600"/>
      <c r="J26" s="600"/>
      <c r="K26" s="600"/>
      <c r="L26" s="600"/>
      <c r="M26" s="600"/>
      <c r="N26" s="600"/>
      <c r="O26" s="600"/>
      <c r="P26" s="600"/>
      <c r="Q26" s="600"/>
      <c r="R26" s="600"/>
      <c r="S26" s="600"/>
      <c r="T26" s="600"/>
      <c r="U26" s="600"/>
      <c r="V26" s="600"/>
      <c r="W26" s="352"/>
      <c r="X26" s="352"/>
      <c r="Y26" s="352"/>
      <c r="Z26" s="352"/>
      <c r="AA26" s="352"/>
      <c r="AB26" s="352"/>
      <c r="AC26" s="352"/>
      <c r="AD26" s="352"/>
      <c r="AE26" s="352"/>
      <c r="AF26" s="352"/>
      <c r="AG26" s="352"/>
      <c r="AH26" s="352"/>
      <c r="AI26" s="352"/>
      <c r="AJ26" s="352"/>
      <c r="AK26" s="352"/>
      <c r="AL26" s="352"/>
    </row>
    <row r="27" spans="1:39" x14ac:dyDescent="0.25">
      <c r="A27" s="337" t="s">
        <v>9</v>
      </c>
      <c r="B27" s="344" t="s">
        <v>66</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row>
    <row r="28" spans="1:39" x14ac:dyDescent="0.25">
      <c r="A28" s="326"/>
      <c r="B28" s="344" t="s">
        <v>170</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606"/>
    </row>
    <row r="29" spans="1:39" x14ac:dyDescent="0.25">
      <c r="A29" s="326"/>
      <c r="B29" s="593"/>
      <c r="C29" s="594"/>
      <c r="D29" s="594"/>
      <c r="E29" s="594"/>
      <c r="F29" s="594"/>
      <c r="G29" s="594"/>
      <c r="H29" s="594"/>
      <c r="I29" s="594"/>
      <c r="J29" s="594"/>
      <c r="K29" s="594"/>
      <c r="L29" s="594"/>
      <c r="M29" s="594"/>
      <c r="N29" s="594"/>
      <c r="O29" s="594"/>
      <c r="P29" s="594"/>
      <c r="Q29" s="594"/>
      <c r="R29" s="594"/>
      <c r="S29" s="594"/>
      <c r="T29" s="594"/>
      <c r="U29" s="594"/>
      <c r="V29" s="594"/>
      <c r="W29" s="594"/>
      <c r="X29" s="594"/>
      <c r="Y29" s="594"/>
      <c r="Z29" s="594"/>
      <c r="AA29" s="594"/>
      <c r="AB29" s="594"/>
      <c r="AC29" s="594"/>
      <c r="AD29" s="594"/>
      <c r="AE29" s="594"/>
      <c r="AF29" s="594"/>
      <c r="AG29" s="594"/>
      <c r="AH29" s="594"/>
      <c r="AI29" s="594"/>
      <c r="AJ29" s="594"/>
      <c r="AK29" s="594"/>
      <c r="AL29" s="595"/>
    </row>
    <row r="30" spans="1:39" x14ac:dyDescent="0.25">
      <c r="A30" s="326"/>
      <c r="B30" s="587" t="s">
        <v>211</v>
      </c>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9"/>
    </row>
    <row r="31" spans="1:39" x14ac:dyDescent="0.25">
      <c r="A31" s="326"/>
      <c r="B31" s="593"/>
      <c r="C31" s="594"/>
      <c r="D31" s="594"/>
      <c r="E31" s="594"/>
      <c r="F31" s="594"/>
      <c r="G31" s="594"/>
      <c r="H31" s="594"/>
      <c r="I31" s="594"/>
      <c r="J31" s="594"/>
      <c r="K31" s="594"/>
      <c r="L31" s="594"/>
      <c r="M31" s="594"/>
      <c r="N31" s="594"/>
      <c r="O31" s="594"/>
      <c r="P31" s="594"/>
      <c r="Q31" s="594"/>
      <c r="R31" s="594"/>
      <c r="S31" s="594"/>
      <c r="T31" s="594"/>
      <c r="U31" s="594"/>
      <c r="V31" s="594"/>
      <c r="W31" s="594"/>
      <c r="X31" s="594"/>
      <c r="Y31" s="594"/>
      <c r="Z31" s="594"/>
      <c r="AA31" s="594"/>
      <c r="AB31" s="594"/>
      <c r="AC31" s="594"/>
      <c r="AD31" s="594"/>
      <c r="AE31" s="594"/>
      <c r="AF31" s="594"/>
      <c r="AG31" s="594"/>
      <c r="AH31" s="594"/>
      <c r="AI31" s="594"/>
      <c r="AJ31" s="594"/>
      <c r="AK31" s="594"/>
      <c r="AL31" s="595"/>
    </row>
    <row r="32" spans="1:39" x14ac:dyDescent="0.25">
      <c r="A32" s="326"/>
      <c r="B32" s="588" t="s">
        <v>171</v>
      </c>
      <c r="C32" s="588"/>
      <c r="D32" s="588"/>
      <c r="E32" s="588"/>
      <c r="F32" s="588"/>
      <c r="G32" s="588"/>
      <c r="H32" s="588"/>
      <c r="I32" s="588"/>
      <c r="J32" s="588"/>
      <c r="K32" s="588"/>
      <c r="L32" s="588"/>
      <c r="M32" s="588"/>
      <c r="N32" s="588"/>
      <c r="O32" s="588"/>
      <c r="P32" s="588"/>
      <c r="Q32" s="588"/>
      <c r="R32" s="588"/>
      <c r="S32" s="588"/>
      <c r="T32" s="588"/>
      <c r="U32" s="588"/>
      <c r="V32" s="588"/>
      <c r="W32" s="588"/>
      <c r="X32" s="588"/>
      <c r="Y32" s="588"/>
      <c r="Z32" s="588"/>
      <c r="AA32" s="588"/>
      <c r="AB32" s="588"/>
      <c r="AC32" s="588"/>
      <c r="AD32" s="588"/>
      <c r="AE32" s="588"/>
      <c r="AF32" s="588"/>
      <c r="AG32" s="588"/>
      <c r="AH32" s="588"/>
      <c r="AI32" s="588"/>
      <c r="AJ32" s="588"/>
      <c r="AK32" s="588"/>
      <c r="AL32" s="589"/>
    </row>
    <row r="33" spans="1:39" x14ac:dyDescent="0.25">
      <c r="A33" s="326"/>
      <c r="B33" s="593"/>
      <c r="C33" s="594"/>
      <c r="D33" s="594"/>
      <c r="E33" s="594"/>
      <c r="F33" s="594"/>
      <c r="G33" s="594"/>
      <c r="H33" s="594"/>
      <c r="I33" s="594"/>
      <c r="J33" s="594"/>
      <c r="K33" s="594"/>
      <c r="L33" s="594"/>
      <c r="M33" s="594"/>
      <c r="N33" s="594"/>
      <c r="O33" s="594"/>
      <c r="P33" s="594"/>
      <c r="Q33" s="594"/>
      <c r="R33" s="594"/>
      <c r="S33" s="594"/>
      <c r="T33" s="594"/>
      <c r="U33" s="594"/>
      <c r="V33" s="594"/>
      <c r="W33" s="594"/>
      <c r="X33" s="594"/>
      <c r="Y33" s="594"/>
      <c r="Z33" s="594"/>
      <c r="AA33" s="594"/>
      <c r="AB33" s="594"/>
      <c r="AC33" s="594"/>
      <c r="AD33" s="594"/>
      <c r="AE33" s="594"/>
      <c r="AF33" s="594"/>
      <c r="AG33" s="594"/>
      <c r="AH33" s="594"/>
      <c r="AI33" s="594"/>
      <c r="AJ33" s="594"/>
      <c r="AK33" s="594"/>
      <c r="AL33" s="595"/>
      <c r="AM33" s="101" t="s">
        <v>174</v>
      </c>
    </row>
    <row r="34" spans="1:39" x14ac:dyDescent="0.25">
      <c r="A34" s="326"/>
      <c r="B34" s="587" t="s">
        <v>212</v>
      </c>
      <c r="C34" s="588"/>
      <c r="D34" s="588"/>
      <c r="E34" s="588"/>
      <c r="F34" s="588"/>
      <c r="G34" s="588"/>
      <c r="H34" s="588"/>
      <c r="I34" s="588"/>
      <c r="J34" s="588"/>
      <c r="K34" s="588"/>
      <c r="L34" s="588"/>
      <c r="M34" s="588"/>
      <c r="N34" s="588"/>
      <c r="O34" s="588"/>
      <c r="P34" s="588"/>
      <c r="Q34" s="588"/>
      <c r="R34" s="588"/>
      <c r="S34" s="588"/>
      <c r="T34" s="588"/>
      <c r="U34" s="588"/>
      <c r="V34" s="588"/>
      <c r="W34" s="588"/>
      <c r="X34" s="588"/>
      <c r="Y34" s="588"/>
      <c r="Z34" s="588"/>
      <c r="AA34" s="588"/>
      <c r="AB34" s="588"/>
      <c r="AC34" s="588"/>
      <c r="AD34" s="588"/>
      <c r="AE34" s="588"/>
      <c r="AF34" s="588"/>
      <c r="AG34" s="588"/>
      <c r="AH34" s="588"/>
      <c r="AI34" s="588"/>
      <c r="AJ34" s="588"/>
      <c r="AK34" s="588"/>
      <c r="AL34" s="588"/>
    </row>
    <row r="35" spans="1:39" x14ac:dyDescent="0.25">
      <c r="A35" s="326"/>
      <c r="B35" s="593"/>
      <c r="C35" s="594"/>
      <c r="D35" s="594"/>
      <c r="E35" s="594"/>
      <c r="F35" s="594"/>
      <c r="G35" s="594"/>
      <c r="H35" s="594"/>
      <c r="I35" s="594"/>
      <c r="J35" s="594"/>
      <c r="K35" s="594"/>
      <c r="L35" s="594"/>
      <c r="M35" s="594"/>
      <c r="N35" s="594"/>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5"/>
      <c r="AM35" s="101" t="s">
        <v>174</v>
      </c>
    </row>
    <row r="36" spans="1:39" ht="14.7" customHeight="1" x14ac:dyDescent="0.25">
      <c r="A36" s="337" t="s">
        <v>882</v>
      </c>
      <c r="B36" s="614" t="s">
        <v>676</v>
      </c>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c r="AA36" s="289"/>
      <c r="AB36" s="289"/>
      <c r="AC36" s="289"/>
      <c r="AD36" s="289"/>
      <c r="AE36" s="289"/>
      <c r="AF36" s="289"/>
      <c r="AG36" s="289"/>
      <c r="AH36" s="289"/>
      <c r="AI36" s="289"/>
      <c r="AJ36" s="289"/>
      <c r="AK36" s="289"/>
      <c r="AL36" s="289"/>
    </row>
    <row r="37" spans="1:39" x14ac:dyDescent="0.25">
      <c r="A37" s="326"/>
      <c r="B37" s="615"/>
      <c r="C37" s="616"/>
      <c r="D37" s="616"/>
      <c r="E37" s="616"/>
      <c r="F37" s="616"/>
      <c r="G37" s="616"/>
      <c r="H37" s="616"/>
      <c r="I37" s="616"/>
      <c r="J37" s="616"/>
      <c r="K37" s="616"/>
      <c r="L37" s="616"/>
      <c r="M37" s="616"/>
      <c r="N37" s="616"/>
      <c r="O37" s="616"/>
      <c r="P37" s="616"/>
      <c r="Q37" s="616"/>
      <c r="R37" s="616"/>
      <c r="S37" s="616"/>
      <c r="T37" s="616"/>
      <c r="U37" s="616"/>
      <c r="V37" s="616"/>
      <c r="W37" s="616"/>
      <c r="X37" s="616"/>
      <c r="Y37" s="616"/>
      <c r="Z37" s="616"/>
      <c r="AA37" s="616"/>
      <c r="AB37" s="616"/>
      <c r="AC37" s="616"/>
      <c r="AD37" s="616"/>
      <c r="AE37" s="616"/>
      <c r="AF37" s="616"/>
      <c r="AG37" s="616"/>
      <c r="AH37" s="616"/>
      <c r="AI37" s="616"/>
      <c r="AJ37" s="616"/>
      <c r="AK37" s="616"/>
      <c r="AL37" s="616"/>
    </row>
    <row r="38" spans="1:39" ht="58.5" customHeight="1" x14ac:dyDescent="0.25">
      <c r="A38" s="326"/>
      <c r="B38" s="599" t="s">
        <v>677</v>
      </c>
      <c r="C38" s="601"/>
      <c r="D38" s="601"/>
      <c r="E38" s="601"/>
      <c r="F38" s="601"/>
      <c r="G38" s="601"/>
      <c r="H38" s="601"/>
      <c r="I38" s="601"/>
      <c r="J38" s="601"/>
      <c r="K38" s="601"/>
      <c r="L38" s="601"/>
      <c r="M38" s="601"/>
      <c r="N38" s="601"/>
      <c r="O38" s="601"/>
      <c r="P38" s="601"/>
      <c r="Q38" s="601"/>
      <c r="R38" s="601"/>
      <c r="S38" s="601"/>
      <c r="T38" s="601"/>
      <c r="U38" s="601"/>
      <c r="V38" s="601"/>
      <c r="W38" s="601"/>
      <c r="X38" s="601"/>
      <c r="Y38" s="602" t="s">
        <v>1068</v>
      </c>
      <c r="Z38" s="603"/>
      <c r="AA38" s="603"/>
      <c r="AB38" s="603"/>
      <c r="AC38" s="603"/>
      <c r="AD38" s="603"/>
      <c r="AE38" s="603"/>
      <c r="AF38" s="603"/>
      <c r="AG38" s="603"/>
      <c r="AH38" s="603"/>
      <c r="AI38" s="603"/>
      <c r="AJ38" s="603"/>
      <c r="AK38" s="603"/>
      <c r="AL38" s="603"/>
    </row>
    <row r="39" spans="1:39" x14ac:dyDescent="0.25">
      <c r="A39" s="326"/>
      <c r="B39" s="604"/>
      <c r="C39" s="605"/>
      <c r="D39" s="605"/>
      <c r="E39" s="605"/>
      <c r="F39" s="605"/>
      <c r="G39" s="605"/>
      <c r="H39" s="605"/>
      <c r="I39" s="605"/>
      <c r="J39" s="605"/>
      <c r="K39" s="605"/>
      <c r="L39" s="605"/>
      <c r="M39" s="605"/>
      <c r="N39" s="605"/>
      <c r="O39" s="605"/>
      <c r="P39" s="605"/>
      <c r="Q39" s="605"/>
      <c r="R39" s="605"/>
      <c r="S39" s="605"/>
      <c r="T39" s="605"/>
      <c r="U39" s="605"/>
      <c r="V39" s="605"/>
      <c r="W39" s="605"/>
      <c r="X39" s="605"/>
      <c r="Y39" s="598"/>
      <c r="Z39" s="598"/>
      <c r="AA39" s="598"/>
      <c r="AB39" s="598"/>
      <c r="AC39" s="598"/>
      <c r="AD39" s="598"/>
      <c r="AE39" s="598"/>
      <c r="AF39" s="598"/>
      <c r="AG39" s="598"/>
      <c r="AH39" s="598"/>
      <c r="AI39" s="598"/>
      <c r="AJ39" s="598"/>
      <c r="AK39" s="598"/>
      <c r="AL39" s="598"/>
    </row>
    <row r="40" spans="1:39" x14ac:dyDescent="0.25">
      <c r="A40" s="326"/>
      <c r="B40" s="599" t="s">
        <v>678</v>
      </c>
      <c r="C40" s="344"/>
      <c r="D40" s="344"/>
      <c r="E40" s="344"/>
      <c r="F40" s="344"/>
      <c r="G40" s="344"/>
      <c r="H40" s="344"/>
      <c r="I40" s="344"/>
      <c r="J40" s="344"/>
      <c r="K40" s="344"/>
      <c r="L40" s="344"/>
      <c r="M40" s="344"/>
      <c r="N40" s="344"/>
      <c r="O40" s="344"/>
      <c r="P40" s="344"/>
      <c r="Q40" s="344"/>
      <c r="R40" s="344"/>
      <c r="S40" s="344"/>
      <c r="T40" s="344"/>
      <c r="U40" s="344"/>
      <c r="V40" s="344"/>
      <c r="W40" s="599" t="s">
        <v>679</v>
      </c>
      <c r="X40" s="344"/>
      <c r="Y40" s="344"/>
      <c r="Z40" s="344"/>
      <c r="AA40" s="344"/>
      <c r="AB40" s="344"/>
      <c r="AC40" s="344"/>
      <c r="AD40" s="344"/>
      <c r="AE40" s="344"/>
      <c r="AF40" s="344"/>
      <c r="AG40" s="344"/>
      <c r="AH40" s="344"/>
      <c r="AI40" s="344"/>
      <c r="AJ40" s="344"/>
      <c r="AK40" s="344"/>
      <c r="AL40" s="344"/>
    </row>
    <row r="41" spans="1:39" x14ac:dyDescent="0.3">
      <c r="A41" s="326"/>
      <c r="B41" s="350"/>
      <c r="C41" s="350"/>
      <c r="D41" s="350"/>
      <c r="E41" s="350"/>
      <c r="F41" s="350"/>
      <c r="G41" s="350"/>
      <c r="H41" s="350"/>
      <c r="I41" s="350"/>
      <c r="J41" s="350"/>
      <c r="K41" s="350"/>
      <c r="L41" s="350"/>
      <c r="M41" s="350"/>
      <c r="N41" s="350"/>
      <c r="O41" s="350"/>
      <c r="P41" s="350"/>
      <c r="Q41" s="350"/>
      <c r="R41" s="350"/>
      <c r="S41" s="350"/>
      <c r="T41" s="350"/>
      <c r="U41" s="350"/>
      <c r="V41" s="350"/>
      <c r="W41" s="327"/>
      <c r="X41" s="327"/>
      <c r="Y41" s="327"/>
      <c r="Z41" s="327"/>
      <c r="AA41" s="327"/>
      <c r="AB41" s="327"/>
      <c r="AC41" s="327"/>
      <c r="AD41" s="327"/>
      <c r="AE41" s="327"/>
      <c r="AF41" s="327"/>
      <c r="AG41" s="327"/>
      <c r="AH41" s="327"/>
      <c r="AI41" s="327"/>
      <c r="AJ41" s="327"/>
      <c r="AK41" s="327"/>
      <c r="AL41" s="327"/>
    </row>
    <row r="42" spans="1:39" x14ac:dyDescent="0.3">
      <c r="A42" s="326"/>
      <c r="B42" s="338" t="s">
        <v>680</v>
      </c>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100" t="s">
        <v>971</v>
      </c>
    </row>
    <row r="43" spans="1:39" x14ac:dyDescent="0.3">
      <c r="A43" s="326"/>
      <c r="B43" s="327"/>
      <c r="C43" s="327"/>
      <c r="D43" s="327"/>
      <c r="E43" s="327"/>
      <c r="F43" s="327"/>
      <c r="G43" s="327"/>
      <c r="H43" s="327"/>
      <c r="I43" s="327"/>
      <c r="J43" s="327"/>
      <c r="K43" s="327"/>
      <c r="L43" s="327"/>
      <c r="M43" s="327"/>
      <c r="N43" s="327"/>
      <c r="O43" s="327"/>
      <c r="P43" s="327"/>
      <c r="Q43" s="327"/>
      <c r="R43" s="327"/>
      <c r="S43" s="327"/>
      <c r="T43" s="327"/>
      <c r="U43" s="327"/>
      <c r="V43" s="327"/>
      <c r="W43" s="327"/>
      <c r="X43" s="327"/>
      <c r="Y43" s="327"/>
      <c r="Z43" s="327"/>
      <c r="AA43" s="327"/>
      <c r="AB43" s="327"/>
      <c r="AC43" s="327"/>
      <c r="AD43" s="327"/>
      <c r="AE43" s="327"/>
      <c r="AF43" s="327"/>
      <c r="AG43" s="327"/>
      <c r="AH43" s="327"/>
      <c r="AI43" s="327"/>
      <c r="AJ43" s="327"/>
      <c r="AK43" s="327"/>
      <c r="AL43" s="327"/>
    </row>
    <row r="44" spans="1:39" ht="45" customHeight="1" x14ac:dyDescent="0.25">
      <c r="A44" s="337" t="s">
        <v>640</v>
      </c>
      <c r="B44" s="342" t="s">
        <v>754</v>
      </c>
      <c r="C44" s="342"/>
      <c r="D44" s="342"/>
      <c r="E44" s="342"/>
      <c r="F44" s="342"/>
      <c r="G44" s="342"/>
      <c r="H44" s="342"/>
      <c r="I44" s="342"/>
      <c r="J44" s="342"/>
      <c r="K44" s="342"/>
      <c r="L44" s="342"/>
      <c r="M44" s="342"/>
      <c r="N44" s="342"/>
      <c r="O44" s="342"/>
      <c r="P44" s="342"/>
      <c r="Q44" s="342"/>
      <c r="R44" s="342"/>
      <c r="S44" s="342"/>
      <c r="T44" s="342"/>
      <c r="U44" s="342"/>
      <c r="V44" s="342"/>
      <c r="W44" s="342"/>
      <c r="X44" s="342"/>
      <c r="Y44" s="342"/>
      <c r="Z44" s="342"/>
      <c r="AA44" s="342"/>
      <c r="AB44" s="342"/>
      <c r="AC44" s="342"/>
      <c r="AD44" s="342"/>
      <c r="AE44" s="342"/>
      <c r="AF44" s="342"/>
      <c r="AG44" s="342"/>
      <c r="AH44" s="342"/>
      <c r="AI44" s="342"/>
      <c r="AJ44" s="342"/>
      <c r="AK44" s="342"/>
      <c r="AL44" s="342"/>
    </row>
    <row r="45" spans="1:39" x14ac:dyDescent="0.3">
      <c r="A45" s="326"/>
      <c r="B45" s="352"/>
      <c r="C45" s="352"/>
      <c r="D45" s="352"/>
      <c r="E45" s="352"/>
      <c r="F45" s="352"/>
      <c r="G45" s="352"/>
      <c r="H45" s="352"/>
      <c r="I45" s="352"/>
      <c r="J45" s="352"/>
      <c r="K45" s="352"/>
      <c r="L45" s="352"/>
      <c r="M45" s="352"/>
      <c r="N45" s="352"/>
      <c r="O45" s="352"/>
      <c r="P45" s="352"/>
      <c r="Q45" s="352"/>
      <c r="R45" s="352"/>
      <c r="S45" s="352"/>
      <c r="T45" s="348" t="str" cm="1">
        <f t="array" ref="T45">LEFT(B45,2)&amp;" "&amp;_xlfn.TEXTJOIN(" ",,MID(B45,{3,7,11,15,19,23},4))</f>
        <v xml:space="preserve"> </v>
      </c>
      <c r="U45" s="348"/>
      <c r="V45" s="348"/>
      <c r="W45" s="348"/>
      <c r="X45" s="348"/>
      <c r="Y45" s="348"/>
      <c r="Z45" s="348"/>
      <c r="AA45" s="348"/>
      <c r="AB45" s="348"/>
      <c r="AC45" s="348"/>
      <c r="AD45" s="348"/>
      <c r="AE45" s="348"/>
      <c r="AF45" s="348"/>
      <c r="AG45" s="348"/>
      <c r="AH45" s="348"/>
      <c r="AI45" s="348"/>
      <c r="AJ45" s="348"/>
      <c r="AK45" s="348"/>
      <c r="AL45" s="348"/>
    </row>
    <row r="46" spans="1:39" x14ac:dyDescent="0.25">
      <c r="A46" s="149" t="s">
        <v>67</v>
      </c>
      <c r="B46" s="351" t="s">
        <v>68</v>
      </c>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c r="AA46" s="351"/>
      <c r="AB46" s="351"/>
      <c r="AC46" s="351"/>
      <c r="AD46" s="351"/>
      <c r="AE46" s="351"/>
      <c r="AF46" s="351"/>
      <c r="AG46" s="351"/>
      <c r="AH46" s="351"/>
      <c r="AI46" s="351"/>
      <c r="AJ46" s="351"/>
      <c r="AK46" s="351"/>
      <c r="AL46" s="351"/>
    </row>
    <row r="47" spans="1:39" x14ac:dyDescent="0.25">
      <c r="A47" s="326" t="s">
        <v>1</v>
      </c>
      <c r="B47" s="344" t="s">
        <v>85</v>
      </c>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344"/>
      <c r="AH47" s="344"/>
      <c r="AI47" s="344"/>
      <c r="AJ47" s="344"/>
      <c r="AK47" s="344"/>
      <c r="AL47" s="344"/>
    </row>
    <row r="48" spans="1:39" x14ac:dyDescent="0.3">
      <c r="A48" s="326"/>
      <c r="B48" s="612" t="e">
        <f>IF(T166+Z59&gt;ROUNDDOWN(45%*AK160,2),ROUNDDOWN(45%*AK160-Z59,2),T166)</f>
        <v>#DIV/0!</v>
      </c>
      <c r="C48" s="613"/>
      <c r="D48" s="613"/>
      <c r="E48" s="613"/>
      <c r="F48" s="613"/>
      <c r="G48" s="613"/>
      <c r="H48" s="613"/>
      <c r="I48" s="613"/>
      <c r="J48" s="613"/>
      <c r="K48" s="613"/>
      <c r="L48" s="613"/>
      <c r="M48" s="613"/>
      <c r="N48" s="613"/>
      <c r="O48" s="613"/>
      <c r="P48" s="613"/>
      <c r="Q48" s="613"/>
      <c r="R48" s="613"/>
      <c r="S48" s="613"/>
      <c r="T48" s="613"/>
      <c r="U48" s="613"/>
      <c r="V48" s="613"/>
      <c r="W48" s="613"/>
      <c r="X48" s="613"/>
      <c r="Y48" s="613"/>
      <c r="Z48" s="613"/>
      <c r="AA48" s="613"/>
      <c r="AB48" s="613"/>
      <c r="AC48" s="613"/>
      <c r="AD48" s="613"/>
      <c r="AE48" s="613"/>
      <c r="AF48" s="613"/>
      <c r="AG48" s="613"/>
      <c r="AH48" s="613"/>
      <c r="AI48" s="613"/>
      <c r="AJ48" s="613"/>
      <c r="AK48" s="613"/>
      <c r="AL48" s="613"/>
      <c r="AM48" s="118" t="s">
        <v>213</v>
      </c>
    </row>
    <row r="49" spans="1:41" ht="63" customHeight="1" x14ac:dyDescent="0.25">
      <c r="A49" s="554" t="s">
        <v>6</v>
      </c>
      <c r="B49" s="607" t="s">
        <v>1151</v>
      </c>
      <c r="C49" s="608"/>
      <c r="D49" s="608"/>
      <c r="E49" s="608"/>
      <c r="F49" s="608"/>
      <c r="G49" s="608"/>
      <c r="H49" s="608"/>
      <c r="I49" s="608"/>
      <c r="J49" s="608"/>
      <c r="K49" s="608"/>
      <c r="L49" s="608"/>
      <c r="M49" s="608"/>
      <c r="N49" s="608"/>
      <c r="O49" s="608"/>
      <c r="P49" s="608"/>
      <c r="Q49" s="608"/>
      <c r="R49" s="608"/>
      <c r="S49" s="608"/>
      <c r="T49" s="608"/>
      <c r="U49" s="608"/>
      <c r="V49" s="608"/>
      <c r="W49" s="608"/>
      <c r="X49" s="608"/>
      <c r="Y49" s="608"/>
      <c r="Z49" s="608"/>
      <c r="AA49" s="608"/>
      <c r="AB49" s="608"/>
      <c r="AC49" s="608"/>
      <c r="AD49" s="608"/>
      <c r="AE49" s="608"/>
      <c r="AF49" s="608"/>
      <c r="AG49" s="608"/>
      <c r="AH49" s="608"/>
      <c r="AI49" s="608"/>
      <c r="AJ49" s="608"/>
      <c r="AK49" s="608"/>
      <c r="AL49" s="608"/>
    </row>
    <row r="50" spans="1:41" x14ac:dyDescent="0.25">
      <c r="A50" s="326"/>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101" t="s">
        <v>633</v>
      </c>
    </row>
    <row r="51" spans="1:41" x14ac:dyDescent="0.25">
      <c r="A51" s="554" t="s">
        <v>7</v>
      </c>
      <c r="B51" s="444" t="s">
        <v>885</v>
      </c>
      <c r="C51" s="444"/>
      <c r="D51" s="444"/>
      <c r="E51" s="444"/>
      <c r="F51" s="444"/>
      <c r="G51" s="444"/>
      <c r="H51" s="444"/>
      <c r="I51" s="444"/>
      <c r="J51" s="444"/>
      <c r="K51" s="444"/>
      <c r="L51" s="444"/>
      <c r="M51" s="444"/>
      <c r="N51" s="444"/>
      <c r="O51" s="444"/>
      <c r="P51" s="444"/>
      <c r="Q51" s="444"/>
      <c r="R51" s="444"/>
      <c r="S51" s="444"/>
      <c r="T51" s="444"/>
      <c r="U51" s="444"/>
      <c r="V51" s="444"/>
      <c r="W51" s="444"/>
      <c r="X51" s="444"/>
      <c r="Y51" s="444"/>
      <c r="Z51" s="444"/>
      <c r="AA51" s="444"/>
      <c r="AB51" s="444"/>
      <c r="AC51" s="444"/>
      <c r="AD51" s="444"/>
      <c r="AE51" s="444"/>
      <c r="AF51" s="444"/>
      <c r="AG51" s="444"/>
      <c r="AH51" s="444"/>
      <c r="AI51" s="444"/>
      <c r="AJ51" s="444"/>
      <c r="AK51" s="444"/>
      <c r="AL51" s="444"/>
    </row>
    <row r="52" spans="1:41" x14ac:dyDescent="0.25">
      <c r="A52" s="326"/>
      <c r="B52" s="347"/>
      <c r="C52" s="347"/>
      <c r="D52" s="347"/>
      <c r="E52" s="347"/>
      <c r="F52" s="347"/>
      <c r="G52" s="347"/>
      <c r="H52" s="347"/>
      <c r="I52" s="347"/>
      <c r="J52" s="347"/>
      <c r="K52" s="347"/>
      <c r="L52" s="347"/>
      <c r="M52" s="347"/>
      <c r="N52" s="347"/>
      <c r="O52" s="347"/>
      <c r="P52" s="347"/>
      <c r="Q52" s="347"/>
      <c r="R52" s="347"/>
      <c r="S52" s="347"/>
      <c r="T52" s="347"/>
      <c r="U52" s="347"/>
      <c r="V52" s="347"/>
      <c r="W52" s="347"/>
      <c r="X52" s="347"/>
      <c r="Y52" s="347"/>
      <c r="Z52" s="347"/>
      <c r="AA52" s="347"/>
      <c r="AB52" s="347"/>
      <c r="AC52" s="347"/>
      <c r="AD52" s="347"/>
      <c r="AE52" s="347"/>
      <c r="AF52" s="347"/>
      <c r="AG52" s="347"/>
      <c r="AH52" s="347"/>
      <c r="AI52" s="347"/>
      <c r="AJ52" s="347"/>
      <c r="AK52" s="347"/>
      <c r="AL52" s="347"/>
      <c r="AM52" s="101" t="s">
        <v>209</v>
      </c>
    </row>
    <row r="53" spans="1:41" x14ac:dyDescent="0.25">
      <c r="A53" s="345" t="s">
        <v>9</v>
      </c>
      <c r="B53" s="419" t="s">
        <v>223</v>
      </c>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344"/>
      <c r="AH53" s="344"/>
      <c r="AI53" s="344"/>
      <c r="AJ53" s="344"/>
      <c r="AK53" s="344"/>
      <c r="AL53" s="344"/>
      <c r="AM53" s="590" t="s">
        <v>140</v>
      </c>
      <c r="AN53" s="590"/>
      <c r="AO53" s="590"/>
    </row>
    <row r="54" spans="1:41" ht="14.7" customHeight="1" x14ac:dyDescent="0.25">
      <c r="A54" s="344"/>
      <c r="B54" s="585" t="s">
        <v>700</v>
      </c>
      <c r="C54" s="585"/>
      <c r="D54" s="585"/>
      <c r="E54" s="585"/>
      <c r="F54" s="585"/>
      <c r="G54" s="585"/>
      <c r="H54" s="585"/>
      <c r="I54" s="585"/>
      <c r="J54" s="585"/>
      <c r="K54" s="585"/>
      <c r="L54" s="585"/>
      <c r="M54" s="585"/>
      <c r="N54" s="585"/>
      <c r="O54" s="585"/>
      <c r="P54" s="585"/>
      <c r="Q54" s="585"/>
      <c r="R54" s="585"/>
      <c r="S54" s="585"/>
      <c r="T54" s="585"/>
      <c r="U54" s="585"/>
      <c r="V54" s="585"/>
      <c r="W54" s="585"/>
      <c r="X54" s="585"/>
      <c r="Y54" s="586"/>
      <c r="Z54" s="596" t="s">
        <v>843</v>
      </c>
      <c r="AA54" s="427"/>
      <c r="AB54" s="427"/>
      <c r="AC54" s="427"/>
      <c r="AD54" s="427"/>
      <c r="AE54" s="427"/>
      <c r="AF54" s="427"/>
      <c r="AG54" s="427"/>
      <c r="AH54" s="427"/>
      <c r="AI54" s="427"/>
      <c r="AJ54" s="427"/>
      <c r="AK54" s="426" t="s">
        <v>701</v>
      </c>
      <c r="AL54" s="427"/>
      <c r="AM54" s="101" t="s">
        <v>1053</v>
      </c>
    </row>
    <row r="55" spans="1:41" ht="14.7" customHeight="1" x14ac:dyDescent="0.3">
      <c r="A55" s="344"/>
      <c r="B55" s="609" t="s">
        <v>226</v>
      </c>
      <c r="C55" s="610"/>
      <c r="D55" s="610"/>
      <c r="E55" s="610"/>
      <c r="F55" s="610"/>
      <c r="G55" s="610"/>
      <c r="H55" s="610"/>
      <c r="I55" s="610"/>
      <c r="J55" s="610"/>
      <c r="K55" s="610"/>
      <c r="L55" s="610"/>
      <c r="M55" s="610"/>
      <c r="N55" s="610"/>
      <c r="O55" s="610"/>
      <c r="P55" s="610"/>
      <c r="Q55" s="610"/>
      <c r="R55" s="610"/>
      <c r="S55" s="610"/>
      <c r="T55" s="610"/>
      <c r="U55" s="610"/>
      <c r="V55" s="610"/>
      <c r="W55" s="610"/>
      <c r="X55" s="610"/>
      <c r="Y55" s="611"/>
      <c r="Z55" s="403"/>
      <c r="AA55" s="403"/>
      <c r="AB55" s="403"/>
      <c r="AC55" s="403"/>
      <c r="AD55" s="403"/>
      <c r="AE55" s="403"/>
      <c r="AF55" s="403"/>
      <c r="AG55" s="403"/>
      <c r="AH55" s="403"/>
      <c r="AI55" s="403"/>
      <c r="AJ55" s="403"/>
      <c r="AK55" s="582" t="e">
        <f t="shared" ref="AK55:AK60" si="0">Z55/Z$61</f>
        <v>#DIV/0!</v>
      </c>
      <c r="AL55" s="583"/>
    </row>
    <row r="56" spans="1:41" ht="39" customHeight="1" x14ac:dyDescent="0.3">
      <c r="A56" s="344"/>
      <c r="B56" s="609" t="s">
        <v>844</v>
      </c>
      <c r="C56" s="610"/>
      <c r="D56" s="610"/>
      <c r="E56" s="610"/>
      <c r="F56" s="610"/>
      <c r="G56" s="610"/>
      <c r="H56" s="610"/>
      <c r="I56" s="610"/>
      <c r="J56" s="610"/>
      <c r="K56" s="610"/>
      <c r="L56" s="610"/>
      <c r="M56" s="610"/>
      <c r="N56" s="610"/>
      <c r="O56" s="610"/>
      <c r="P56" s="610"/>
      <c r="Q56" s="610"/>
      <c r="R56" s="610"/>
      <c r="S56" s="610"/>
      <c r="T56" s="610"/>
      <c r="U56" s="610"/>
      <c r="V56" s="610"/>
      <c r="W56" s="610"/>
      <c r="X56" s="610"/>
      <c r="Y56" s="611"/>
      <c r="Z56" s="403"/>
      <c r="AA56" s="403"/>
      <c r="AB56" s="403"/>
      <c r="AC56" s="403"/>
      <c r="AD56" s="403"/>
      <c r="AE56" s="403"/>
      <c r="AF56" s="403"/>
      <c r="AG56" s="403"/>
      <c r="AH56" s="403"/>
      <c r="AI56" s="403"/>
      <c r="AJ56" s="403"/>
      <c r="AK56" s="582" t="e">
        <f t="shared" si="0"/>
        <v>#DIV/0!</v>
      </c>
      <c r="AL56" s="583"/>
      <c r="AM56" s="194" t="s">
        <v>681</v>
      </c>
    </row>
    <row r="57" spans="1:41" ht="13.95" customHeight="1" x14ac:dyDescent="0.3">
      <c r="A57" s="344"/>
      <c r="B57" s="609" t="s">
        <v>222</v>
      </c>
      <c r="C57" s="610"/>
      <c r="D57" s="610"/>
      <c r="E57" s="610"/>
      <c r="F57" s="610"/>
      <c r="G57" s="610"/>
      <c r="H57" s="610"/>
      <c r="I57" s="610"/>
      <c r="J57" s="610"/>
      <c r="K57" s="610"/>
      <c r="L57" s="610"/>
      <c r="M57" s="610"/>
      <c r="N57" s="610"/>
      <c r="O57" s="610"/>
      <c r="P57" s="610"/>
      <c r="Q57" s="610"/>
      <c r="R57" s="610"/>
      <c r="S57" s="610"/>
      <c r="T57" s="610"/>
      <c r="U57" s="610"/>
      <c r="V57" s="610"/>
      <c r="W57" s="610"/>
      <c r="X57" s="610"/>
      <c r="Y57" s="611"/>
      <c r="Z57" s="403"/>
      <c r="AA57" s="403"/>
      <c r="AB57" s="403"/>
      <c r="AC57" s="403"/>
      <c r="AD57" s="403"/>
      <c r="AE57" s="403"/>
      <c r="AF57" s="403"/>
      <c r="AG57" s="403"/>
      <c r="AH57" s="403"/>
      <c r="AI57" s="403"/>
      <c r="AJ57" s="403"/>
      <c r="AK57" s="582" t="e">
        <f t="shared" si="0"/>
        <v>#DIV/0!</v>
      </c>
      <c r="AL57" s="583"/>
      <c r="AM57" s="60"/>
    </row>
    <row r="58" spans="1:41" ht="18" customHeight="1" x14ac:dyDescent="0.3">
      <c r="A58" s="344"/>
      <c r="B58" s="609" t="s">
        <v>88</v>
      </c>
      <c r="C58" s="610"/>
      <c r="D58" s="610"/>
      <c r="E58" s="610"/>
      <c r="F58" s="610"/>
      <c r="G58" s="610"/>
      <c r="H58" s="610"/>
      <c r="I58" s="610"/>
      <c r="J58" s="610"/>
      <c r="K58" s="610"/>
      <c r="L58" s="610"/>
      <c r="M58" s="610"/>
      <c r="N58" s="610"/>
      <c r="O58" s="610"/>
      <c r="P58" s="610"/>
      <c r="Q58" s="610"/>
      <c r="R58" s="610"/>
      <c r="S58" s="610"/>
      <c r="T58" s="610"/>
      <c r="U58" s="610"/>
      <c r="V58" s="610"/>
      <c r="W58" s="610"/>
      <c r="X58" s="610"/>
      <c r="Y58" s="611"/>
      <c r="Z58" s="432" t="e">
        <f>B48</f>
        <v>#DIV/0!</v>
      </c>
      <c r="AA58" s="341"/>
      <c r="AB58" s="341"/>
      <c r="AC58" s="341"/>
      <c r="AD58" s="341"/>
      <c r="AE58" s="341"/>
      <c r="AF58" s="341"/>
      <c r="AG58" s="341"/>
      <c r="AH58" s="341"/>
      <c r="AI58" s="341"/>
      <c r="AJ58" s="341"/>
      <c r="AK58" s="582" t="e">
        <f t="shared" si="0"/>
        <v>#DIV/0!</v>
      </c>
      <c r="AL58" s="583"/>
      <c r="AM58" s="76" t="s">
        <v>208</v>
      </c>
    </row>
    <row r="59" spans="1:41" ht="15.45" customHeight="1" x14ac:dyDescent="0.3">
      <c r="A59" s="344"/>
      <c r="B59" s="609" t="s">
        <v>682</v>
      </c>
      <c r="C59" s="610"/>
      <c r="D59" s="610"/>
      <c r="E59" s="610"/>
      <c r="F59" s="610"/>
      <c r="G59" s="610"/>
      <c r="H59" s="610"/>
      <c r="I59" s="610"/>
      <c r="J59" s="610"/>
      <c r="K59" s="610"/>
      <c r="L59" s="610"/>
      <c r="M59" s="610"/>
      <c r="N59" s="610"/>
      <c r="O59" s="610"/>
      <c r="P59" s="610"/>
      <c r="Q59" s="610"/>
      <c r="R59" s="610"/>
      <c r="S59" s="610"/>
      <c r="T59" s="610"/>
      <c r="U59" s="610"/>
      <c r="V59" s="610"/>
      <c r="W59" s="610"/>
      <c r="X59" s="610"/>
      <c r="Y59" s="611"/>
      <c r="Z59" s="403"/>
      <c r="AA59" s="403"/>
      <c r="AB59" s="403"/>
      <c r="AC59" s="403"/>
      <c r="AD59" s="403"/>
      <c r="AE59" s="403"/>
      <c r="AF59" s="403"/>
      <c r="AG59" s="403"/>
      <c r="AH59" s="403"/>
      <c r="AI59" s="403"/>
      <c r="AJ59" s="403"/>
      <c r="AK59" s="582" t="e">
        <f t="shared" si="0"/>
        <v>#DIV/0!</v>
      </c>
      <c r="AL59" s="583"/>
      <c r="AM59" s="232" t="s">
        <v>1069</v>
      </c>
    </row>
    <row r="60" spans="1:41" ht="16.5" customHeight="1" x14ac:dyDescent="0.3">
      <c r="A60" s="344"/>
      <c r="B60" s="609" t="s">
        <v>1033</v>
      </c>
      <c r="C60" s="610"/>
      <c r="D60" s="610"/>
      <c r="E60" s="610"/>
      <c r="F60" s="610"/>
      <c r="G60" s="610"/>
      <c r="H60" s="610"/>
      <c r="I60" s="610"/>
      <c r="J60" s="610"/>
      <c r="K60" s="610"/>
      <c r="L60" s="610"/>
      <c r="M60" s="610"/>
      <c r="N60" s="610"/>
      <c r="O60" s="610"/>
      <c r="P60" s="610"/>
      <c r="Q60" s="610"/>
      <c r="R60" s="610"/>
      <c r="S60" s="610"/>
      <c r="T60" s="610"/>
      <c r="U60" s="610"/>
      <c r="V60" s="610"/>
      <c r="W60" s="610"/>
      <c r="X60" s="610"/>
      <c r="Y60" s="611"/>
      <c r="Z60" s="403"/>
      <c r="AA60" s="403"/>
      <c r="AB60" s="403"/>
      <c r="AC60" s="403"/>
      <c r="AD60" s="403"/>
      <c r="AE60" s="403"/>
      <c r="AF60" s="403"/>
      <c r="AG60" s="403"/>
      <c r="AH60" s="403"/>
      <c r="AI60" s="403"/>
      <c r="AJ60" s="403"/>
      <c r="AK60" s="582" t="e">
        <f t="shared" si="0"/>
        <v>#DIV/0!</v>
      </c>
      <c r="AL60" s="583"/>
      <c r="AM60" s="101" t="s">
        <v>1034</v>
      </c>
    </row>
    <row r="61" spans="1:41" ht="14.7" customHeight="1" x14ac:dyDescent="0.3">
      <c r="A61" s="344"/>
      <c r="B61" s="609" t="s">
        <v>235</v>
      </c>
      <c r="C61" s="610"/>
      <c r="D61" s="610"/>
      <c r="E61" s="610"/>
      <c r="F61" s="610"/>
      <c r="G61" s="610"/>
      <c r="H61" s="610"/>
      <c r="I61" s="610"/>
      <c r="J61" s="610"/>
      <c r="K61" s="610"/>
      <c r="L61" s="610"/>
      <c r="M61" s="610"/>
      <c r="N61" s="610"/>
      <c r="O61" s="610"/>
      <c r="P61" s="610"/>
      <c r="Q61" s="610"/>
      <c r="R61" s="610"/>
      <c r="S61" s="610"/>
      <c r="T61" s="610"/>
      <c r="U61" s="610"/>
      <c r="V61" s="610"/>
      <c r="W61" s="610"/>
      <c r="X61" s="610"/>
      <c r="Y61" s="611"/>
      <c r="Z61" s="422" t="e">
        <f>SUM(Z55+Z57+Z58+Z59+Z60)</f>
        <v>#DIV/0!</v>
      </c>
      <c r="AA61" s="422"/>
      <c r="AB61" s="422"/>
      <c r="AC61" s="422"/>
      <c r="AD61" s="422"/>
      <c r="AE61" s="422"/>
      <c r="AF61" s="422"/>
      <c r="AG61" s="422"/>
      <c r="AH61" s="422"/>
      <c r="AI61" s="422"/>
      <c r="AJ61" s="422"/>
      <c r="AK61" s="341" t="e">
        <f>SUM(AK55+AK57+AK58+AK59+AK60)</f>
        <v>#DIV/0!</v>
      </c>
      <c r="AL61" s="341"/>
      <c r="AM61" s="77" t="s">
        <v>1150</v>
      </c>
    </row>
    <row r="62" spans="1:41" ht="94.5" customHeight="1" x14ac:dyDescent="0.25">
      <c r="A62" s="645" t="s">
        <v>1065</v>
      </c>
      <c r="B62" s="645"/>
      <c r="C62" s="645"/>
      <c r="D62" s="645"/>
      <c r="E62" s="645"/>
      <c r="F62" s="645"/>
      <c r="G62" s="645"/>
      <c r="H62" s="645"/>
      <c r="I62" s="645"/>
      <c r="J62" s="645"/>
      <c r="K62" s="645"/>
      <c r="L62" s="645"/>
      <c r="M62" s="645"/>
      <c r="N62" s="645"/>
      <c r="O62" s="645"/>
      <c r="P62" s="645"/>
      <c r="Q62" s="645"/>
      <c r="R62" s="645"/>
      <c r="S62" s="645"/>
      <c r="T62" s="645"/>
      <c r="U62" s="645"/>
      <c r="V62" s="645"/>
      <c r="W62" s="645"/>
      <c r="X62" s="645"/>
      <c r="Y62" s="645"/>
      <c r="Z62" s="646" t="e">
        <f>ROUNDDOWN(AK160*45%,2)</f>
        <v>#DIV/0!</v>
      </c>
      <c r="AA62" s="646"/>
      <c r="AB62" s="646"/>
      <c r="AC62" s="646"/>
      <c r="AD62" s="646"/>
      <c r="AE62" s="646"/>
      <c r="AF62" s="646"/>
      <c r="AG62" s="646"/>
      <c r="AH62" s="646"/>
      <c r="AI62" s="646"/>
      <c r="AJ62" s="646"/>
      <c r="AK62" s="647" t="e">
        <f>Z62/AK160</f>
        <v>#DIV/0!</v>
      </c>
      <c r="AL62" s="647"/>
    </row>
    <row r="63" spans="1:41" ht="94.5" customHeight="1" x14ac:dyDescent="0.25">
      <c r="A63" s="648" t="s">
        <v>1066</v>
      </c>
      <c r="B63" s="648"/>
      <c r="C63" s="648"/>
      <c r="D63" s="648"/>
      <c r="E63" s="648"/>
      <c r="F63" s="648"/>
      <c r="G63" s="648"/>
      <c r="H63" s="648"/>
      <c r="I63" s="648"/>
      <c r="J63" s="648"/>
      <c r="K63" s="648"/>
      <c r="L63" s="648"/>
      <c r="M63" s="648"/>
      <c r="N63" s="648"/>
      <c r="O63" s="648"/>
      <c r="P63" s="648"/>
      <c r="Q63" s="648"/>
      <c r="R63" s="648"/>
      <c r="S63" s="648"/>
      <c r="T63" s="648"/>
      <c r="U63" s="648"/>
      <c r="V63" s="648"/>
      <c r="W63" s="648"/>
      <c r="X63" s="648"/>
      <c r="Y63" s="648"/>
      <c r="Z63" s="646" t="e">
        <f>Z58+Z59</f>
        <v>#DIV/0!</v>
      </c>
      <c r="AA63" s="646"/>
      <c r="AB63" s="646"/>
      <c r="AC63" s="646"/>
      <c r="AD63" s="646"/>
      <c r="AE63" s="646"/>
      <c r="AF63" s="646"/>
      <c r="AG63" s="646"/>
      <c r="AH63" s="646"/>
      <c r="AI63" s="646"/>
      <c r="AJ63" s="646"/>
      <c r="AK63" s="647" t="e">
        <f>Z63/AK160</f>
        <v>#DIV/0!</v>
      </c>
      <c r="AL63" s="647"/>
    </row>
    <row r="64" spans="1:41" ht="41.7" customHeight="1" x14ac:dyDescent="0.25">
      <c r="A64" s="343" t="s">
        <v>11</v>
      </c>
      <c r="B64" s="374" t="s">
        <v>1070</v>
      </c>
      <c r="C64" s="374"/>
      <c r="D64" s="374"/>
      <c r="E64" s="374"/>
      <c r="F64" s="374"/>
      <c r="G64" s="374"/>
      <c r="H64" s="374"/>
      <c r="I64" s="374"/>
      <c r="J64" s="374"/>
      <c r="K64" s="374"/>
      <c r="L64" s="374"/>
      <c r="M64" s="374"/>
      <c r="N64" s="374"/>
      <c r="O64" s="374"/>
      <c r="P64" s="374"/>
      <c r="Q64" s="374"/>
      <c r="R64" s="374"/>
      <c r="S64" s="374"/>
      <c r="T64" s="374"/>
      <c r="U64" s="374"/>
      <c r="V64" s="374"/>
      <c r="W64" s="374"/>
      <c r="X64" s="374"/>
      <c r="Y64" s="374"/>
      <c r="Z64" s="374"/>
      <c r="AA64" s="374"/>
      <c r="AB64" s="374"/>
      <c r="AC64" s="374"/>
      <c r="AD64" s="374"/>
      <c r="AE64" s="374"/>
      <c r="AF64" s="374"/>
      <c r="AG64" s="374"/>
      <c r="AH64" s="374"/>
      <c r="AI64" s="374"/>
      <c r="AJ64" s="374"/>
      <c r="AK64" s="374"/>
      <c r="AL64" s="374"/>
    </row>
    <row r="65" spans="1:39" ht="64.95" customHeight="1" x14ac:dyDescent="0.3">
      <c r="A65" s="343"/>
      <c r="B65" s="388" t="s">
        <v>1072</v>
      </c>
      <c r="C65" s="389"/>
      <c r="D65" s="389"/>
      <c r="E65" s="389"/>
      <c r="F65" s="389"/>
      <c r="G65" s="389"/>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c r="AK65" s="389"/>
      <c r="AL65" s="389"/>
    </row>
    <row r="66" spans="1:39" ht="14.7" customHeight="1" x14ac:dyDescent="0.3">
      <c r="A66" s="343"/>
      <c r="B66" s="390" t="s">
        <v>703</v>
      </c>
      <c r="C66" s="390"/>
      <c r="D66" s="390"/>
      <c r="E66" s="390"/>
      <c r="F66" s="390"/>
      <c r="G66" s="390"/>
      <c r="H66" s="390"/>
      <c r="I66" s="390"/>
      <c r="J66" s="390"/>
      <c r="K66" s="390"/>
      <c r="L66" s="390"/>
      <c r="M66" s="390"/>
      <c r="N66" s="390"/>
      <c r="O66" s="390"/>
      <c r="P66" s="390"/>
      <c r="Q66" s="390"/>
      <c r="R66" s="390"/>
      <c r="S66" s="386"/>
      <c r="T66" s="387"/>
      <c r="U66" s="387"/>
      <c r="V66" s="387"/>
      <c r="W66" s="387"/>
      <c r="X66" s="387"/>
      <c r="Y66" s="387"/>
      <c r="Z66" s="387"/>
      <c r="AA66" s="387"/>
      <c r="AB66" s="387"/>
      <c r="AC66" s="387"/>
      <c r="AD66" s="387"/>
      <c r="AE66" s="387"/>
      <c r="AF66" s="387"/>
      <c r="AG66" s="387"/>
      <c r="AH66" s="387"/>
      <c r="AI66" s="387"/>
      <c r="AJ66" s="387"/>
      <c r="AK66" s="387"/>
      <c r="AL66" s="387"/>
    </row>
    <row r="67" spans="1:39" ht="14.7" customHeight="1" x14ac:dyDescent="0.3">
      <c r="A67" s="343"/>
      <c r="B67" s="390" t="s">
        <v>704</v>
      </c>
      <c r="C67" s="390"/>
      <c r="D67" s="390"/>
      <c r="E67" s="390"/>
      <c r="F67" s="390"/>
      <c r="G67" s="390"/>
      <c r="H67" s="390"/>
      <c r="I67" s="390"/>
      <c r="J67" s="390"/>
      <c r="K67" s="390"/>
      <c r="L67" s="390"/>
      <c r="M67" s="390"/>
      <c r="N67" s="390"/>
      <c r="O67" s="390"/>
      <c r="P67" s="390"/>
      <c r="Q67" s="390"/>
      <c r="R67" s="390"/>
      <c r="S67" s="386"/>
      <c r="T67" s="387"/>
      <c r="U67" s="387"/>
      <c r="V67" s="387"/>
      <c r="W67" s="387"/>
      <c r="X67" s="387"/>
      <c r="Y67" s="387"/>
      <c r="Z67" s="387"/>
      <c r="AA67" s="387"/>
      <c r="AB67" s="387"/>
      <c r="AC67" s="387"/>
      <c r="AD67" s="387"/>
      <c r="AE67" s="387"/>
      <c r="AF67" s="387"/>
      <c r="AG67" s="387"/>
      <c r="AH67" s="387"/>
      <c r="AI67" s="387"/>
      <c r="AJ67" s="387"/>
      <c r="AK67" s="387"/>
      <c r="AL67" s="387"/>
    </row>
    <row r="68" spans="1:39" ht="14.7" customHeight="1" x14ac:dyDescent="0.3">
      <c r="A68" s="343"/>
      <c r="B68" s="390" t="s">
        <v>705</v>
      </c>
      <c r="C68" s="390"/>
      <c r="D68" s="390"/>
      <c r="E68" s="390"/>
      <c r="F68" s="390"/>
      <c r="G68" s="390"/>
      <c r="H68" s="390"/>
      <c r="I68" s="390"/>
      <c r="J68" s="390"/>
      <c r="K68" s="390"/>
      <c r="L68" s="390"/>
      <c r="M68" s="390"/>
      <c r="N68" s="390"/>
      <c r="O68" s="390"/>
      <c r="P68" s="390"/>
      <c r="Q68" s="390"/>
      <c r="R68" s="390"/>
      <c r="S68" s="386"/>
      <c r="T68" s="387"/>
      <c r="U68" s="387"/>
      <c r="V68" s="387"/>
      <c r="W68" s="387"/>
      <c r="X68" s="387"/>
      <c r="Y68" s="387"/>
      <c r="Z68" s="387"/>
      <c r="AA68" s="387"/>
      <c r="AB68" s="387"/>
      <c r="AC68" s="387"/>
      <c r="AD68" s="387"/>
      <c r="AE68" s="387"/>
      <c r="AF68" s="387"/>
      <c r="AG68" s="387"/>
      <c r="AH68" s="387"/>
      <c r="AI68" s="387"/>
      <c r="AJ68" s="387"/>
      <c r="AK68" s="387"/>
      <c r="AL68" s="387"/>
    </row>
    <row r="69" spans="1:39" ht="27.45" customHeight="1" x14ac:dyDescent="0.3">
      <c r="A69" s="343"/>
      <c r="B69" s="389" t="s">
        <v>706</v>
      </c>
      <c r="C69" s="389"/>
      <c r="D69" s="389"/>
      <c r="E69" s="389"/>
      <c r="F69" s="389"/>
      <c r="G69" s="389"/>
      <c r="H69" s="389"/>
      <c r="I69" s="389"/>
      <c r="J69" s="389"/>
      <c r="K69" s="389"/>
      <c r="L69" s="389"/>
      <c r="M69" s="389"/>
      <c r="N69" s="389"/>
      <c r="O69" s="389"/>
      <c r="P69" s="389"/>
      <c r="Q69" s="389"/>
      <c r="R69" s="389"/>
      <c r="S69" s="386"/>
      <c r="T69" s="387"/>
      <c r="U69" s="387"/>
      <c r="V69" s="387"/>
      <c r="W69" s="387"/>
      <c r="X69" s="387"/>
      <c r="Y69" s="387"/>
      <c r="Z69" s="387"/>
      <c r="AA69" s="387"/>
      <c r="AB69" s="387"/>
      <c r="AC69" s="387"/>
      <c r="AD69" s="387"/>
      <c r="AE69" s="387"/>
      <c r="AF69" s="387"/>
      <c r="AG69" s="387"/>
      <c r="AH69" s="387"/>
      <c r="AI69" s="387"/>
      <c r="AJ69" s="387"/>
      <c r="AK69" s="387"/>
      <c r="AL69" s="387"/>
    </row>
    <row r="70" spans="1:39" ht="42.45" customHeight="1" x14ac:dyDescent="0.3">
      <c r="A70" s="343"/>
      <c r="B70" s="436" t="s">
        <v>887</v>
      </c>
      <c r="C70" s="437"/>
      <c r="D70" s="437"/>
      <c r="E70" s="437"/>
      <c r="F70" s="437"/>
      <c r="G70" s="437"/>
      <c r="H70" s="437"/>
      <c r="I70" s="437"/>
      <c r="J70" s="437"/>
      <c r="K70" s="437"/>
      <c r="L70" s="437"/>
      <c r="M70" s="437"/>
      <c r="N70" s="437"/>
      <c r="O70" s="437"/>
      <c r="P70" s="437"/>
      <c r="Q70" s="437"/>
      <c r="R70" s="438"/>
      <c r="S70" s="428"/>
      <c r="T70" s="429"/>
      <c r="U70" s="429"/>
      <c r="V70" s="429"/>
      <c r="W70" s="429"/>
      <c r="X70" s="429"/>
      <c r="Y70" s="429"/>
      <c r="Z70" s="429"/>
      <c r="AA70" s="429"/>
      <c r="AB70" s="429"/>
      <c r="AC70" s="429"/>
      <c r="AD70" s="429"/>
      <c r="AE70" s="429"/>
      <c r="AF70" s="429"/>
      <c r="AG70" s="429"/>
      <c r="AH70" s="429"/>
      <c r="AI70" s="429"/>
      <c r="AJ70" s="429"/>
      <c r="AK70" s="429"/>
      <c r="AL70" s="430"/>
    </row>
    <row r="71" spans="1:39" ht="115.95" customHeight="1" x14ac:dyDescent="0.3">
      <c r="A71" s="343"/>
      <c r="B71" s="388" t="s">
        <v>1071</v>
      </c>
      <c r="C71" s="389"/>
      <c r="D71" s="389"/>
      <c r="E71" s="389"/>
      <c r="F71" s="389"/>
      <c r="G71" s="389"/>
      <c r="H71" s="389"/>
      <c r="I71" s="389"/>
      <c r="J71" s="389"/>
      <c r="K71" s="389"/>
      <c r="L71" s="389"/>
      <c r="M71" s="389"/>
      <c r="N71" s="389"/>
      <c r="O71" s="389"/>
      <c r="P71" s="389"/>
      <c r="Q71" s="389"/>
      <c r="R71" s="389"/>
      <c r="S71" s="389"/>
      <c r="T71" s="389"/>
      <c r="U71" s="389"/>
      <c r="V71" s="389"/>
      <c r="W71" s="389"/>
      <c r="X71" s="389"/>
      <c r="Y71" s="389"/>
      <c r="Z71" s="389"/>
      <c r="AA71" s="389"/>
      <c r="AB71" s="389"/>
      <c r="AC71" s="389"/>
      <c r="AD71" s="389"/>
      <c r="AE71" s="389"/>
      <c r="AF71" s="389"/>
      <c r="AG71" s="389"/>
      <c r="AH71" s="389"/>
      <c r="AI71" s="389"/>
      <c r="AJ71" s="389"/>
      <c r="AK71" s="389"/>
      <c r="AL71" s="389"/>
    </row>
    <row r="72" spans="1:39" ht="14.7" customHeight="1" x14ac:dyDescent="0.3">
      <c r="A72" s="343"/>
      <c r="B72" s="390" t="s">
        <v>707</v>
      </c>
      <c r="C72" s="390"/>
      <c r="D72" s="390"/>
      <c r="E72" s="390"/>
      <c r="F72" s="390"/>
      <c r="G72" s="390"/>
      <c r="H72" s="390"/>
      <c r="I72" s="390"/>
      <c r="J72" s="390"/>
      <c r="K72" s="390"/>
      <c r="L72" s="390"/>
      <c r="M72" s="390"/>
      <c r="N72" s="390"/>
      <c r="O72" s="390"/>
      <c r="P72" s="390"/>
      <c r="Q72" s="390"/>
      <c r="R72" s="390"/>
      <c r="S72" s="386"/>
      <c r="T72" s="387"/>
      <c r="U72" s="387"/>
      <c r="V72" s="387"/>
      <c r="W72" s="387"/>
      <c r="X72" s="387"/>
      <c r="Y72" s="387"/>
      <c r="Z72" s="387"/>
      <c r="AA72" s="387"/>
      <c r="AB72" s="387"/>
      <c r="AC72" s="387"/>
      <c r="AD72" s="387"/>
      <c r="AE72" s="387"/>
      <c r="AF72" s="387"/>
      <c r="AG72" s="387"/>
      <c r="AH72" s="387"/>
      <c r="AI72" s="387"/>
      <c r="AJ72" s="387"/>
      <c r="AK72" s="387"/>
      <c r="AL72" s="387"/>
    </row>
    <row r="73" spans="1:39" ht="42" customHeight="1" x14ac:dyDescent="0.3">
      <c r="A73" s="343"/>
      <c r="B73" s="390" t="s">
        <v>710</v>
      </c>
      <c r="C73" s="390"/>
      <c r="D73" s="390"/>
      <c r="E73" s="390"/>
      <c r="F73" s="390"/>
      <c r="G73" s="390"/>
      <c r="H73" s="390"/>
      <c r="I73" s="390"/>
      <c r="J73" s="390"/>
      <c r="K73" s="390"/>
      <c r="L73" s="390"/>
      <c r="M73" s="390"/>
      <c r="N73" s="390"/>
      <c r="O73" s="390"/>
      <c r="P73" s="390"/>
      <c r="Q73" s="390"/>
      <c r="R73" s="390"/>
      <c r="S73" s="386"/>
      <c r="T73" s="387"/>
      <c r="U73" s="387"/>
      <c r="V73" s="387"/>
      <c r="W73" s="387"/>
      <c r="X73" s="387"/>
      <c r="Y73" s="387"/>
      <c r="Z73" s="387"/>
      <c r="AA73" s="387"/>
      <c r="AB73" s="387"/>
      <c r="AC73" s="387"/>
      <c r="AD73" s="387"/>
      <c r="AE73" s="387"/>
      <c r="AF73" s="387"/>
      <c r="AG73" s="387"/>
      <c r="AH73" s="387"/>
      <c r="AI73" s="387"/>
      <c r="AJ73" s="387"/>
      <c r="AK73" s="387"/>
      <c r="AL73" s="387"/>
    </row>
    <row r="74" spans="1:39" ht="58.5" customHeight="1" x14ac:dyDescent="0.3">
      <c r="A74" s="343"/>
      <c r="B74" s="390" t="s">
        <v>709</v>
      </c>
      <c r="C74" s="390"/>
      <c r="D74" s="390"/>
      <c r="E74" s="390"/>
      <c r="F74" s="390"/>
      <c r="G74" s="390"/>
      <c r="H74" s="390"/>
      <c r="I74" s="390"/>
      <c r="J74" s="390"/>
      <c r="K74" s="390"/>
      <c r="L74" s="390"/>
      <c r="M74" s="390"/>
      <c r="N74" s="390"/>
      <c r="O74" s="390"/>
      <c r="P74" s="390"/>
      <c r="Q74" s="390"/>
      <c r="R74" s="390"/>
      <c r="S74" s="386"/>
      <c r="T74" s="387"/>
      <c r="U74" s="387"/>
      <c r="V74" s="387"/>
      <c r="W74" s="387"/>
      <c r="X74" s="387"/>
      <c r="Y74" s="387"/>
      <c r="Z74" s="387"/>
      <c r="AA74" s="387"/>
      <c r="AB74" s="387"/>
      <c r="AC74" s="387"/>
      <c r="AD74" s="387"/>
      <c r="AE74" s="387"/>
      <c r="AF74" s="387"/>
      <c r="AG74" s="387"/>
      <c r="AH74" s="387"/>
      <c r="AI74" s="387"/>
      <c r="AJ74" s="387"/>
      <c r="AK74" s="387"/>
      <c r="AL74" s="387"/>
    </row>
    <row r="75" spans="1:39" ht="14.7" customHeight="1" x14ac:dyDescent="0.3">
      <c r="A75" s="343"/>
      <c r="B75" s="390" t="s">
        <v>708</v>
      </c>
      <c r="C75" s="390"/>
      <c r="D75" s="390"/>
      <c r="E75" s="390"/>
      <c r="F75" s="390"/>
      <c r="G75" s="390"/>
      <c r="H75" s="390"/>
      <c r="I75" s="390"/>
      <c r="J75" s="390"/>
      <c r="K75" s="390"/>
      <c r="L75" s="390"/>
      <c r="M75" s="390"/>
      <c r="N75" s="390"/>
      <c r="O75" s="390"/>
      <c r="P75" s="390"/>
      <c r="Q75" s="390"/>
      <c r="R75" s="390"/>
      <c r="S75" s="386"/>
      <c r="T75" s="387"/>
      <c r="U75" s="387"/>
      <c r="V75" s="387"/>
      <c r="W75" s="387"/>
      <c r="X75" s="387"/>
      <c r="Y75" s="387"/>
      <c r="Z75" s="387"/>
      <c r="AA75" s="387"/>
      <c r="AB75" s="387"/>
      <c r="AC75" s="387"/>
      <c r="AD75" s="387"/>
      <c r="AE75" s="387"/>
      <c r="AF75" s="387"/>
      <c r="AG75" s="387"/>
      <c r="AH75" s="387"/>
      <c r="AI75" s="387"/>
      <c r="AJ75" s="387"/>
      <c r="AK75" s="387"/>
      <c r="AL75" s="387"/>
    </row>
    <row r="76" spans="1:39" ht="29.7" customHeight="1" x14ac:dyDescent="0.3">
      <c r="A76" s="343"/>
      <c r="B76" s="436" t="s">
        <v>888</v>
      </c>
      <c r="C76" s="437"/>
      <c r="D76" s="437"/>
      <c r="E76" s="437"/>
      <c r="F76" s="437"/>
      <c r="G76" s="437"/>
      <c r="H76" s="437"/>
      <c r="I76" s="437"/>
      <c r="J76" s="437"/>
      <c r="K76" s="437"/>
      <c r="L76" s="437"/>
      <c r="M76" s="437"/>
      <c r="N76" s="437"/>
      <c r="O76" s="437"/>
      <c r="P76" s="437"/>
      <c r="Q76" s="437"/>
      <c r="R76" s="438"/>
      <c r="S76" s="428"/>
      <c r="T76" s="429"/>
      <c r="U76" s="429"/>
      <c r="V76" s="429"/>
      <c r="W76" s="429"/>
      <c r="X76" s="429"/>
      <c r="Y76" s="429"/>
      <c r="Z76" s="429"/>
      <c r="AA76" s="429"/>
      <c r="AB76" s="429"/>
      <c r="AC76" s="429"/>
      <c r="AD76" s="429"/>
      <c r="AE76" s="429"/>
      <c r="AF76" s="429"/>
      <c r="AG76" s="429"/>
      <c r="AH76" s="429"/>
      <c r="AI76" s="429"/>
      <c r="AJ76" s="429"/>
      <c r="AK76" s="429"/>
      <c r="AL76" s="430"/>
    </row>
    <row r="77" spans="1:39" ht="30.45" customHeight="1" x14ac:dyDescent="0.3">
      <c r="A77" s="218"/>
      <c r="B77" s="431" t="s">
        <v>714</v>
      </c>
      <c r="C77" s="431"/>
      <c r="D77" s="431"/>
      <c r="E77" s="431"/>
      <c r="F77" s="431"/>
      <c r="G77" s="431"/>
      <c r="H77" s="431"/>
      <c r="I77" s="431"/>
      <c r="J77" s="431"/>
      <c r="K77" s="431"/>
      <c r="L77" s="431"/>
      <c r="M77" s="431"/>
      <c r="N77" s="431"/>
      <c r="O77" s="431"/>
      <c r="P77" s="431"/>
      <c r="Q77" s="431"/>
      <c r="R77" s="431"/>
      <c r="S77" s="431"/>
      <c r="T77" s="431"/>
      <c r="U77" s="431"/>
      <c r="V77" s="431"/>
      <c r="W77" s="431"/>
      <c r="X77" s="431"/>
      <c r="Y77" s="431"/>
      <c r="Z77" s="431"/>
      <c r="AA77" s="431"/>
      <c r="AB77" s="394"/>
      <c r="AC77" s="394"/>
      <c r="AD77" s="394"/>
      <c r="AE77" s="394"/>
      <c r="AF77" s="394"/>
      <c r="AG77" s="394"/>
      <c r="AH77" s="394"/>
      <c r="AI77" s="394"/>
      <c r="AJ77" s="394"/>
      <c r="AK77" s="394"/>
      <c r="AL77" s="394"/>
    </row>
    <row r="78" spans="1:39" ht="88.5" customHeight="1" x14ac:dyDescent="0.25">
      <c r="A78" s="554" t="s">
        <v>777</v>
      </c>
      <c r="B78" s="569" t="s">
        <v>1076</v>
      </c>
      <c r="C78" s="624"/>
      <c r="D78" s="624"/>
      <c r="E78" s="624"/>
      <c r="F78" s="624"/>
      <c r="G78" s="624"/>
      <c r="H78" s="624"/>
      <c r="I78" s="624"/>
      <c r="J78" s="624"/>
      <c r="K78" s="624"/>
      <c r="L78" s="624"/>
      <c r="M78" s="624"/>
      <c r="N78" s="624"/>
      <c r="O78" s="624"/>
      <c r="P78" s="624"/>
      <c r="Q78" s="624"/>
      <c r="R78" s="624"/>
      <c r="S78" s="624"/>
      <c r="T78" s="624"/>
      <c r="U78" s="624"/>
      <c r="V78" s="624"/>
      <c r="W78" s="624"/>
      <c r="X78" s="624"/>
      <c r="Y78" s="624"/>
      <c r="Z78" s="624"/>
      <c r="AA78" s="624"/>
      <c r="AB78" s="624"/>
      <c r="AC78" s="624"/>
      <c r="AD78" s="624"/>
      <c r="AE78" s="624"/>
      <c r="AF78" s="624"/>
      <c r="AG78" s="624"/>
      <c r="AH78" s="624"/>
      <c r="AI78" s="624"/>
      <c r="AJ78" s="624"/>
      <c r="AK78" s="624"/>
      <c r="AL78" s="624"/>
      <c r="AM78" s="631" t="s">
        <v>858</v>
      </c>
    </row>
    <row r="79" spans="1:39" ht="84.45" customHeight="1" x14ac:dyDescent="0.25">
      <c r="A79" s="554"/>
      <c r="B79" s="638" t="s">
        <v>776</v>
      </c>
      <c r="C79" s="639"/>
      <c r="D79" s="639"/>
      <c r="E79" s="639"/>
      <c r="F79" s="639"/>
      <c r="G79" s="639"/>
      <c r="H79" s="639"/>
      <c r="I79" s="639"/>
      <c r="J79" s="639"/>
      <c r="K79" s="639"/>
      <c r="L79" s="639"/>
      <c r="M79" s="639"/>
      <c r="N79" s="639"/>
      <c r="O79" s="639"/>
      <c r="P79" s="639"/>
      <c r="Q79" s="639"/>
      <c r="R79" s="639"/>
      <c r="S79" s="558"/>
      <c r="T79" s="558"/>
      <c r="U79" s="558"/>
      <c r="V79" s="558"/>
      <c r="W79" s="558"/>
      <c r="X79" s="558"/>
      <c r="Y79" s="558"/>
      <c r="Z79" s="558"/>
      <c r="AA79" s="558"/>
      <c r="AB79" s="558"/>
      <c r="AC79" s="558"/>
      <c r="AD79" s="558"/>
      <c r="AE79" s="558"/>
      <c r="AF79" s="558"/>
      <c r="AG79" s="558"/>
      <c r="AH79" s="558"/>
      <c r="AI79" s="558"/>
      <c r="AJ79" s="558"/>
      <c r="AK79" s="558"/>
      <c r="AL79" s="558"/>
      <c r="AM79" s="631"/>
    </row>
    <row r="80" spans="1:39" ht="409.5" customHeight="1" x14ac:dyDescent="0.25">
      <c r="A80" s="218"/>
      <c r="B80" s="642" t="s">
        <v>1058</v>
      </c>
      <c r="C80" s="643"/>
      <c r="D80" s="643"/>
      <c r="E80" s="643"/>
      <c r="F80" s="643"/>
      <c r="G80" s="643"/>
      <c r="H80" s="643"/>
      <c r="I80" s="643"/>
      <c r="J80" s="643"/>
      <c r="K80" s="643"/>
      <c r="L80" s="643"/>
      <c r="M80" s="643"/>
      <c r="N80" s="643"/>
      <c r="O80" s="643"/>
      <c r="P80" s="643"/>
      <c r="Q80" s="643"/>
      <c r="R80" s="643"/>
      <c r="S80" s="643"/>
      <c r="T80" s="643"/>
      <c r="U80" s="643"/>
      <c r="V80" s="643"/>
      <c r="W80" s="643"/>
      <c r="X80" s="643"/>
      <c r="Y80" s="643"/>
      <c r="Z80" s="643"/>
      <c r="AA80" s="643"/>
      <c r="AB80" s="643"/>
      <c r="AC80" s="643"/>
      <c r="AD80" s="643"/>
      <c r="AE80" s="643"/>
      <c r="AF80" s="643"/>
      <c r="AG80" s="643"/>
      <c r="AH80" s="643"/>
      <c r="AI80" s="643"/>
      <c r="AJ80" s="643"/>
      <c r="AK80" s="643"/>
      <c r="AL80" s="644"/>
      <c r="AM80" s="251"/>
    </row>
    <row r="81" spans="1:39" ht="261" customHeight="1" x14ac:dyDescent="0.25">
      <c r="A81" s="250"/>
      <c r="B81" s="423" t="s">
        <v>1049</v>
      </c>
      <c r="C81" s="423"/>
      <c r="D81" s="423"/>
      <c r="E81" s="423"/>
      <c r="F81" s="423"/>
      <c r="G81" s="423"/>
      <c r="H81" s="423"/>
      <c r="I81" s="423"/>
      <c r="J81" s="423"/>
      <c r="K81" s="423"/>
      <c r="L81" s="423"/>
      <c r="M81" s="423"/>
      <c r="N81" s="423"/>
      <c r="O81" s="423"/>
      <c r="P81" s="423"/>
      <c r="Q81" s="423"/>
      <c r="R81" s="423"/>
      <c r="S81" s="423"/>
      <c r="T81" s="423"/>
      <c r="U81" s="423"/>
      <c r="V81" s="423"/>
      <c r="W81" s="423"/>
      <c r="X81" s="423"/>
      <c r="Y81" s="423"/>
      <c r="Z81" s="423"/>
      <c r="AA81" s="423"/>
      <c r="AB81" s="423"/>
      <c r="AC81" s="423"/>
      <c r="AD81" s="423"/>
      <c r="AE81" s="423"/>
      <c r="AF81" s="423"/>
      <c r="AG81" s="423"/>
      <c r="AH81" s="423"/>
      <c r="AI81" s="423"/>
      <c r="AJ81" s="423"/>
      <c r="AK81" s="423"/>
      <c r="AL81" s="423"/>
      <c r="AM81" s="251"/>
    </row>
    <row r="82" spans="1:39" ht="265.5" customHeight="1" x14ac:dyDescent="0.25">
      <c r="A82" s="250"/>
      <c r="B82" s="423" t="s">
        <v>1050</v>
      </c>
      <c r="C82" s="423"/>
      <c r="D82" s="423"/>
      <c r="E82" s="423"/>
      <c r="F82" s="423"/>
      <c r="G82" s="423"/>
      <c r="H82" s="423"/>
      <c r="I82" s="423"/>
      <c r="J82" s="423"/>
      <c r="K82" s="423"/>
      <c r="L82" s="423"/>
      <c r="M82" s="423"/>
      <c r="N82" s="423"/>
      <c r="O82" s="423"/>
      <c r="P82" s="423"/>
      <c r="Q82" s="423"/>
      <c r="R82" s="423"/>
      <c r="S82" s="423"/>
      <c r="T82" s="423"/>
      <c r="U82" s="423"/>
      <c r="V82" s="423"/>
      <c r="W82" s="423"/>
      <c r="X82" s="423"/>
      <c r="Y82" s="423"/>
      <c r="Z82" s="423"/>
      <c r="AA82" s="423"/>
      <c r="AB82" s="423"/>
      <c r="AC82" s="423"/>
      <c r="AD82" s="423"/>
      <c r="AE82" s="423"/>
      <c r="AF82" s="423"/>
      <c r="AG82" s="423"/>
      <c r="AH82" s="423"/>
      <c r="AI82" s="423"/>
      <c r="AJ82" s="423"/>
      <c r="AK82" s="423"/>
      <c r="AL82" s="423"/>
      <c r="AM82" s="251"/>
    </row>
    <row r="83" spans="1:39" ht="64.2" customHeight="1" x14ac:dyDescent="0.25">
      <c r="A83" s="250"/>
      <c r="B83" s="425" t="s">
        <v>1063</v>
      </c>
      <c r="C83" s="423"/>
      <c r="D83" s="423"/>
      <c r="E83" s="423"/>
      <c r="F83" s="423"/>
      <c r="G83" s="423"/>
      <c r="H83" s="423"/>
      <c r="I83" s="423"/>
      <c r="J83" s="423"/>
      <c r="K83" s="423"/>
      <c r="L83" s="423"/>
      <c r="M83" s="423"/>
      <c r="N83" s="423"/>
      <c r="O83" s="423"/>
      <c r="P83" s="423"/>
      <c r="Q83" s="423"/>
      <c r="R83" s="423"/>
      <c r="S83" s="423"/>
      <c r="T83" s="423"/>
      <c r="U83" s="423"/>
      <c r="V83" s="423"/>
      <c r="W83" s="423"/>
      <c r="X83" s="423"/>
      <c r="Y83" s="423"/>
      <c r="Z83" s="423"/>
      <c r="AA83" s="423"/>
      <c r="AB83" s="640"/>
      <c r="AC83" s="640"/>
      <c r="AD83" s="640"/>
      <c r="AE83" s="640"/>
      <c r="AF83" s="640"/>
      <c r="AG83" s="640"/>
      <c r="AH83" s="640"/>
      <c r="AI83" s="640"/>
      <c r="AJ83" s="640"/>
      <c r="AK83" s="640"/>
      <c r="AL83" s="640"/>
      <c r="AM83" s="251"/>
    </row>
    <row r="84" spans="1:39" ht="63" customHeight="1" x14ac:dyDescent="0.25">
      <c r="A84" s="250"/>
      <c r="B84" s="396" t="s">
        <v>1048</v>
      </c>
      <c r="C84" s="396"/>
      <c r="D84" s="396"/>
      <c r="E84" s="396"/>
      <c r="F84" s="396"/>
      <c r="G84" s="396"/>
      <c r="H84" s="396"/>
      <c r="I84" s="396"/>
      <c r="J84" s="396"/>
      <c r="K84" s="396"/>
      <c r="L84" s="396"/>
      <c r="M84" s="396"/>
      <c r="N84" s="396"/>
      <c r="O84" s="396"/>
      <c r="P84" s="396"/>
      <c r="Q84" s="396"/>
      <c r="R84" s="396"/>
      <c r="S84" s="396"/>
      <c r="T84" s="396"/>
      <c r="U84" s="396"/>
      <c r="V84" s="396"/>
      <c r="W84" s="396"/>
      <c r="X84" s="396"/>
      <c r="Y84" s="396"/>
      <c r="Z84" s="396"/>
      <c r="AA84" s="396"/>
      <c r="AB84" s="396"/>
      <c r="AC84" s="396"/>
      <c r="AD84" s="396"/>
      <c r="AE84" s="396"/>
      <c r="AF84" s="396"/>
      <c r="AG84" s="396"/>
      <c r="AH84" s="396"/>
      <c r="AI84" s="396"/>
      <c r="AJ84" s="396"/>
      <c r="AK84" s="396"/>
      <c r="AL84" s="396"/>
      <c r="AM84" s="251"/>
    </row>
    <row r="85" spans="1:39" ht="46.2" customHeight="1" x14ac:dyDescent="0.25">
      <c r="A85" s="250"/>
      <c r="B85" s="413"/>
      <c r="C85" s="413"/>
      <c r="D85" s="413"/>
      <c r="E85" s="413"/>
      <c r="F85" s="413"/>
      <c r="G85" s="413"/>
      <c r="H85" s="413"/>
      <c r="I85" s="413"/>
      <c r="J85" s="413"/>
      <c r="K85" s="413"/>
      <c r="L85" s="413"/>
      <c r="M85" s="413"/>
      <c r="N85" s="413"/>
      <c r="O85" s="413"/>
      <c r="P85" s="413"/>
      <c r="Q85" s="413"/>
      <c r="R85" s="413"/>
      <c r="S85" s="413"/>
      <c r="T85" s="413"/>
      <c r="U85" s="413"/>
      <c r="V85" s="413"/>
      <c r="W85" s="413"/>
      <c r="X85" s="413"/>
      <c r="Y85" s="413"/>
      <c r="Z85" s="413"/>
      <c r="AA85" s="413"/>
      <c r="AB85" s="413"/>
      <c r="AC85" s="413"/>
      <c r="AD85" s="413"/>
      <c r="AE85" s="413"/>
      <c r="AF85" s="413"/>
      <c r="AG85" s="413"/>
      <c r="AH85" s="413"/>
      <c r="AI85" s="413"/>
      <c r="AJ85" s="413"/>
      <c r="AK85" s="413"/>
      <c r="AL85" s="413"/>
      <c r="AM85" s="251"/>
    </row>
    <row r="86" spans="1:39" x14ac:dyDescent="0.3">
      <c r="A86" s="150" t="s">
        <v>69</v>
      </c>
      <c r="B86" s="328" t="s">
        <v>70</v>
      </c>
      <c r="C86" s="328"/>
      <c r="D86" s="328"/>
      <c r="E86" s="328"/>
      <c r="F86" s="328"/>
      <c r="G86" s="328"/>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AE86" s="328"/>
      <c r="AF86" s="328"/>
      <c r="AG86" s="328"/>
      <c r="AH86" s="328"/>
      <c r="AI86" s="328"/>
      <c r="AJ86" s="328"/>
      <c r="AK86" s="328"/>
      <c r="AL86" s="328"/>
    </row>
    <row r="87" spans="1:39" ht="34.5" customHeight="1" x14ac:dyDescent="0.25">
      <c r="A87" s="580" t="s">
        <v>889</v>
      </c>
      <c r="B87" s="505"/>
      <c r="C87" s="505"/>
      <c r="D87" s="505"/>
      <c r="E87" s="505"/>
      <c r="F87" s="505"/>
      <c r="G87" s="505"/>
      <c r="H87" s="505"/>
      <c r="I87" s="505"/>
      <c r="J87" s="505"/>
      <c r="K87" s="505"/>
      <c r="L87" s="505"/>
      <c r="M87" s="505"/>
      <c r="N87" s="505"/>
      <c r="O87" s="505"/>
      <c r="P87" s="505"/>
      <c r="Q87" s="505"/>
      <c r="R87" s="505"/>
      <c r="S87" s="505"/>
      <c r="T87" s="505"/>
      <c r="U87" s="505"/>
      <c r="V87" s="505"/>
      <c r="W87" s="505"/>
      <c r="X87" s="505"/>
      <c r="Y87" s="505"/>
      <c r="Z87" s="505"/>
      <c r="AA87" s="505"/>
      <c r="AB87" s="505"/>
      <c r="AC87" s="505"/>
      <c r="AD87" s="505"/>
      <c r="AE87" s="505"/>
      <c r="AF87" s="505"/>
      <c r="AG87" s="505"/>
      <c r="AH87" s="505"/>
      <c r="AI87" s="505"/>
      <c r="AJ87" s="505"/>
      <c r="AK87" s="505"/>
      <c r="AL87" s="505"/>
    </row>
    <row r="88" spans="1:39" ht="34.5" customHeight="1" x14ac:dyDescent="0.25">
      <c r="A88" s="545"/>
      <c r="B88" s="545"/>
      <c r="C88" s="545"/>
      <c r="D88" s="545"/>
      <c r="E88" s="545"/>
      <c r="F88" s="545"/>
      <c r="G88" s="545"/>
      <c r="H88" s="545"/>
      <c r="I88" s="545"/>
      <c r="J88" s="545"/>
      <c r="K88" s="545"/>
      <c r="L88" s="545"/>
      <c r="M88" s="545"/>
      <c r="N88" s="545"/>
      <c r="O88" s="545"/>
      <c r="P88" s="545"/>
      <c r="Q88" s="545"/>
      <c r="R88" s="545"/>
      <c r="S88" s="545"/>
      <c r="T88" s="545"/>
      <c r="U88" s="545"/>
      <c r="V88" s="545"/>
      <c r="W88" s="545"/>
      <c r="X88" s="545"/>
      <c r="Y88" s="545"/>
      <c r="Z88" s="545"/>
      <c r="AA88" s="545"/>
      <c r="AB88" s="545"/>
      <c r="AC88" s="545"/>
      <c r="AD88" s="545"/>
      <c r="AE88" s="545"/>
      <c r="AF88" s="545"/>
      <c r="AG88" s="545"/>
      <c r="AH88" s="545"/>
      <c r="AI88" s="545"/>
      <c r="AJ88" s="545"/>
      <c r="AK88" s="545"/>
      <c r="AL88" s="545"/>
      <c r="AM88" s="101" t="s">
        <v>952</v>
      </c>
    </row>
    <row r="89" spans="1:39" s="64" customFormat="1" x14ac:dyDescent="0.3">
      <c r="A89" s="150" t="s">
        <v>90</v>
      </c>
      <c r="B89" s="328" t="s">
        <v>674</v>
      </c>
      <c r="C89" s="328"/>
      <c r="D89" s="328"/>
      <c r="E89" s="328"/>
      <c r="F89" s="328"/>
      <c r="G89" s="328"/>
      <c r="H89" s="328"/>
      <c r="I89" s="328"/>
      <c r="J89" s="328"/>
      <c r="K89" s="328"/>
      <c r="L89" s="328"/>
      <c r="M89" s="328"/>
      <c r="N89" s="328"/>
      <c r="O89" s="328"/>
      <c r="P89" s="328"/>
      <c r="Q89" s="328"/>
      <c r="R89" s="328"/>
      <c r="S89" s="328"/>
      <c r="T89" s="328"/>
      <c r="U89" s="328"/>
      <c r="V89" s="328"/>
      <c r="W89" s="328"/>
      <c r="X89" s="328"/>
      <c r="Y89" s="328"/>
      <c r="Z89" s="328"/>
      <c r="AA89" s="328"/>
      <c r="AB89" s="328"/>
      <c r="AC89" s="328"/>
      <c r="AD89" s="328"/>
      <c r="AE89" s="328"/>
      <c r="AF89" s="328"/>
      <c r="AG89" s="328"/>
      <c r="AH89" s="328"/>
      <c r="AI89" s="328"/>
      <c r="AJ89" s="328"/>
      <c r="AK89" s="328"/>
      <c r="AL89" s="328"/>
      <c r="AM89" s="102"/>
    </row>
    <row r="90" spans="1:39" ht="55.2" customHeight="1" x14ac:dyDescent="0.25">
      <c r="A90" s="580" t="s">
        <v>901</v>
      </c>
      <c r="B90" s="505"/>
      <c r="C90" s="505"/>
      <c r="D90" s="505"/>
      <c r="E90" s="505"/>
      <c r="F90" s="505"/>
      <c r="G90" s="505"/>
      <c r="H90" s="505"/>
      <c r="I90" s="505"/>
      <c r="J90" s="505"/>
      <c r="K90" s="505"/>
      <c r="L90" s="505"/>
      <c r="M90" s="505"/>
      <c r="N90" s="505"/>
      <c r="O90" s="505"/>
      <c r="P90" s="505"/>
      <c r="Q90" s="505"/>
      <c r="R90" s="505"/>
      <c r="S90" s="505"/>
      <c r="T90" s="505"/>
      <c r="U90" s="505"/>
      <c r="V90" s="505"/>
      <c r="W90" s="505"/>
      <c r="X90" s="505"/>
      <c r="Y90" s="505"/>
      <c r="Z90" s="505"/>
      <c r="AA90" s="505"/>
      <c r="AB90" s="505"/>
      <c r="AC90" s="505"/>
      <c r="AD90" s="505"/>
      <c r="AE90" s="505"/>
      <c r="AF90" s="505"/>
      <c r="AG90" s="505"/>
      <c r="AH90" s="505"/>
      <c r="AI90" s="505"/>
      <c r="AJ90" s="505"/>
      <c r="AK90" s="505"/>
      <c r="AL90" s="505"/>
    </row>
    <row r="91" spans="1:39" x14ac:dyDescent="0.25">
      <c r="A91" s="415"/>
      <c r="B91" s="416"/>
      <c r="C91" s="416"/>
      <c r="D91" s="416"/>
      <c r="E91" s="416"/>
      <c r="F91" s="416"/>
      <c r="G91" s="416"/>
      <c r="H91" s="416"/>
      <c r="I91" s="416"/>
      <c r="J91" s="416"/>
      <c r="K91" s="416"/>
      <c r="L91" s="416"/>
      <c r="M91" s="416"/>
      <c r="N91" s="416"/>
      <c r="O91" s="416"/>
      <c r="P91" s="416"/>
      <c r="Q91" s="416"/>
      <c r="R91" s="416"/>
      <c r="S91" s="416"/>
      <c r="T91" s="416"/>
      <c r="U91" s="416"/>
      <c r="V91" s="416"/>
      <c r="W91" s="416"/>
      <c r="X91" s="416"/>
      <c r="Y91" s="416"/>
      <c r="Z91" s="416"/>
      <c r="AA91" s="416"/>
      <c r="AB91" s="416"/>
      <c r="AC91" s="416"/>
      <c r="AD91" s="416"/>
      <c r="AE91" s="416"/>
      <c r="AF91" s="416"/>
      <c r="AG91" s="416"/>
      <c r="AH91" s="416"/>
      <c r="AI91" s="416"/>
      <c r="AJ91" s="416"/>
      <c r="AK91" s="416"/>
      <c r="AL91" s="417"/>
    </row>
    <row r="92" spans="1:39" ht="27" customHeight="1" x14ac:dyDescent="0.25">
      <c r="A92" s="584" t="s">
        <v>1064</v>
      </c>
      <c r="B92" s="584"/>
      <c r="C92" s="584"/>
      <c r="D92" s="584"/>
      <c r="E92" s="584"/>
      <c r="F92" s="584"/>
      <c r="G92" s="584"/>
      <c r="H92" s="584"/>
      <c r="I92" s="584"/>
      <c r="J92" s="584"/>
      <c r="K92" s="584"/>
      <c r="L92" s="584"/>
      <c r="M92" s="584"/>
      <c r="N92" s="584"/>
      <c r="O92" s="584"/>
      <c r="P92" s="584"/>
      <c r="Q92" s="584"/>
      <c r="R92" s="584"/>
      <c r="S92" s="584"/>
      <c r="T92" s="584"/>
      <c r="U92" s="584"/>
      <c r="V92" s="584"/>
      <c r="W92" s="584"/>
      <c r="X92" s="584"/>
      <c r="Y92" s="584"/>
      <c r="Z92" s="584"/>
      <c r="AA92" s="584"/>
      <c r="AB92" s="584"/>
      <c r="AC92" s="584"/>
      <c r="AD92" s="584"/>
      <c r="AE92" s="584"/>
      <c r="AF92" s="584"/>
      <c r="AG92" s="584"/>
      <c r="AH92" s="584"/>
      <c r="AI92" s="584"/>
      <c r="AJ92" s="584"/>
      <c r="AK92" s="584"/>
      <c r="AL92" s="584"/>
    </row>
    <row r="93" spans="1:39" x14ac:dyDescent="0.25">
      <c r="A93" s="355">
        <f>IF(A116=Słowniki!X3,0,0)</f>
        <v>0</v>
      </c>
      <c r="B93" s="355"/>
      <c r="C93" s="355"/>
      <c r="D93" s="355"/>
      <c r="E93" s="355"/>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c r="AH93" s="355"/>
      <c r="AI93" s="355"/>
      <c r="AJ93" s="355"/>
      <c r="AK93" s="355"/>
      <c r="AL93" s="355"/>
    </row>
    <row r="94" spans="1:39" x14ac:dyDescent="0.25">
      <c r="A94" s="376" t="s">
        <v>900</v>
      </c>
      <c r="B94" s="376"/>
      <c r="C94" s="376"/>
      <c r="D94" s="376"/>
      <c r="E94" s="376"/>
      <c r="F94" s="376"/>
      <c r="G94" s="376"/>
      <c r="H94" s="376"/>
      <c r="I94" s="376"/>
      <c r="J94" s="376"/>
      <c r="K94" s="376"/>
      <c r="L94" s="376"/>
      <c r="M94" s="376"/>
      <c r="N94" s="376"/>
      <c r="O94" s="376"/>
      <c r="P94" s="376"/>
      <c r="Q94" s="376"/>
      <c r="R94" s="376"/>
      <c r="S94" s="376"/>
      <c r="T94" s="376"/>
      <c r="U94" s="376"/>
      <c r="V94" s="376"/>
      <c r="W94" s="376"/>
      <c r="X94" s="376"/>
      <c r="Y94" s="376"/>
      <c r="Z94" s="376"/>
      <c r="AA94" s="376"/>
      <c r="AB94" s="376"/>
      <c r="AC94" s="376"/>
      <c r="AD94" s="376"/>
      <c r="AE94" s="376"/>
      <c r="AF94" s="376"/>
      <c r="AG94" s="376"/>
      <c r="AH94" s="376"/>
      <c r="AI94" s="376"/>
      <c r="AJ94" s="376"/>
      <c r="AK94" s="376"/>
      <c r="AL94" s="376"/>
    </row>
    <row r="95" spans="1:39" x14ac:dyDescent="0.25">
      <c r="A95" s="355"/>
      <c r="B95" s="355"/>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row>
    <row r="96" spans="1:39" x14ac:dyDescent="0.25">
      <c r="A96" s="149" t="s">
        <v>91</v>
      </c>
      <c r="B96" s="351" t="s">
        <v>94</v>
      </c>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c r="AH96" s="351"/>
      <c r="AI96" s="351"/>
      <c r="AJ96" s="351"/>
      <c r="AK96" s="351"/>
      <c r="AL96" s="351"/>
      <c r="AM96" s="119"/>
    </row>
    <row r="97" spans="1:48" ht="58.5" customHeight="1" x14ac:dyDescent="0.25">
      <c r="A97" s="581" t="s">
        <v>911</v>
      </c>
      <c r="B97" s="505"/>
      <c r="C97" s="505"/>
      <c r="D97" s="505"/>
      <c r="E97" s="505"/>
      <c r="F97" s="505"/>
      <c r="G97" s="505"/>
      <c r="H97" s="505"/>
      <c r="I97" s="505"/>
      <c r="J97" s="505"/>
      <c r="K97" s="505"/>
      <c r="L97" s="505"/>
      <c r="M97" s="505"/>
      <c r="N97" s="505"/>
      <c r="O97" s="505"/>
      <c r="P97" s="505"/>
      <c r="Q97" s="505"/>
      <c r="R97" s="505"/>
      <c r="S97" s="505"/>
      <c r="T97" s="505"/>
      <c r="U97" s="505"/>
      <c r="V97" s="505"/>
      <c r="W97" s="505"/>
      <c r="X97" s="505"/>
      <c r="Y97" s="505"/>
      <c r="Z97" s="505"/>
      <c r="AA97" s="505"/>
      <c r="AB97" s="505"/>
      <c r="AC97" s="505"/>
      <c r="AD97" s="505"/>
      <c r="AE97" s="505"/>
      <c r="AF97" s="505"/>
      <c r="AG97" s="505"/>
      <c r="AH97" s="505"/>
      <c r="AI97" s="505"/>
      <c r="AJ97" s="505"/>
      <c r="AK97" s="505"/>
      <c r="AL97" s="505"/>
      <c r="AM97" s="66"/>
      <c r="AN97" s="66"/>
      <c r="AO97" s="66"/>
      <c r="AP97" s="66"/>
      <c r="AQ97" s="66"/>
      <c r="AR97" s="66"/>
      <c r="AS97" s="66"/>
      <c r="AT97" s="66"/>
      <c r="AU97" s="66"/>
    </row>
    <row r="98" spans="1:48" ht="120.45" customHeight="1" x14ac:dyDescent="0.25">
      <c r="A98" s="308" t="s">
        <v>877</v>
      </c>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c r="AJ98" s="308"/>
      <c r="AK98" s="308"/>
      <c r="AL98" s="308"/>
      <c r="AM98" s="77"/>
      <c r="AN98" s="66"/>
      <c r="AO98" s="66"/>
      <c r="AP98" s="66"/>
      <c r="AQ98" s="66"/>
      <c r="AR98" s="66"/>
      <c r="AS98" s="66"/>
      <c r="AT98" s="66"/>
      <c r="AU98" s="66"/>
    </row>
    <row r="99" spans="1:48" ht="118.5" customHeight="1" x14ac:dyDescent="0.25">
      <c r="A99" s="357" t="s">
        <v>125</v>
      </c>
      <c r="B99" s="357"/>
      <c r="C99" s="357"/>
      <c r="D99" s="357"/>
      <c r="E99" s="357"/>
      <c r="F99" s="357"/>
      <c r="G99" s="357"/>
      <c r="H99" s="357"/>
      <c r="I99" s="358" t="s">
        <v>872</v>
      </c>
      <c r="J99" s="358"/>
      <c r="K99" s="358"/>
      <c r="L99" s="358"/>
      <c r="M99" s="358"/>
      <c r="N99" s="358"/>
      <c r="O99" s="358"/>
      <c r="P99" s="358"/>
      <c r="Q99" s="358"/>
      <c r="R99" s="358"/>
      <c r="S99" s="358"/>
      <c r="T99" s="358" t="s">
        <v>873</v>
      </c>
      <c r="U99" s="358"/>
      <c r="V99" s="358"/>
      <c r="W99" s="358"/>
      <c r="X99" s="358"/>
      <c r="Y99" s="358"/>
      <c r="Z99" s="358"/>
      <c r="AA99" s="358"/>
      <c r="AB99" s="358"/>
      <c r="AC99" s="358"/>
      <c r="AD99" s="358"/>
      <c r="AE99" s="358" t="s">
        <v>874</v>
      </c>
      <c r="AF99" s="358"/>
      <c r="AG99" s="358"/>
      <c r="AH99" s="358"/>
      <c r="AI99" s="358"/>
      <c r="AJ99" s="358"/>
      <c r="AK99" s="358" t="s">
        <v>875</v>
      </c>
      <c r="AL99" s="358"/>
      <c r="AM99" s="77"/>
      <c r="AN99" s="66"/>
      <c r="AO99" s="66"/>
      <c r="AP99" s="66"/>
      <c r="AQ99" s="66"/>
      <c r="AR99" s="66"/>
      <c r="AS99" s="66"/>
      <c r="AT99" s="66"/>
      <c r="AU99" s="66"/>
    </row>
    <row r="100" spans="1:48" ht="25.5" customHeight="1" x14ac:dyDescent="0.25">
      <c r="A100" s="443"/>
      <c r="B100" s="443"/>
      <c r="C100" s="443"/>
      <c r="D100" s="443"/>
      <c r="E100" s="443"/>
      <c r="F100" s="443"/>
      <c r="G100" s="443"/>
      <c r="H100" s="443"/>
      <c r="I100" s="415"/>
      <c r="J100" s="416"/>
      <c r="K100" s="416"/>
      <c r="L100" s="416"/>
      <c r="M100" s="416"/>
      <c r="N100" s="416"/>
      <c r="O100" s="416"/>
      <c r="P100" s="416"/>
      <c r="Q100" s="416"/>
      <c r="R100" s="416"/>
      <c r="S100" s="417"/>
      <c r="T100" s="415"/>
      <c r="U100" s="416"/>
      <c r="V100" s="416"/>
      <c r="W100" s="416"/>
      <c r="X100" s="416"/>
      <c r="Y100" s="416"/>
      <c r="Z100" s="416"/>
      <c r="AA100" s="416"/>
      <c r="AB100" s="416"/>
      <c r="AC100" s="416"/>
      <c r="AD100" s="417"/>
      <c r="AE100" s="415"/>
      <c r="AF100" s="416"/>
      <c r="AG100" s="416"/>
      <c r="AH100" s="416"/>
      <c r="AI100" s="416"/>
      <c r="AJ100" s="416"/>
      <c r="AK100" s="415"/>
      <c r="AL100" s="416"/>
      <c r="AM100" s="77" t="s">
        <v>876</v>
      </c>
    </row>
    <row r="101" spans="1:48" ht="30" customHeight="1" x14ac:dyDescent="0.25">
      <c r="A101" s="332" t="s">
        <v>225</v>
      </c>
      <c r="B101" s="332"/>
      <c r="C101" s="332"/>
      <c r="D101" s="332"/>
      <c r="E101" s="332"/>
      <c r="F101" s="332"/>
      <c r="G101" s="332"/>
      <c r="H101" s="332"/>
      <c r="I101" s="332"/>
      <c r="J101" s="332"/>
      <c r="K101" s="332"/>
      <c r="L101" s="332"/>
      <c r="M101" s="332"/>
      <c r="N101" s="332"/>
      <c r="O101" s="332"/>
      <c r="P101" s="332"/>
      <c r="Q101" s="332"/>
      <c r="R101" s="332"/>
      <c r="S101" s="332"/>
      <c r="T101" s="332"/>
      <c r="U101" s="332"/>
      <c r="V101" s="332"/>
      <c r="W101" s="332"/>
      <c r="X101" s="332"/>
      <c r="Y101" s="332"/>
      <c r="Z101" s="332"/>
      <c r="AA101" s="332"/>
      <c r="AB101" s="332"/>
      <c r="AC101" s="332"/>
      <c r="AD101" s="332"/>
      <c r="AE101" s="332"/>
      <c r="AF101" s="332"/>
      <c r="AG101" s="332"/>
      <c r="AH101" s="332"/>
      <c r="AI101" s="332"/>
      <c r="AJ101" s="332"/>
      <c r="AK101" s="332"/>
      <c r="AL101" s="332"/>
      <c r="AM101" s="119"/>
    </row>
    <row r="102" spans="1:48" x14ac:dyDescent="0.25">
      <c r="A102" s="621">
        <f>A91</f>
        <v>0</v>
      </c>
      <c r="B102" s="622"/>
      <c r="C102" s="622"/>
      <c r="D102" s="622"/>
      <c r="E102" s="622"/>
      <c r="F102" s="622"/>
      <c r="G102" s="622"/>
      <c r="H102" s="622"/>
      <c r="I102" s="622"/>
      <c r="J102" s="622"/>
      <c r="K102" s="622"/>
      <c r="L102" s="622"/>
      <c r="M102" s="622"/>
      <c r="N102" s="622"/>
      <c r="O102" s="622"/>
      <c r="P102" s="622"/>
      <c r="Q102" s="622"/>
      <c r="R102" s="622"/>
      <c r="S102" s="622"/>
      <c r="T102" s="622"/>
      <c r="U102" s="622"/>
      <c r="V102" s="622"/>
      <c r="W102" s="622"/>
      <c r="X102" s="622"/>
      <c r="Y102" s="622"/>
      <c r="Z102" s="622"/>
      <c r="AA102" s="622"/>
      <c r="AB102" s="622"/>
      <c r="AC102" s="622"/>
      <c r="AD102" s="622"/>
      <c r="AE102" s="622"/>
      <c r="AF102" s="622"/>
      <c r="AG102" s="622"/>
      <c r="AH102" s="622"/>
      <c r="AI102" s="622"/>
      <c r="AJ102" s="622"/>
      <c r="AK102" s="622"/>
      <c r="AL102" s="623"/>
    </row>
    <row r="103" spans="1:48" ht="18.75" customHeight="1" x14ac:dyDescent="0.25">
      <c r="A103" s="332" t="s">
        <v>173</v>
      </c>
      <c r="B103" s="332"/>
      <c r="C103" s="332"/>
      <c r="D103" s="332"/>
      <c r="E103" s="332"/>
      <c r="F103" s="332"/>
      <c r="G103" s="332"/>
      <c r="H103" s="332"/>
      <c r="I103" s="332"/>
      <c r="J103" s="332"/>
      <c r="K103" s="332"/>
      <c r="L103" s="332"/>
      <c r="M103" s="332"/>
      <c r="N103" s="332"/>
      <c r="O103" s="332"/>
      <c r="P103" s="332"/>
      <c r="Q103" s="332"/>
      <c r="R103" s="332"/>
      <c r="S103" s="332"/>
      <c r="T103" s="332"/>
      <c r="U103" s="332"/>
      <c r="V103" s="332"/>
      <c r="W103" s="332"/>
      <c r="X103" s="332"/>
      <c r="Y103" s="332"/>
      <c r="Z103" s="332"/>
      <c r="AA103" s="332"/>
      <c r="AB103" s="332"/>
      <c r="AC103" s="332"/>
      <c r="AD103" s="332"/>
      <c r="AE103" s="332"/>
      <c r="AF103" s="332"/>
      <c r="AG103" s="332"/>
      <c r="AH103" s="332"/>
      <c r="AI103" s="332"/>
      <c r="AJ103" s="332"/>
      <c r="AK103" s="332"/>
      <c r="AL103" s="332"/>
      <c r="AM103" s="119"/>
    </row>
    <row r="104" spans="1:48" x14ac:dyDescent="0.25">
      <c r="A104" s="632"/>
      <c r="B104" s="633"/>
      <c r="C104" s="633"/>
      <c r="D104" s="633"/>
      <c r="E104" s="633"/>
      <c r="F104" s="633"/>
      <c r="G104" s="633"/>
      <c r="H104" s="633"/>
      <c r="I104" s="633"/>
      <c r="J104" s="633"/>
      <c r="K104" s="633"/>
      <c r="L104" s="633"/>
      <c r="M104" s="633"/>
      <c r="N104" s="633"/>
      <c r="O104" s="633"/>
      <c r="P104" s="633"/>
      <c r="Q104" s="633"/>
      <c r="R104" s="633"/>
      <c r="S104" s="633"/>
      <c r="T104" s="633"/>
      <c r="U104" s="633"/>
      <c r="V104" s="633"/>
      <c r="W104" s="633"/>
      <c r="X104" s="633"/>
      <c r="Y104" s="633"/>
      <c r="Z104" s="633"/>
      <c r="AA104" s="633"/>
      <c r="AB104" s="633"/>
      <c r="AC104" s="633"/>
      <c r="AD104" s="633"/>
      <c r="AE104" s="633"/>
      <c r="AF104" s="633"/>
      <c r="AG104" s="633"/>
      <c r="AH104" s="633"/>
      <c r="AI104" s="633"/>
      <c r="AJ104" s="633"/>
      <c r="AK104" s="633"/>
      <c r="AL104" s="634"/>
    </row>
    <row r="105" spans="1:48" ht="21" customHeight="1" x14ac:dyDescent="0.25">
      <c r="A105" s="308" t="s">
        <v>791</v>
      </c>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c r="AJ105" s="308"/>
      <c r="AK105" s="308"/>
      <c r="AL105" s="308"/>
      <c r="AM105" s="335" t="s">
        <v>914</v>
      </c>
      <c r="AN105" s="335"/>
      <c r="AO105" s="335"/>
      <c r="AP105" s="335"/>
      <c r="AQ105" s="335"/>
      <c r="AR105" s="335"/>
      <c r="AS105" s="335"/>
      <c r="AT105" s="335"/>
      <c r="AU105" s="335"/>
      <c r="AV105" s="335"/>
    </row>
    <row r="106" spans="1:48" x14ac:dyDescent="0.25">
      <c r="A106" s="635"/>
      <c r="B106" s="636"/>
      <c r="C106" s="636"/>
      <c r="D106" s="636"/>
      <c r="E106" s="636"/>
      <c r="F106" s="636"/>
      <c r="G106" s="636"/>
      <c r="H106" s="636"/>
      <c r="I106" s="636"/>
      <c r="J106" s="636"/>
      <c r="K106" s="636"/>
      <c r="L106" s="636"/>
      <c r="M106" s="636"/>
      <c r="N106" s="636"/>
      <c r="O106" s="636"/>
      <c r="P106" s="636"/>
      <c r="Q106" s="636"/>
      <c r="R106" s="636"/>
      <c r="S106" s="636"/>
      <c r="T106" s="636"/>
      <c r="U106" s="636"/>
      <c r="V106" s="636"/>
      <c r="W106" s="636"/>
      <c r="X106" s="636"/>
      <c r="Y106" s="636"/>
      <c r="Z106" s="636"/>
      <c r="AA106" s="636"/>
      <c r="AB106" s="636"/>
      <c r="AC106" s="636"/>
      <c r="AD106" s="636"/>
      <c r="AE106" s="636"/>
      <c r="AF106" s="636"/>
      <c r="AG106" s="636"/>
      <c r="AH106" s="636"/>
      <c r="AI106" s="636"/>
      <c r="AJ106" s="636"/>
      <c r="AK106" s="636"/>
      <c r="AL106" s="637"/>
    </row>
    <row r="107" spans="1:48" ht="30" customHeight="1" x14ac:dyDescent="0.25">
      <c r="A107" s="308" t="s">
        <v>696</v>
      </c>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c r="AJ107" s="308"/>
      <c r="AK107" s="308"/>
      <c r="AL107" s="308"/>
      <c r="AM107" s="335" t="s">
        <v>914</v>
      </c>
      <c r="AN107" s="335"/>
      <c r="AO107" s="335"/>
      <c r="AP107" s="335"/>
      <c r="AQ107" s="335"/>
      <c r="AR107" s="335"/>
      <c r="AS107" s="335"/>
      <c r="AT107" s="335"/>
      <c r="AU107" s="335"/>
      <c r="AV107" s="335"/>
    </row>
    <row r="108" spans="1:48" x14ac:dyDescent="0.25">
      <c r="A108" s="635"/>
      <c r="B108" s="636"/>
      <c r="C108" s="636"/>
      <c r="D108" s="636"/>
      <c r="E108" s="636"/>
      <c r="F108" s="636"/>
      <c r="G108" s="636"/>
      <c r="H108" s="636"/>
      <c r="I108" s="636"/>
      <c r="J108" s="636"/>
      <c r="K108" s="636"/>
      <c r="L108" s="636"/>
      <c r="M108" s="636"/>
      <c r="N108" s="636"/>
      <c r="O108" s="636"/>
      <c r="P108" s="636"/>
      <c r="Q108" s="636"/>
      <c r="R108" s="636"/>
      <c r="S108" s="636"/>
      <c r="T108" s="636"/>
      <c r="U108" s="636"/>
      <c r="V108" s="636"/>
      <c r="W108" s="636"/>
      <c r="X108" s="636"/>
      <c r="Y108" s="636"/>
      <c r="Z108" s="636"/>
      <c r="AA108" s="636"/>
      <c r="AB108" s="636"/>
      <c r="AC108" s="636"/>
      <c r="AD108" s="636"/>
      <c r="AE108" s="636"/>
      <c r="AF108" s="636"/>
      <c r="AG108" s="636"/>
      <c r="AH108" s="636"/>
      <c r="AI108" s="636"/>
      <c r="AJ108" s="636"/>
      <c r="AK108" s="636"/>
      <c r="AL108" s="637"/>
    </row>
    <row r="109" spans="1:48" ht="36" customHeight="1" x14ac:dyDescent="0.25">
      <c r="A109" s="308" t="s">
        <v>792</v>
      </c>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35" t="s">
        <v>914</v>
      </c>
      <c r="AN109" s="335"/>
      <c r="AO109" s="335"/>
      <c r="AP109" s="335"/>
      <c r="AQ109" s="335"/>
      <c r="AR109" s="335"/>
      <c r="AS109" s="335"/>
      <c r="AT109" s="335"/>
      <c r="AU109" s="335"/>
      <c r="AV109" s="335"/>
    </row>
    <row r="110" spans="1:48" x14ac:dyDescent="0.25">
      <c r="A110" s="635"/>
      <c r="B110" s="636"/>
      <c r="C110" s="636"/>
      <c r="D110" s="636"/>
      <c r="E110" s="636"/>
      <c r="F110" s="636"/>
      <c r="G110" s="636"/>
      <c r="H110" s="636"/>
      <c r="I110" s="636"/>
      <c r="J110" s="636"/>
      <c r="K110" s="636"/>
      <c r="L110" s="636"/>
      <c r="M110" s="636"/>
      <c r="N110" s="636"/>
      <c r="O110" s="636"/>
      <c r="P110" s="636"/>
      <c r="Q110" s="636"/>
      <c r="R110" s="636"/>
      <c r="S110" s="636"/>
      <c r="T110" s="636"/>
      <c r="U110" s="636"/>
      <c r="V110" s="636"/>
      <c r="W110" s="636"/>
      <c r="X110" s="636"/>
      <c r="Y110" s="636"/>
      <c r="Z110" s="636"/>
      <c r="AA110" s="636"/>
      <c r="AB110" s="636"/>
      <c r="AC110" s="636"/>
      <c r="AD110" s="636"/>
      <c r="AE110" s="636"/>
      <c r="AF110" s="636"/>
      <c r="AG110" s="636"/>
      <c r="AH110" s="636"/>
      <c r="AI110" s="636"/>
      <c r="AJ110" s="636"/>
      <c r="AK110" s="636"/>
      <c r="AL110" s="637"/>
    </row>
    <row r="111" spans="1:48" x14ac:dyDescent="0.25">
      <c r="A111" s="328" t="s">
        <v>687</v>
      </c>
      <c r="B111" s="328"/>
      <c r="C111" s="328"/>
      <c r="D111" s="328"/>
      <c r="E111" s="328"/>
      <c r="F111" s="328"/>
      <c r="G111" s="328"/>
      <c r="H111" s="328"/>
      <c r="I111" s="328"/>
      <c r="J111" s="328"/>
      <c r="K111" s="328"/>
      <c r="L111" s="328"/>
      <c r="M111" s="328"/>
      <c r="N111" s="328"/>
      <c r="O111" s="328"/>
      <c r="P111" s="328"/>
      <c r="Q111" s="328"/>
      <c r="R111" s="328"/>
      <c r="S111" s="328"/>
      <c r="T111" s="328"/>
      <c r="U111" s="328"/>
      <c r="V111" s="328"/>
      <c r="W111" s="328"/>
      <c r="X111" s="328"/>
      <c r="Y111" s="328"/>
      <c r="Z111" s="328"/>
      <c r="AA111" s="328"/>
      <c r="AB111" s="328"/>
      <c r="AC111" s="328"/>
      <c r="AD111" s="328"/>
      <c r="AE111" s="328"/>
      <c r="AF111" s="328"/>
      <c r="AG111" s="328"/>
      <c r="AH111" s="328"/>
      <c r="AI111" s="328"/>
      <c r="AJ111" s="328"/>
      <c r="AK111" s="328"/>
      <c r="AL111" s="328"/>
      <c r="AM111" s="119"/>
    </row>
    <row r="112" spans="1:48" ht="28.5" customHeight="1" x14ac:dyDescent="0.25">
      <c r="A112" s="391" t="s">
        <v>735</v>
      </c>
      <c r="B112" s="391"/>
      <c r="C112" s="391"/>
      <c r="D112" s="391"/>
      <c r="E112" s="391"/>
      <c r="F112" s="391"/>
      <c r="G112" s="391"/>
      <c r="H112" s="391"/>
      <c r="I112" s="391"/>
      <c r="J112" s="391"/>
      <c r="K112" s="391"/>
      <c r="L112" s="391"/>
      <c r="M112" s="391"/>
      <c r="N112" s="391"/>
      <c r="O112" s="391"/>
      <c r="P112" s="391"/>
      <c r="Q112" s="391"/>
      <c r="R112" s="391"/>
      <c r="S112" s="391"/>
      <c r="T112" s="391"/>
      <c r="U112" s="391"/>
      <c r="V112" s="391"/>
      <c r="W112" s="391"/>
      <c r="X112" s="391"/>
      <c r="Y112" s="391"/>
      <c r="Z112" s="391"/>
      <c r="AA112" s="391"/>
      <c r="AB112" s="391"/>
      <c r="AC112" s="391"/>
      <c r="AD112" s="391"/>
      <c r="AE112" s="391"/>
      <c r="AF112" s="391"/>
      <c r="AG112" s="391"/>
      <c r="AH112" s="391"/>
      <c r="AI112" s="391"/>
      <c r="AJ112" s="391"/>
      <c r="AK112" s="391"/>
      <c r="AL112" s="391"/>
      <c r="AM112" s="119"/>
    </row>
    <row r="113" spans="1:39" ht="45" customHeight="1" x14ac:dyDescent="0.25">
      <c r="A113" s="392" t="s">
        <v>736</v>
      </c>
      <c r="B113" s="392"/>
      <c r="C113" s="392"/>
      <c r="D113" s="392"/>
      <c r="E113" s="392"/>
      <c r="F113" s="392"/>
      <c r="G113" s="392"/>
      <c r="H113" s="392"/>
      <c r="I113" s="392"/>
      <c r="J113" s="392"/>
      <c r="K113" s="392"/>
      <c r="L113" s="392"/>
      <c r="M113" s="392"/>
      <c r="N113" s="392"/>
      <c r="O113" s="392"/>
      <c r="P113" s="392"/>
      <c r="Q113" s="392"/>
      <c r="R113" s="392"/>
      <c r="S113" s="392"/>
      <c r="T113" s="392"/>
      <c r="U113" s="392"/>
      <c r="V113" s="392"/>
      <c r="W113" s="392"/>
      <c r="X113" s="392"/>
      <c r="Y113" s="392"/>
      <c r="Z113" s="392"/>
      <c r="AA113" s="392"/>
      <c r="AB113" s="392"/>
      <c r="AC113" s="392"/>
      <c r="AD113" s="392"/>
      <c r="AE113" s="392"/>
      <c r="AF113" s="392"/>
      <c r="AG113" s="392"/>
      <c r="AH113" s="392"/>
      <c r="AI113" s="392"/>
      <c r="AJ113" s="392"/>
      <c r="AK113" s="392"/>
      <c r="AL113" s="392"/>
      <c r="AM113" s="119"/>
    </row>
    <row r="114" spans="1:39" ht="103.2" customHeight="1" x14ac:dyDescent="0.25">
      <c r="A114" s="391" t="s">
        <v>925</v>
      </c>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c r="AF114" s="391"/>
      <c r="AG114" s="391"/>
      <c r="AH114" s="391"/>
      <c r="AI114" s="391"/>
      <c r="AJ114" s="391"/>
      <c r="AK114" s="391"/>
      <c r="AL114" s="391"/>
      <c r="AM114" s="119"/>
    </row>
    <row r="115" spans="1:39" ht="112.95" customHeight="1" x14ac:dyDescent="0.25">
      <c r="A115" s="618"/>
      <c r="B115" s="619"/>
      <c r="C115" s="619"/>
      <c r="D115" s="619"/>
      <c r="E115" s="619"/>
      <c r="F115" s="619"/>
      <c r="G115" s="619"/>
      <c r="H115" s="619"/>
      <c r="I115" s="619"/>
      <c r="J115" s="619"/>
      <c r="K115" s="619"/>
      <c r="L115" s="619"/>
      <c r="M115" s="619"/>
      <c r="N115" s="619"/>
      <c r="O115" s="619"/>
      <c r="P115" s="619"/>
      <c r="Q115" s="619"/>
      <c r="R115" s="619"/>
      <c r="S115" s="619"/>
      <c r="T115" s="619"/>
      <c r="U115" s="619"/>
      <c r="V115" s="619"/>
      <c r="W115" s="619"/>
      <c r="X115" s="619"/>
      <c r="Y115" s="619"/>
      <c r="Z115" s="619"/>
      <c r="AA115" s="619"/>
      <c r="AB115" s="619"/>
      <c r="AC115" s="619"/>
      <c r="AD115" s="619"/>
      <c r="AE115" s="619"/>
      <c r="AF115" s="619"/>
      <c r="AG115" s="619"/>
      <c r="AH115" s="619"/>
      <c r="AI115" s="619"/>
      <c r="AJ115" s="619"/>
      <c r="AK115" s="619"/>
      <c r="AL115" s="620"/>
      <c r="AM115" s="119"/>
    </row>
    <row r="116" spans="1:39" s="116" customFormat="1" ht="55.5" customHeight="1" x14ac:dyDescent="0.2">
      <c r="A116" s="332" t="s">
        <v>738</v>
      </c>
      <c r="B116" s="332"/>
      <c r="C116" s="332"/>
      <c r="D116" s="332"/>
      <c r="E116" s="332"/>
      <c r="F116" s="332"/>
      <c r="G116" s="332"/>
      <c r="H116" s="332"/>
      <c r="I116" s="332"/>
      <c r="J116" s="332"/>
      <c r="K116" s="332"/>
      <c r="L116" s="332"/>
      <c r="M116" s="332"/>
      <c r="N116" s="332"/>
      <c r="O116" s="332"/>
      <c r="P116" s="332"/>
      <c r="Q116" s="332"/>
      <c r="R116" s="332"/>
      <c r="S116" s="332"/>
      <c r="T116" s="332"/>
      <c r="U116" s="332"/>
      <c r="V116" s="332"/>
      <c r="W116" s="332"/>
      <c r="X116" s="332"/>
      <c r="Y116" s="332"/>
      <c r="Z116" s="332"/>
      <c r="AA116" s="332"/>
      <c r="AB116" s="332"/>
      <c r="AC116" s="332"/>
      <c r="AD116" s="332"/>
      <c r="AE116" s="332"/>
      <c r="AF116" s="332"/>
      <c r="AG116" s="332"/>
      <c r="AH116" s="332"/>
      <c r="AI116" s="332"/>
      <c r="AJ116" s="332"/>
      <c r="AK116" s="332"/>
      <c r="AL116" s="332"/>
      <c r="AM116" s="101"/>
    </row>
    <row r="117" spans="1:39" ht="41.25" customHeight="1" x14ac:dyDescent="0.25">
      <c r="A117" s="333" t="s">
        <v>739</v>
      </c>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row>
    <row r="118" spans="1:39" ht="45" customHeight="1" x14ac:dyDescent="0.25">
      <c r="A118" s="308" t="s">
        <v>1109</v>
      </c>
      <c r="B118" s="332"/>
      <c r="C118" s="332"/>
      <c r="D118" s="332"/>
      <c r="E118" s="332"/>
      <c r="F118" s="332"/>
      <c r="G118" s="332"/>
      <c r="H118" s="332"/>
      <c r="I118" s="332"/>
      <c r="J118" s="332"/>
      <c r="K118" s="332"/>
      <c r="L118" s="332"/>
      <c r="M118" s="332"/>
      <c r="N118" s="332"/>
      <c r="O118" s="332"/>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row>
    <row r="119" spans="1:39" ht="45" customHeight="1" x14ac:dyDescent="0.25">
      <c r="A119" s="333" t="s">
        <v>742</v>
      </c>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row>
    <row r="120" spans="1:39" ht="31.95" customHeight="1" x14ac:dyDescent="0.25">
      <c r="A120" s="405" t="s">
        <v>1131</v>
      </c>
      <c r="B120" s="382"/>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c r="Z120" s="382"/>
      <c r="AA120" s="382"/>
      <c r="AB120" s="382"/>
      <c r="AC120" s="382"/>
      <c r="AD120" s="382"/>
      <c r="AE120" s="382"/>
      <c r="AF120" s="382"/>
      <c r="AG120" s="382"/>
      <c r="AH120" s="382"/>
      <c r="AI120" s="382"/>
      <c r="AJ120" s="382"/>
      <c r="AK120" s="382"/>
      <c r="AL120" s="383"/>
    </row>
    <row r="121" spans="1:39" ht="45" customHeight="1" x14ac:dyDescent="0.3">
      <c r="A121" s="406" t="s">
        <v>749</v>
      </c>
      <c r="B121" s="406"/>
      <c r="C121" s="406"/>
      <c r="D121" s="406"/>
      <c r="E121" s="406"/>
      <c r="F121" s="406"/>
      <c r="G121" s="406"/>
      <c r="H121" s="406"/>
      <c r="I121" s="406"/>
      <c r="J121" s="406"/>
      <c r="K121" s="406"/>
      <c r="L121" s="406"/>
      <c r="M121" s="406"/>
      <c r="N121" s="406"/>
      <c r="O121" s="406"/>
      <c r="P121" s="406"/>
      <c r="Q121" s="406"/>
      <c r="R121" s="406"/>
      <c r="S121" s="406"/>
      <c r="T121" s="406"/>
      <c r="U121" s="406"/>
      <c r="V121" s="406"/>
      <c r="W121" s="406"/>
      <c r="X121" s="406"/>
      <c r="Y121" s="406"/>
      <c r="Z121" s="406"/>
      <c r="AA121" s="401"/>
      <c r="AB121" s="402"/>
      <c r="AC121" s="402"/>
      <c r="AD121" s="402"/>
      <c r="AE121" s="402"/>
      <c r="AF121" s="402"/>
      <c r="AG121" s="402"/>
      <c r="AH121" s="402"/>
      <c r="AI121" s="402"/>
      <c r="AJ121" s="402"/>
      <c r="AK121" s="402"/>
      <c r="AL121" s="402"/>
    </row>
    <row r="122" spans="1:39" ht="30" customHeight="1" x14ac:dyDescent="0.3">
      <c r="A122" s="381" t="s">
        <v>750</v>
      </c>
      <c r="B122" s="382"/>
      <c r="C122" s="382"/>
      <c r="D122" s="382"/>
      <c r="E122" s="382"/>
      <c r="F122" s="382"/>
      <c r="G122" s="382"/>
      <c r="H122" s="382"/>
      <c r="I122" s="382"/>
      <c r="J122" s="382"/>
      <c r="K122" s="382"/>
      <c r="L122" s="382"/>
      <c r="M122" s="382"/>
      <c r="N122" s="382"/>
      <c r="O122" s="382"/>
      <c r="P122" s="382"/>
      <c r="Q122" s="382"/>
      <c r="R122" s="382"/>
      <c r="S122" s="382"/>
      <c r="T122" s="382"/>
      <c r="U122" s="382"/>
      <c r="V122" s="382"/>
      <c r="W122" s="382"/>
      <c r="X122" s="382"/>
      <c r="Y122" s="382"/>
      <c r="Z122" s="383"/>
      <c r="AA122" s="407"/>
      <c r="AB122" s="408"/>
      <c r="AC122" s="408"/>
      <c r="AD122" s="408"/>
      <c r="AE122" s="408"/>
      <c r="AF122" s="408"/>
      <c r="AG122" s="408"/>
      <c r="AH122" s="408"/>
      <c r="AI122" s="408"/>
      <c r="AJ122" s="408"/>
      <c r="AK122" s="408"/>
      <c r="AL122" s="408"/>
    </row>
    <row r="123" spans="1:39" ht="42" customHeight="1" x14ac:dyDescent="0.3">
      <c r="A123" s="314" t="s">
        <v>931</v>
      </c>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c r="AA123" s="398" t="s">
        <v>865</v>
      </c>
      <c r="AB123" s="399"/>
      <c r="AC123" s="399"/>
      <c r="AD123" s="399"/>
      <c r="AE123" s="399"/>
      <c r="AF123" s="399"/>
      <c r="AG123" s="399"/>
      <c r="AH123" s="399"/>
      <c r="AI123" s="400"/>
      <c r="AJ123" s="401"/>
      <c r="AK123" s="402"/>
      <c r="AL123" s="402"/>
    </row>
    <row r="124" spans="1:39" ht="43.2" customHeight="1" x14ac:dyDescent="0.3">
      <c r="A124" s="409"/>
      <c r="B124" s="397"/>
      <c r="C124" s="397"/>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c r="AA124" s="398" t="s">
        <v>866</v>
      </c>
      <c r="AB124" s="399"/>
      <c r="AC124" s="399"/>
      <c r="AD124" s="399"/>
      <c r="AE124" s="399"/>
      <c r="AF124" s="399"/>
      <c r="AG124" s="399"/>
      <c r="AH124" s="399"/>
      <c r="AI124" s="400"/>
      <c r="AJ124" s="401"/>
      <c r="AK124" s="402"/>
      <c r="AL124" s="402"/>
    </row>
    <row r="125" spans="1:39" ht="79.95" customHeight="1" x14ac:dyDescent="0.25">
      <c r="A125" s="381" t="s">
        <v>932</v>
      </c>
      <c r="B125" s="382"/>
      <c r="C125" s="382"/>
      <c r="D125" s="382"/>
      <c r="E125" s="382"/>
      <c r="F125" s="382"/>
      <c r="G125" s="382"/>
      <c r="H125" s="382"/>
      <c r="I125" s="382"/>
      <c r="J125" s="382"/>
      <c r="K125" s="382"/>
      <c r="L125" s="382"/>
      <c r="M125" s="382"/>
      <c r="N125" s="382"/>
      <c r="O125" s="382"/>
      <c r="P125" s="382"/>
      <c r="Q125" s="382"/>
      <c r="R125" s="382"/>
      <c r="S125" s="382"/>
      <c r="T125" s="382"/>
      <c r="U125" s="382"/>
      <c r="V125" s="382"/>
      <c r="W125" s="382"/>
      <c r="X125" s="382"/>
      <c r="Y125" s="382"/>
      <c r="Z125" s="383"/>
      <c r="AA125" s="384"/>
      <c r="AB125" s="385"/>
      <c r="AC125" s="385"/>
      <c r="AD125" s="385"/>
      <c r="AE125" s="385"/>
      <c r="AF125" s="385"/>
      <c r="AG125" s="385"/>
      <c r="AH125" s="385"/>
      <c r="AI125" s="385"/>
      <c r="AJ125" s="385"/>
      <c r="AK125" s="385"/>
      <c r="AL125" s="385"/>
    </row>
    <row r="126" spans="1:39" ht="45" customHeight="1" x14ac:dyDescent="0.3">
      <c r="A126" s="377" t="s">
        <v>1132</v>
      </c>
      <c r="B126" s="377"/>
      <c r="C126" s="377"/>
      <c r="D126" s="377"/>
      <c r="E126" s="377"/>
      <c r="F126" s="377"/>
      <c r="G126" s="377"/>
      <c r="H126" s="377"/>
      <c r="I126" s="377"/>
      <c r="J126" s="377"/>
      <c r="K126" s="377"/>
      <c r="L126" s="377"/>
      <c r="M126" s="377"/>
      <c r="N126" s="377"/>
      <c r="O126" s="377"/>
      <c r="P126" s="377"/>
      <c r="Q126" s="377"/>
      <c r="R126" s="377"/>
      <c r="S126" s="377"/>
      <c r="T126" s="377"/>
      <c r="U126" s="377"/>
      <c r="V126" s="377"/>
      <c r="W126" s="377"/>
      <c r="X126" s="377"/>
      <c r="Y126" s="377"/>
      <c r="Z126" s="378"/>
      <c r="AA126" s="398" t="s">
        <v>956</v>
      </c>
      <c r="AB126" s="399"/>
      <c r="AC126" s="399"/>
      <c r="AD126" s="399"/>
      <c r="AE126" s="399"/>
      <c r="AF126" s="399"/>
      <c r="AG126" s="399"/>
      <c r="AH126" s="399"/>
      <c r="AI126" s="400"/>
      <c r="AJ126" s="401"/>
      <c r="AK126" s="402"/>
      <c r="AL126" s="402"/>
    </row>
    <row r="127" spans="1:39" ht="38.700000000000003" customHeight="1" x14ac:dyDescent="0.3">
      <c r="A127" s="379"/>
      <c r="B127" s="379"/>
      <c r="C127" s="379"/>
      <c r="D127" s="379"/>
      <c r="E127" s="379"/>
      <c r="F127" s="379"/>
      <c r="G127" s="379"/>
      <c r="H127" s="379"/>
      <c r="I127" s="379"/>
      <c r="J127" s="379"/>
      <c r="K127" s="379"/>
      <c r="L127" s="379"/>
      <c r="M127" s="379"/>
      <c r="N127" s="379"/>
      <c r="O127" s="379"/>
      <c r="P127" s="379"/>
      <c r="Q127" s="379"/>
      <c r="R127" s="379"/>
      <c r="S127" s="379"/>
      <c r="T127" s="379"/>
      <c r="U127" s="379"/>
      <c r="V127" s="379"/>
      <c r="W127" s="379"/>
      <c r="X127" s="379"/>
      <c r="Y127" s="379"/>
      <c r="Z127" s="380"/>
      <c r="AA127" s="398" t="s">
        <v>955</v>
      </c>
      <c r="AB127" s="399"/>
      <c r="AC127" s="399"/>
      <c r="AD127" s="399"/>
      <c r="AE127" s="399"/>
      <c r="AF127" s="399"/>
      <c r="AG127" s="399"/>
      <c r="AH127" s="399"/>
      <c r="AI127" s="400"/>
      <c r="AJ127" s="407"/>
      <c r="AK127" s="408"/>
      <c r="AL127" s="408"/>
    </row>
    <row r="128" spans="1:39" ht="45" customHeight="1" x14ac:dyDescent="0.3">
      <c r="A128" s="315" t="s">
        <v>933</v>
      </c>
      <c r="B128" s="315"/>
      <c r="C128" s="315"/>
      <c r="D128" s="315"/>
      <c r="E128" s="315"/>
      <c r="F128" s="315"/>
      <c r="G128" s="315"/>
      <c r="H128" s="315"/>
      <c r="I128" s="315"/>
      <c r="J128" s="315"/>
      <c r="K128" s="315"/>
      <c r="L128" s="315"/>
      <c r="M128" s="315"/>
      <c r="N128" s="315"/>
      <c r="O128" s="315"/>
      <c r="P128" s="315"/>
      <c r="Q128" s="315"/>
      <c r="R128" s="315"/>
      <c r="S128" s="315"/>
      <c r="T128" s="315"/>
      <c r="U128" s="315"/>
      <c r="V128" s="315"/>
      <c r="W128" s="315"/>
      <c r="X128" s="315"/>
      <c r="Y128" s="315"/>
      <c r="Z128" s="315"/>
      <c r="AA128" s="398" t="s">
        <v>956</v>
      </c>
      <c r="AB128" s="399"/>
      <c r="AC128" s="399"/>
      <c r="AD128" s="399"/>
      <c r="AE128" s="399"/>
      <c r="AF128" s="399"/>
      <c r="AG128" s="399"/>
      <c r="AH128" s="399"/>
      <c r="AI128" s="400"/>
      <c r="AJ128" s="401"/>
      <c r="AK128" s="402"/>
      <c r="AL128" s="402"/>
    </row>
    <row r="129" spans="1:41" ht="45" customHeight="1" x14ac:dyDescent="0.3">
      <c r="A129" s="397"/>
      <c r="B129" s="397"/>
      <c r="C129" s="397"/>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c r="AA129" s="398" t="s">
        <v>955</v>
      </c>
      <c r="AB129" s="399"/>
      <c r="AC129" s="399"/>
      <c r="AD129" s="399"/>
      <c r="AE129" s="399"/>
      <c r="AF129" s="399"/>
      <c r="AG129" s="399"/>
      <c r="AH129" s="399"/>
      <c r="AI129" s="400"/>
      <c r="AJ129" s="401"/>
      <c r="AK129" s="402"/>
      <c r="AL129" s="402"/>
    </row>
    <row r="130" spans="1:41" ht="45" customHeight="1" x14ac:dyDescent="0.25">
      <c r="A130" s="404" t="s">
        <v>929</v>
      </c>
      <c r="B130" s="404"/>
      <c r="C130" s="404"/>
      <c r="D130" s="404"/>
      <c r="E130" s="404"/>
      <c r="F130" s="404"/>
      <c r="G130" s="404"/>
      <c r="H130" s="404"/>
      <c r="I130" s="404"/>
      <c r="J130" s="404"/>
      <c r="K130" s="404"/>
      <c r="L130" s="404"/>
      <c r="M130" s="404"/>
      <c r="N130" s="404"/>
      <c r="O130" s="404"/>
      <c r="P130" s="404"/>
      <c r="Q130" s="404"/>
      <c r="R130" s="404"/>
      <c r="S130" s="404"/>
      <c r="T130" s="404"/>
      <c r="U130" s="404"/>
      <c r="V130" s="404"/>
      <c r="W130" s="404"/>
      <c r="X130" s="404"/>
      <c r="Y130" s="404"/>
      <c r="Z130" s="404"/>
      <c r="AA130" s="404"/>
      <c r="AB130" s="404"/>
      <c r="AC130" s="404"/>
      <c r="AD130" s="404"/>
      <c r="AE130" s="404"/>
      <c r="AF130" s="404"/>
      <c r="AG130" s="404"/>
      <c r="AH130" s="404"/>
      <c r="AI130" s="404"/>
      <c r="AJ130" s="404"/>
      <c r="AK130" s="404"/>
      <c r="AL130" s="404"/>
    </row>
    <row r="131" spans="1:41" ht="159" customHeight="1" x14ac:dyDescent="0.3">
      <c r="A131" s="318" t="s">
        <v>1015</v>
      </c>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20"/>
      <c r="AJ131" s="321" t="e">
        <f>ROUNDDOWN(A106/(A106+A110),4)</f>
        <v>#DIV/0!</v>
      </c>
      <c r="AK131" s="322"/>
      <c r="AL131" s="322"/>
    </row>
    <row r="132" spans="1:41" ht="296.7" customHeight="1" x14ac:dyDescent="0.3">
      <c r="A132" s="318" t="s">
        <v>1029</v>
      </c>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c r="AI132" s="320"/>
      <c r="AJ132" s="323" t="e">
        <f>ROUNDDOWN(AJ129/AJ126,4)</f>
        <v>#DIV/0!</v>
      </c>
      <c r="AK132" s="324"/>
      <c r="AL132" s="324"/>
    </row>
    <row r="133" spans="1:41" ht="71.7" customHeight="1" x14ac:dyDescent="0.25">
      <c r="A133" s="314" t="s">
        <v>1030</v>
      </c>
      <c r="B133" s="315"/>
      <c r="C133" s="315"/>
      <c r="D133" s="315"/>
      <c r="E133" s="315"/>
      <c r="F133" s="315"/>
      <c r="G133" s="315"/>
      <c r="H133" s="315"/>
      <c r="I133" s="315"/>
      <c r="J133" s="315"/>
      <c r="K133" s="315"/>
      <c r="L133" s="315"/>
      <c r="M133" s="315"/>
      <c r="N133" s="315"/>
      <c r="O133" s="315"/>
      <c r="P133" s="315"/>
      <c r="Q133" s="315"/>
      <c r="R133" s="315"/>
      <c r="S133" s="315"/>
      <c r="T133" s="315"/>
      <c r="U133" s="315"/>
      <c r="V133" s="315"/>
      <c r="W133" s="315"/>
      <c r="X133" s="315"/>
      <c r="Y133" s="315"/>
      <c r="Z133" s="315"/>
      <c r="AA133" s="315"/>
      <c r="AB133" s="315"/>
      <c r="AC133" s="315"/>
      <c r="AD133" s="315"/>
      <c r="AE133" s="315"/>
      <c r="AF133" s="315"/>
      <c r="AG133" s="315"/>
      <c r="AH133" s="315"/>
      <c r="AI133" s="315"/>
      <c r="AJ133" s="315"/>
      <c r="AK133" s="315"/>
      <c r="AL133" s="315"/>
    </row>
    <row r="134" spans="1:41" ht="127.5" customHeight="1" x14ac:dyDescent="0.25">
      <c r="A134" s="316"/>
      <c r="B134" s="317"/>
      <c r="C134" s="317"/>
      <c r="D134" s="317"/>
      <c r="E134" s="317"/>
      <c r="F134" s="317"/>
      <c r="G134" s="317"/>
      <c r="H134" s="317"/>
      <c r="I134" s="317"/>
      <c r="J134" s="317"/>
      <c r="K134" s="317"/>
      <c r="L134" s="317"/>
      <c r="M134" s="317"/>
      <c r="N134" s="317"/>
      <c r="O134" s="317"/>
      <c r="P134" s="317"/>
      <c r="Q134" s="317"/>
      <c r="R134" s="317"/>
      <c r="S134" s="317"/>
      <c r="T134" s="317"/>
      <c r="U134" s="317"/>
      <c r="V134" s="317"/>
      <c r="W134" s="317"/>
      <c r="X134" s="317"/>
      <c r="Y134" s="317"/>
      <c r="Z134" s="317"/>
      <c r="AA134" s="317"/>
      <c r="AB134" s="317"/>
      <c r="AC134" s="317"/>
      <c r="AD134" s="317"/>
      <c r="AE134" s="317"/>
      <c r="AF134" s="317"/>
      <c r="AG134" s="317"/>
      <c r="AH134" s="317"/>
      <c r="AI134" s="317"/>
      <c r="AJ134" s="317"/>
      <c r="AK134" s="317"/>
      <c r="AL134" s="317"/>
    </row>
    <row r="135" spans="1:41" ht="150" customHeight="1" x14ac:dyDescent="0.25">
      <c r="A135" s="308" t="s">
        <v>1110</v>
      </c>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c r="AH135" s="308"/>
      <c r="AI135" s="308"/>
      <c r="AJ135" s="308"/>
      <c r="AK135" s="308"/>
      <c r="AL135" s="308"/>
    </row>
    <row r="136" spans="1:41" ht="84.75" customHeight="1" x14ac:dyDescent="0.25">
      <c r="A136" s="135" t="s">
        <v>127</v>
      </c>
      <c r="B136" s="311" t="s">
        <v>812</v>
      </c>
      <c r="C136" s="312"/>
      <c r="D136" s="312"/>
      <c r="E136" s="312"/>
      <c r="F136" s="313"/>
      <c r="G136" s="325" t="s">
        <v>813</v>
      </c>
      <c r="H136" s="325"/>
      <c r="I136" s="325"/>
      <c r="J136" s="325"/>
      <c r="K136" s="325"/>
      <c r="L136" s="325" t="s">
        <v>185</v>
      </c>
      <c r="M136" s="325"/>
      <c r="N136" s="325"/>
      <c r="O136" s="325"/>
      <c r="P136" s="325" t="s">
        <v>184</v>
      </c>
      <c r="Q136" s="325"/>
      <c r="R136" s="325"/>
      <c r="S136" s="325"/>
      <c r="T136" s="325" t="s">
        <v>665</v>
      </c>
      <c r="U136" s="325"/>
      <c r="V136" s="325"/>
      <c r="W136" s="325"/>
      <c r="X136" s="325"/>
      <c r="Y136" s="325"/>
      <c r="Z136" s="325"/>
      <c r="AA136" s="325" t="s">
        <v>664</v>
      </c>
      <c r="AB136" s="325"/>
      <c r="AC136" s="325"/>
      <c r="AD136" s="325"/>
      <c r="AE136" s="325"/>
      <c r="AF136" s="325"/>
      <c r="AG136" s="325"/>
      <c r="AH136" s="325" t="s">
        <v>179</v>
      </c>
      <c r="AI136" s="325"/>
      <c r="AJ136" s="325"/>
      <c r="AK136" s="325" t="s">
        <v>186</v>
      </c>
      <c r="AL136" s="325"/>
      <c r="AM136" s="137" t="s">
        <v>221</v>
      </c>
      <c r="AN136" s="61"/>
      <c r="AO136" s="61"/>
    </row>
    <row r="137" spans="1:41" ht="14.1" customHeight="1" x14ac:dyDescent="0.25">
      <c r="A137" s="135">
        <v>1</v>
      </c>
      <c r="B137" s="311">
        <v>2</v>
      </c>
      <c r="C137" s="312"/>
      <c r="D137" s="312"/>
      <c r="E137" s="312"/>
      <c r="F137" s="312"/>
      <c r="G137" s="311">
        <v>3</v>
      </c>
      <c r="H137" s="312"/>
      <c r="I137" s="312"/>
      <c r="J137" s="312"/>
      <c r="K137" s="313"/>
      <c r="L137" s="311">
        <v>4</v>
      </c>
      <c r="M137" s="312"/>
      <c r="N137" s="312"/>
      <c r="O137" s="313"/>
      <c r="P137" s="311">
        <v>5</v>
      </c>
      <c r="Q137" s="312"/>
      <c r="R137" s="312"/>
      <c r="S137" s="313"/>
      <c r="T137" s="311">
        <v>6</v>
      </c>
      <c r="U137" s="312"/>
      <c r="V137" s="312"/>
      <c r="W137" s="312"/>
      <c r="X137" s="312"/>
      <c r="Y137" s="312"/>
      <c r="Z137" s="313"/>
      <c r="AA137" s="311" t="s">
        <v>821</v>
      </c>
      <c r="AB137" s="312"/>
      <c r="AC137" s="312"/>
      <c r="AD137" s="312"/>
      <c r="AE137" s="312"/>
      <c r="AF137" s="312"/>
      <c r="AG137" s="313"/>
      <c r="AH137" s="311">
        <v>8</v>
      </c>
      <c r="AI137" s="312"/>
      <c r="AJ137" s="313"/>
      <c r="AK137" s="311" t="s">
        <v>666</v>
      </c>
      <c r="AL137" s="313"/>
      <c r="AM137" s="137"/>
      <c r="AN137" s="61"/>
      <c r="AO137" s="61"/>
    </row>
    <row r="138" spans="1:41" s="223" customFormat="1" ht="40.5" customHeight="1" x14ac:dyDescent="0.25">
      <c r="A138" s="128">
        <v>1</v>
      </c>
      <c r="B138" s="303"/>
      <c r="C138" s="304"/>
      <c r="D138" s="304"/>
      <c r="E138" s="304"/>
      <c r="F138" s="305"/>
      <c r="G138" s="300"/>
      <c r="H138" s="301"/>
      <c r="I138" s="301"/>
      <c r="J138" s="301"/>
      <c r="K138" s="302"/>
      <c r="L138" s="306">
        <v>1000</v>
      </c>
      <c r="M138" s="307"/>
      <c r="N138" s="307"/>
      <c r="O138" s="307"/>
      <c r="P138" s="294">
        <f>IF(OR(B138=Słowniki!A$46,B138=Słowniki!A$56,B138=Słowniki!A$58,B138=Słowniki!A$59),0.08,0.23)</f>
        <v>0.23</v>
      </c>
      <c r="Q138" s="295"/>
      <c r="R138" s="295"/>
      <c r="S138" s="295"/>
      <c r="T138" s="528">
        <v>1</v>
      </c>
      <c r="U138" s="528"/>
      <c r="V138" s="528"/>
      <c r="W138" s="528"/>
      <c r="X138" s="528"/>
      <c r="Y138" s="528"/>
      <c r="Z138" s="529"/>
      <c r="AA138" s="526">
        <f>L138+ROUND(L138*P138*T138,2)</f>
        <v>1230</v>
      </c>
      <c r="AB138" s="530"/>
      <c r="AC138" s="530"/>
      <c r="AD138" s="530"/>
      <c r="AE138" s="530"/>
      <c r="AF138" s="530"/>
      <c r="AG138" s="527"/>
      <c r="AH138" s="531" t="e">
        <f>IF(OR(B138=Słowniki!A$57,B138=Słowniki!A$58),(AJ$131*AJ$132),AJ$131)</f>
        <v>#DIV/0!</v>
      </c>
      <c r="AI138" s="532"/>
      <c r="AJ138" s="533"/>
      <c r="AK138" s="526" t="e">
        <f>ROUND(AA138*AH138,2)</f>
        <v>#DIV/0!</v>
      </c>
      <c r="AL138" s="527"/>
      <c r="AM138" s="221"/>
      <c r="AN138" s="221"/>
      <c r="AO138" s="222"/>
    </row>
    <row r="139" spans="1:41" s="223" customFormat="1" ht="40.950000000000003" customHeight="1" x14ac:dyDescent="0.25">
      <c r="A139" s="128">
        <v>2</v>
      </c>
      <c r="B139" s="303"/>
      <c r="C139" s="304"/>
      <c r="D139" s="304"/>
      <c r="E139" s="304"/>
      <c r="F139" s="305"/>
      <c r="G139" s="300"/>
      <c r="H139" s="301"/>
      <c r="I139" s="301"/>
      <c r="J139" s="301"/>
      <c r="K139" s="302"/>
      <c r="L139" s="306"/>
      <c r="M139" s="307"/>
      <c r="N139" s="307"/>
      <c r="O139" s="307"/>
      <c r="P139" s="294">
        <f>IF(OR(B139=Słowniki!A$46,B139=Słowniki!A$56,B139=Słowniki!A$58,B139=Słowniki!A$59),0.08,0.23)</f>
        <v>0.23</v>
      </c>
      <c r="Q139" s="295"/>
      <c r="R139" s="295"/>
      <c r="S139" s="295"/>
      <c r="T139" s="528">
        <v>1</v>
      </c>
      <c r="U139" s="528"/>
      <c r="V139" s="528"/>
      <c r="W139" s="528"/>
      <c r="X139" s="528"/>
      <c r="Y139" s="528"/>
      <c r="Z139" s="529"/>
      <c r="AA139" s="526">
        <f t="shared" ref="AA139:AA159" si="1">L139+ROUND(L139*P139*T139,2)</f>
        <v>0</v>
      </c>
      <c r="AB139" s="530"/>
      <c r="AC139" s="530"/>
      <c r="AD139" s="530"/>
      <c r="AE139" s="530"/>
      <c r="AF139" s="530"/>
      <c r="AG139" s="527"/>
      <c r="AH139" s="531" t="e">
        <f>IF(OR(B139=Słowniki!A$57,B139=Słowniki!A$58),(AJ$131*AJ$132),AJ$131)</f>
        <v>#DIV/0!</v>
      </c>
      <c r="AI139" s="532"/>
      <c r="AJ139" s="533"/>
      <c r="AK139" s="526" t="e">
        <f t="shared" ref="AK139:AK159" si="2">ROUND(AA139*AH139,2)</f>
        <v>#DIV/0!</v>
      </c>
      <c r="AL139" s="527"/>
      <c r="AM139" s="221"/>
      <c r="AN139" s="221"/>
      <c r="AO139" s="222"/>
    </row>
    <row r="140" spans="1:41" s="223" customFormat="1" ht="40.950000000000003" customHeight="1" x14ac:dyDescent="0.25">
      <c r="A140" s="128">
        <v>3</v>
      </c>
      <c r="B140" s="303"/>
      <c r="C140" s="304"/>
      <c r="D140" s="304"/>
      <c r="E140" s="304"/>
      <c r="F140" s="305"/>
      <c r="G140" s="300"/>
      <c r="H140" s="301"/>
      <c r="I140" s="301"/>
      <c r="J140" s="301"/>
      <c r="K140" s="302"/>
      <c r="L140" s="306"/>
      <c r="M140" s="307"/>
      <c r="N140" s="307"/>
      <c r="O140" s="307"/>
      <c r="P140" s="294">
        <f>IF(OR(B140=Słowniki!A$46,B140=Słowniki!A$56,B140=Słowniki!A$58,B140=Słowniki!A$59),0.08,0.23)</f>
        <v>0.23</v>
      </c>
      <c r="Q140" s="295"/>
      <c r="R140" s="295"/>
      <c r="S140" s="295"/>
      <c r="T140" s="528">
        <v>1</v>
      </c>
      <c r="U140" s="528"/>
      <c r="V140" s="528"/>
      <c r="W140" s="528"/>
      <c r="X140" s="528"/>
      <c r="Y140" s="528"/>
      <c r="Z140" s="529"/>
      <c r="AA140" s="526">
        <f t="shared" si="1"/>
        <v>0</v>
      </c>
      <c r="AB140" s="530"/>
      <c r="AC140" s="530"/>
      <c r="AD140" s="530"/>
      <c r="AE140" s="530"/>
      <c r="AF140" s="530"/>
      <c r="AG140" s="527"/>
      <c r="AH140" s="531" t="e">
        <f>IF(OR(B140=Słowniki!A$57,B140=Słowniki!A$58),(AJ$131*AJ$132),AJ$131)</f>
        <v>#DIV/0!</v>
      </c>
      <c r="AI140" s="532"/>
      <c r="AJ140" s="533"/>
      <c r="AK140" s="526" t="e">
        <f t="shared" si="2"/>
        <v>#DIV/0!</v>
      </c>
      <c r="AL140" s="527"/>
      <c r="AM140" s="221"/>
      <c r="AN140" s="221"/>
      <c r="AO140" s="222"/>
    </row>
    <row r="141" spans="1:41" s="223" customFormat="1" ht="40.950000000000003" customHeight="1" x14ac:dyDescent="0.25">
      <c r="A141" s="128">
        <v>4</v>
      </c>
      <c r="B141" s="303"/>
      <c r="C141" s="304"/>
      <c r="D141" s="304"/>
      <c r="E141" s="304"/>
      <c r="F141" s="305"/>
      <c r="G141" s="300"/>
      <c r="H141" s="301"/>
      <c r="I141" s="301"/>
      <c r="J141" s="301"/>
      <c r="K141" s="302"/>
      <c r="L141" s="306"/>
      <c r="M141" s="307"/>
      <c r="N141" s="307"/>
      <c r="O141" s="307"/>
      <c r="P141" s="294">
        <f>IF(OR(B141=Słowniki!A$46,B141=Słowniki!A$56,B141=Słowniki!A$58,B141=Słowniki!A$59),0.08,0.23)</f>
        <v>0.23</v>
      </c>
      <c r="Q141" s="295"/>
      <c r="R141" s="295"/>
      <c r="S141" s="295"/>
      <c r="T141" s="528">
        <v>1</v>
      </c>
      <c r="U141" s="528"/>
      <c r="V141" s="528"/>
      <c r="W141" s="528"/>
      <c r="X141" s="528"/>
      <c r="Y141" s="528"/>
      <c r="Z141" s="529"/>
      <c r="AA141" s="526">
        <f t="shared" si="1"/>
        <v>0</v>
      </c>
      <c r="AB141" s="530"/>
      <c r="AC141" s="530"/>
      <c r="AD141" s="530"/>
      <c r="AE141" s="530"/>
      <c r="AF141" s="530"/>
      <c r="AG141" s="527"/>
      <c r="AH141" s="531" t="e">
        <f>IF(OR(B141=Słowniki!A$57,B141=Słowniki!A$58),(AJ$131*AJ$132),AJ$131)</f>
        <v>#DIV/0!</v>
      </c>
      <c r="AI141" s="532"/>
      <c r="AJ141" s="533"/>
      <c r="AK141" s="526" t="e">
        <f t="shared" si="2"/>
        <v>#DIV/0!</v>
      </c>
      <c r="AL141" s="527"/>
      <c r="AM141" s="221"/>
      <c r="AN141" s="221"/>
      <c r="AO141" s="222"/>
    </row>
    <row r="142" spans="1:41" s="223" customFormat="1" ht="40.950000000000003" customHeight="1" x14ac:dyDescent="0.25">
      <c r="A142" s="128">
        <v>5</v>
      </c>
      <c r="B142" s="303"/>
      <c r="C142" s="304"/>
      <c r="D142" s="304"/>
      <c r="E142" s="304"/>
      <c r="F142" s="305"/>
      <c r="G142" s="300"/>
      <c r="H142" s="301"/>
      <c r="I142" s="301"/>
      <c r="J142" s="301"/>
      <c r="K142" s="302"/>
      <c r="L142" s="306"/>
      <c r="M142" s="307"/>
      <c r="N142" s="307"/>
      <c r="O142" s="307"/>
      <c r="P142" s="294">
        <f>IF(OR(B142=Słowniki!A$46,B142=Słowniki!A$56,B142=Słowniki!A$58,B142=Słowniki!A$59),0.08,0.23)</f>
        <v>0.23</v>
      </c>
      <c r="Q142" s="295"/>
      <c r="R142" s="295"/>
      <c r="S142" s="295"/>
      <c r="T142" s="528">
        <v>1</v>
      </c>
      <c r="U142" s="528"/>
      <c r="V142" s="528"/>
      <c r="W142" s="528"/>
      <c r="X142" s="528"/>
      <c r="Y142" s="528"/>
      <c r="Z142" s="529"/>
      <c r="AA142" s="526">
        <f t="shared" si="1"/>
        <v>0</v>
      </c>
      <c r="AB142" s="530"/>
      <c r="AC142" s="530"/>
      <c r="AD142" s="530"/>
      <c r="AE142" s="530"/>
      <c r="AF142" s="530"/>
      <c r="AG142" s="527"/>
      <c r="AH142" s="531" t="e">
        <f>IF(OR(B142=Słowniki!A$57,B142=Słowniki!A$58),(AJ$131*AJ$132),AJ$131)</f>
        <v>#DIV/0!</v>
      </c>
      <c r="AI142" s="532"/>
      <c r="AJ142" s="533"/>
      <c r="AK142" s="526" t="e">
        <f t="shared" si="2"/>
        <v>#DIV/0!</v>
      </c>
      <c r="AL142" s="527"/>
      <c r="AM142" s="221"/>
      <c r="AN142" s="221"/>
      <c r="AO142" s="222"/>
    </row>
    <row r="143" spans="1:41" s="223" customFormat="1" ht="40.950000000000003" customHeight="1" x14ac:dyDescent="0.25">
      <c r="A143" s="128">
        <v>6</v>
      </c>
      <c r="B143" s="303"/>
      <c r="C143" s="304"/>
      <c r="D143" s="304"/>
      <c r="E143" s="304"/>
      <c r="F143" s="305"/>
      <c r="G143" s="300"/>
      <c r="H143" s="301"/>
      <c r="I143" s="301"/>
      <c r="J143" s="301"/>
      <c r="K143" s="302"/>
      <c r="L143" s="306"/>
      <c r="M143" s="307"/>
      <c r="N143" s="307"/>
      <c r="O143" s="307"/>
      <c r="P143" s="294">
        <f>IF(OR(B143=Słowniki!A$46,B143=Słowniki!A$56,B143=Słowniki!A$58,B143=Słowniki!A$59),0.08,0.23)</f>
        <v>0.23</v>
      </c>
      <c r="Q143" s="295"/>
      <c r="R143" s="295"/>
      <c r="S143" s="295"/>
      <c r="T143" s="528">
        <v>1</v>
      </c>
      <c r="U143" s="528"/>
      <c r="V143" s="528"/>
      <c r="W143" s="528"/>
      <c r="X143" s="528"/>
      <c r="Y143" s="528"/>
      <c r="Z143" s="529"/>
      <c r="AA143" s="526">
        <f t="shared" si="1"/>
        <v>0</v>
      </c>
      <c r="AB143" s="530"/>
      <c r="AC143" s="530"/>
      <c r="AD143" s="530"/>
      <c r="AE143" s="530"/>
      <c r="AF143" s="530"/>
      <c r="AG143" s="527"/>
      <c r="AH143" s="531" t="e">
        <f>IF(OR(B143=Słowniki!A$57,B143=Słowniki!A$58),(AJ$131*AJ$132),AJ$131)</f>
        <v>#DIV/0!</v>
      </c>
      <c r="AI143" s="532"/>
      <c r="AJ143" s="533"/>
      <c r="AK143" s="526" t="e">
        <f t="shared" si="2"/>
        <v>#DIV/0!</v>
      </c>
      <c r="AL143" s="527"/>
      <c r="AM143" s="221"/>
      <c r="AN143" s="221"/>
      <c r="AO143" s="222"/>
    </row>
    <row r="144" spans="1:41" s="223" customFormat="1" ht="40.950000000000003" customHeight="1" x14ac:dyDescent="0.25">
      <c r="A144" s="128">
        <v>7</v>
      </c>
      <c r="B144" s="303"/>
      <c r="C144" s="304"/>
      <c r="D144" s="304"/>
      <c r="E144" s="304"/>
      <c r="F144" s="305"/>
      <c r="G144" s="300"/>
      <c r="H144" s="301"/>
      <c r="I144" s="301"/>
      <c r="J144" s="301"/>
      <c r="K144" s="302"/>
      <c r="L144" s="306"/>
      <c r="M144" s="307"/>
      <c r="N144" s="307"/>
      <c r="O144" s="307"/>
      <c r="P144" s="294">
        <f>IF(OR(B144=Słowniki!A$46,B144=Słowniki!A$56,B144=Słowniki!A$58,B144=Słowniki!A$59),0.08,0.23)</f>
        <v>0.23</v>
      </c>
      <c r="Q144" s="295"/>
      <c r="R144" s="295"/>
      <c r="S144" s="295"/>
      <c r="T144" s="528">
        <v>1</v>
      </c>
      <c r="U144" s="528"/>
      <c r="V144" s="528"/>
      <c r="W144" s="528"/>
      <c r="X144" s="528"/>
      <c r="Y144" s="528"/>
      <c r="Z144" s="529"/>
      <c r="AA144" s="526">
        <f t="shared" si="1"/>
        <v>0</v>
      </c>
      <c r="AB144" s="530"/>
      <c r="AC144" s="530"/>
      <c r="AD144" s="530"/>
      <c r="AE144" s="530"/>
      <c r="AF144" s="530"/>
      <c r="AG144" s="527"/>
      <c r="AH144" s="531" t="e">
        <f>IF(OR(B144=Słowniki!A$57,B144=Słowniki!A$58),(AJ$131*AJ$132),AJ$131)</f>
        <v>#DIV/0!</v>
      </c>
      <c r="AI144" s="532"/>
      <c r="AJ144" s="533"/>
      <c r="AK144" s="526" t="e">
        <f t="shared" si="2"/>
        <v>#DIV/0!</v>
      </c>
      <c r="AL144" s="527"/>
      <c r="AM144" s="221"/>
      <c r="AN144" s="221"/>
      <c r="AO144" s="222"/>
    </row>
    <row r="145" spans="1:41" s="223" customFormat="1" ht="40.950000000000003" customHeight="1" x14ac:dyDescent="0.25">
      <c r="A145" s="128">
        <v>8</v>
      </c>
      <c r="B145" s="303"/>
      <c r="C145" s="304"/>
      <c r="D145" s="304"/>
      <c r="E145" s="304"/>
      <c r="F145" s="305"/>
      <c r="G145" s="300"/>
      <c r="H145" s="301"/>
      <c r="I145" s="301"/>
      <c r="J145" s="301"/>
      <c r="K145" s="302"/>
      <c r="L145" s="306"/>
      <c r="M145" s="307"/>
      <c r="N145" s="307"/>
      <c r="O145" s="307"/>
      <c r="P145" s="294">
        <f>IF(OR(B145=Słowniki!A$46,B145=Słowniki!A$56,B145=Słowniki!A$58,B145=Słowniki!A$59),0.08,0.23)</f>
        <v>0.23</v>
      </c>
      <c r="Q145" s="295"/>
      <c r="R145" s="295"/>
      <c r="S145" s="295"/>
      <c r="T145" s="528">
        <v>1</v>
      </c>
      <c r="U145" s="528"/>
      <c r="V145" s="528"/>
      <c r="W145" s="528"/>
      <c r="X145" s="528"/>
      <c r="Y145" s="528"/>
      <c r="Z145" s="529"/>
      <c r="AA145" s="526">
        <f t="shared" si="1"/>
        <v>0</v>
      </c>
      <c r="AB145" s="530"/>
      <c r="AC145" s="530"/>
      <c r="AD145" s="530"/>
      <c r="AE145" s="530"/>
      <c r="AF145" s="530"/>
      <c r="AG145" s="527"/>
      <c r="AH145" s="531" t="e">
        <f>IF(OR(B145=Słowniki!A$57,B145=Słowniki!A$58),(AJ$131*AJ$132),AJ$131)</f>
        <v>#DIV/0!</v>
      </c>
      <c r="AI145" s="532"/>
      <c r="AJ145" s="533"/>
      <c r="AK145" s="526" t="e">
        <f t="shared" si="2"/>
        <v>#DIV/0!</v>
      </c>
      <c r="AL145" s="527"/>
      <c r="AM145" s="221"/>
      <c r="AN145" s="221"/>
      <c r="AO145" s="222"/>
    </row>
    <row r="146" spans="1:41" s="223" customFormat="1" ht="40.950000000000003" customHeight="1" x14ac:dyDescent="0.25">
      <c r="A146" s="128">
        <v>9</v>
      </c>
      <c r="B146" s="303"/>
      <c r="C146" s="304"/>
      <c r="D146" s="304"/>
      <c r="E146" s="304"/>
      <c r="F146" s="305"/>
      <c r="G146" s="300"/>
      <c r="H146" s="301"/>
      <c r="I146" s="301"/>
      <c r="J146" s="301"/>
      <c r="K146" s="302"/>
      <c r="L146" s="306"/>
      <c r="M146" s="307"/>
      <c r="N146" s="307"/>
      <c r="O146" s="307"/>
      <c r="P146" s="294">
        <f>IF(OR(B146=Słowniki!A$46,B146=Słowniki!A$56,B146=Słowniki!A$58,B146=Słowniki!A$59),0.08,0.23)</f>
        <v>0.23</v>
      </c>
      <c r="Q146" s="295"/>
      <c r="R146" s="295"/>
      <c r="S146" s="295"/>
      <c r="T146" s="528">
        <v>1</v>
      </c>
      <c r="U146" s="528"/>
      <c r="V146" s="528"/>
      <c r="W146" s="528"/>
      <c r="X146" s="528"/>
      <c r="Y146" s="528"/>
      <c r="Z146" s="529"/>
      <c r="AA146" s="526">
        <f t="shared" si="1"/>
        <v>0</v>
      </c>
      <c r="AB146" s="530"/>
      <c r="AC146" s="530"/>
      <c r="AD146" s="530"/>
      <c r="AE146" s="530"/>
      <c r="AF146" s="530"/>
      <c r="AG146" s="527"/>
      <c r="AH146" s="531" t="e">
        <f>IF(OR(B146=Słowniki!A$57,B146=Słowniki!A$58),(AJ$131*AJ$132),AJ$131)</f>
        <v>#DIV/0!</v>
      </c>
      <c r="AI146" s="532"/>
      <c r="AJ146" s="533"/>
      <c r="AK146" s="526" t="e">
        <f t="shared" si="2"/>
        <v>#DIV/0!</v>
      </c>
      <c r="AL146" s="527"/>
      <c r="AM146" s="221"/>
      <c r="AN146" s="221"/>
      <c r="AO146" s="222"/>
    </row>
    <row r="147" spans="1:41" s="223" customFormat="1" ht="40.950000000000003" customHeight="1" x14ac:dyDescent="0.25">
      <c r="A147" s="128">
        <v>10</v>
      </c>
      <c r="B147" s="303"/>
      <c r="C147" s="304"/>
      <c r="D147" s="304"/>
      <c r="E147" s="304"/>
      <c r="F147" s="305"/>
      <c r="G147" s="300"/>
      <c r="H147" s="301"/>
      <c r="I147" s="301"/>
      <c r="J147" s="301"/>
      <c r="K147" s="302"/>
      <c r="L147" s="306"/>
      <c r="M147" s="307"/>
      <c r="N147" s="307"/>
      <c r="O147" s="307"/>
      <c r="P147" s="294">
        <f>IF(OR(B147=Słowniki!A$46,B147=Słowniki!A$56,B147=Słowniki!A$58,B147=Słowniki!A$59),0.08,0.23)</f>
        <v>0.23</v>
      </c>
      <c r="Q147" s="295"/>
      <c r="R147" s="295"/>
      <c r="S147" s="295"/>
      <c r="T147" s="528">
        <v>1</v>
      </c>
      <c r="U147" s="528"/>
      <c r="V147" s="528"/>
      <c r="W147" s="528"/>
      <c r="X147" s="528"/>
      <c r="Y147" s="528"/>
      <c r="Z147" s="529"/>
      <c r="AA147" s="526">
        <f>L147+ROUND(L147*P147*T147,2)</f>
        <v>0</v>
      </c>
      <c r="AB147" s="530"/>
      <c r="AC147" s="530"/>
      <c r="AD147" s="530"/>
      <c r="AE147" s="530"/>
      <c r="AF147" s="530"/>
      <c r="AG147" s="527"/>
      <c r="AH147" s="531" t="e">
        <f>IF(OR(B147=Słowniki!A$57,B147=Słowniki!A$58),(AJ$131*AJ$132),AJ$131)</f>
        <v>#DIV/0!</v>
      </c>
      <c r="AI147" s="532"/>
      <c r="AJ147" s="533"/>
      <c r="AK147" s="526" t="e">
        <f t="shared" si="2"/>
        <v>#DIV/0!</v>
      </c>
      <c r="AL147" s="527"/>
      <c r="AM147" s="221"/>
      <c r="AN147" s="221"/>
      <c r="AO147" s="222"/>
    </row>
    <row r="148" spans="1:41" s="223" customFormat="1" ht="40.950000000000003" customHeight="1" x14ac:dyDescent="0.25">
      <c r="A148" s="128">
        <v>11</v>
      </c>
      <c r="B148" s="303"/>
      <c r="C148" s="304"/>
      <c r="D148" s="304"/>
      <c r="E148" s="304"/>
      <c r="F148" s="305"/>
      <c r="G148" s="300"/>
      <c r="H148" s="301"/>
      <c r="I148" s="301"/>
      <c r="J148" s="301"/>
      <c r="K148" s="302"/>
      <c r="L148" s="306"/>
      <c r="M148" s="307"/>
      <c r="N148" s="307"/>
      <c r="O148" s="307"/>
      <c r="P148" s="294">
        <f>IF(OR(B148=Słowniki!A$46,B148=Słowniki!A$56,B148=Słowniki!A$58,B148=Słowniki!A$59),0.08,0.23)</f>
        <v>0.23</v>
      </c>
      <c r="Q148" s="295"/>
      <c r="R148" s="295"/>
      <c r="S148" s="295"/>
      <c r="T148" s="528">
        <v>1</v>
      </c>
      <c r="U148" s="528"/>
      <c r="V148" s="528"/>
      <c r="W148" s="528"/>
      <c r="X148" s="528"/>
      <c r="Y148" s="528"/>
      <c r="Z148" s="529"/>
      <c r="AA148" s="526">
        <f t="shared" si="1"/>
        <v>0</v>
      </c>
      <c r="AB148" s="530"/>
      <c r="AC148" s="530"/>
      <c r="AD148" s="530"/>
      <c r="AE148" s="530"/>
      <c r="AF148" s="530"/>
      <c r="AG148" s="527"/>
      <c r="AH148" s="531" t="e">
        <f>IF(OR(B148=Słowniki!A$57,B148=Słowniki!A$58),(AJ$131*AJ$132),AJ$131)</f>
        <v>#DIV/0!</v>
      </c>
      <c r="AI148" s="532"/>
      <c r="AJ148" s="533"/>
      <c r="AK148" s="526" t="e">
        <f t="shared" si="2"/>
        <v>#DIV/0!</v>
      </c>
      <c r="AL148" s="527"/>
      <c r="AM148" s="221"/>
      <c r="AN148" s="221"/>
      <c r="AO148" s="222"/>
    </row>
    <row r="149" spans="1:41" s="223" customFormat="1" ht="40.950000000000003" customHeight="1" x14ac:dyDescent="0.25">
      <c r="A149" s="128">
        <v>12</v>
      </c>
      <c r="B149" s="303"/>
      <c r="C149" s="304"/>
      <c r="D149" s="304"/>
      <c r="E149" s="304"/>
      <c r="F149" s="305"/>
      <c r="G149" s="300"/>
      <c r="H149" s="301"/>
      <c r="I149" s="301"/>
      <c r="J149" s="301"/>
      <c r="K149" s="302"/>
      <c r="L149" s="306"/>
      <c r="M149" s="307"/>
      <c r="N149" s="307"/>
      <c r="O149" s="307"/>
      <c r="P149" s="294">
        <f>IF(OR(B149=Słowniki!A$46,B149=Słowniki!A$56,B149=Słowniki!A$58,B149=Słowniki!A$59),0.08,0.23)</f>
        <v>0.23</v>
      </c>
      <c r="Q149" s="295"/>
      <c r="R149" s="295"/>
      <c r="S149" s="295"/>
      <c r="T149" s="528">
        <v>1</v>
      </c>
      <c r="U149" s="528"/>
      <c r="V149" s="528"/>
      <c r="W149" s="528"/>
      <c r="X149" s="528"/>
      <c r="Y149" s="528"/>
      <c r="Z149" s="529"/>
      <c r="AA149" s="526">
        <f t="shared" si="1"/>
        <v>0</v>
      </c>
      <c r="AB149" s="530"/>
      <c r="AC149" s="530"/>
      <c r="AD149" s="530"/>
      <c r="AE149" s="530"/>
      <c r="AF149" s="530"/>
      <c r="AG149" s="527"/>
      <c r="AH149" s="531" t="e">
        <f>IF(OR(B149=Słowniki!A$57,B149=Słowniki!A$58),(AJ$131*AJ$132),AJ$131)</f>
        <v>#DIV/0!</v>
      </c>
      <c r="AI149" s="532"/>
      <c r="AJ149" s="533"/>
      <c r="AK149" s="526" t="e">
        <f t="shared" si="2"/>
        <v>#DIV/0!</v>
      </c>
      <c r="AL149" s="527"/>
      <c r="AM149" s="221"/>
      <c r="AN149" s="221"/>
      <c r="AO149" s="222"/>
    </row>
    <row r="150" spans="1:41" s="223" customFormat="1" ht="40.950000000000003" customHeight="1" x14ac:dyDescent="0.25">
      <c r="A150" s="128">
        <v>13</v>
      </c>
      <c r="B150" s="303"/>
      <c r="C150" s="304"/>
      <c r="D150" s="304"/>
      <c r="E150" s="304"/>
      <c r="F150" s="305"/>
      <c r="G150" s="300"/>
      <c r="H150" s="301"/>
      <c r="I150" s="301"/>
      <c r="J150" s="301"/>
      <c r="K150" s="302"/>
      <c r="L150" s="306"/>
      <c r="M150" s="307"/>
      <c r="N150" s="307"/>
      <c r="O150" s="307"/>
      <c r="P150" s="294">
        <f>IF(OR(B150=Słowniki!A$46,B150=Słowniki!A$56,B150=Słowniki!A$58,B150=Słowniki!A$59),0.08,0.23)</f>
        <v>0.23</v>
      </c>
      <c r="Q150" s="295"/>
      <c r="R150" s="295"/>
      <c r="S150" s="295"/>
      <c r="T150" s="528">
        <v>1</v>
      </c>
      <c r="U150" s="528"/>
      <c r="V150" s="528"/>
      <c r="W150" s="528"/>
      <c r="X150" s="528"/>
      <c r="Y150" s="528"/>
      <c r="Z150" s="529"/>
      <c r="AA150" s="526">
        <f t="shared" si="1"/>
        <v>0</v>
      </c>
      <c r="AB150" s="530"/>
      <c r="AC150" s="530"/>
      <c r="AD150" s="530"/>
      <c r="AE150" s="530"/>
      <c r="AF150" s="530"/>
      <c r="AG150" s="527"/>
      <c r="AH150" s="531" t="e">
        <f>IF(OR(B150=Słowniki!A$57,B150=Słowniki!A$58),(AJ$131*AJ$132),AJ$131)</f>
        <v>#DIV/0!</v>
      </c>
      <c r="AI150" s="532"/>
      <c r="AJ150" s="533"/>
      <c r="AK150" s="526" t="e">
        <f t="shared" si="2"/>
        <v>#DIV/0!</v>
      </c>
      <c r="AL150" s="527"/>
      <c r="AM150" s="221"/>
      <c r="AN150" s="221"/>
      <c r="AO150" s="222"/>
    </row>
    <row r="151" spans="1:41" s="223" customFormat="1" ht="40.950000000000003" customHeight="1" x14ac:dyDescent="0.25">
      <c r="A151" s="128">
        <v>14</v>
      </c>
      <c r="B151" s="303"/>
      <c r="C151" s="304"/>
      <c r="D151" s="304"/>
      <c r="E151" s="304"/>
      <c r="F151" s="305"/>
      <c r="G151" s="300"/>
      <c r="H151" s="301"/>
      <c r="I151" s="301"/>
      <c r="J151" s="301"/>
      <c r="K151" s="302"/>
      <c r="L151" s="306"/>
      <c r="M151" s="307"/>
      <c r="N151" s="307"/>
      <c r="O151" s="307"/>
      <c r="P151" s="294">
        <f>IF(OR(B151=Słowniki!A$46,B151=Słowniki!A$56,B151=Słowniki!A$58,B151=Słowniki!A$59),0.08,0.23)</f>
        <v>0.23</v>
      </c>
      <c r="Q151" s="295"/>
      <c r="R151" s="295"/>
      <c r="S151" s="295"/>
      <c r="T151" s="528">
        <v>1</v>
      </c>
      <c r="U151" s="528"/>
      <c r="V151" s="528"/>
      <c r="W151" s="528"/>
      <c r="X151" s="528"/>
      <c r="Y151" s="528"/>
      <c r="Z151" s="529"/>
      <c r="AA151" s="526">
        <f t="shared" si="1"/>
        <v>0</v>
      </c>
      <c r="AB151" s="530"/>
      <c r="AC151" s="530"/>
      <c r="AD151" s="530"/>
      <c r="AE151" s="530"/>
      <c r="AF151" s="530"/>
      <c r="AG151" s="527"/>
      <c r="AH151" s="531" t="e">
        <f>IF(OR(B151=Słowniki!A$57,B151=Słowniki!A$58),(AJ$131*AJ$132),AJ$131)</f>
        <v>#DIV/0!</v>
      </c>
      <c r="AI151" s="532"/>
      <c r="AJ151" s="533"/>
      <c r="AK151" s="526" t="e">
        <f t="shared" si="2"/>
        <v>#DIV/0!</v>
      </c>
      <c r="AL151" s="527"/>
      <c r="AM151" s="221"/>
      <c r="AN151" s="221"/>
      <c r="AO151" s="222"/>
    </row>
    <row r="152" spans="1:41" s="223" customFormat="1" ht="40.950000000000003" customHeight="1" x14ac:dyDescent="0.25">
      <c r="A152" s="128">
        <v>15</v>
      </c>
      <c r="B152" s="303"/>
      <c r="C152" s="304"/>
      <c r="D152" s="304"/>
      <c r="E152" s="304"/>
      <c r="F152" s="305"/>
      <c r="G152" s="300"/>
      <c r="H152" s="301"/>
      <c r="I152" s="301"/>
      <c r="J152" s="301"/>
      <c r="K152" s="302"/>
      <c r="L152" s="306"/>
      <c r="M152" s="307"/>
      <c r="N152" s="307"/>
      <c r="O152" s="307"/>
      <c r="P152" s="294">
        <f>IF(OR(B152=Słowniki!A$46,B152=Słowniki!A$56,B152=Słowniki!A$58,B152=Słowniki!A$59),0.08,0.23)</f>
        <v>0.23</v>
      </c>
      <c r="Q152" s="295"/>
      <c r="R152" s="295"/>
      <c r="S152" s="295"/>
      <c r="T152" s="528">
        <v>1</v>
      </c>
      <c r="U152" s="528"/>
      <c r="V152" s="528"/>
      <c r="W152" s="528"/>
      <c r="X152" s="528"/>
      <c r="Y152" s="528"/>
      <c r="Z152" s="529"/>
      <c r="AA152" s="526">
        <f t="shared" si="1"/>
        <v>0</v>
      </c>
      <c r="AB152" s="530"/>
      <c r="AC152" s="530"/>
      <c r="AD152" s="530"/>
      <c r="AE152" s="530"/>
      <c r="AF152" s="530"/>
      <c r="AG152" s="527"/>
      <c r="AH152" s="531" t="e">
        <f>IF(OR(B152=Słowniki!A$57,B152=Słowniki!A$58),(AJ$131*AJ$132),AJ$131)</f>
        <v>#DIV/0!</v>
      </c>
      <c r="AI152" s="532"/>
      <c r="AJ152" s="533"/>
      <c r="AK152" s="526" t="e">
        <f t="shared" si="2"/>
        <v>#DIV/0!</v>
      </c>
      <c r="AL152" s="527"/>
      <c r="AM152" s="221"/>
      <c r="AN152" s="221"/>
      <c r="AO152" s="222"/>
    </row>
    <row r="153" spans="1:41" s="223" customFormat="1" ht="40.950000000000003" customHeight="1" x14ac:dyDescent="0.25">
      <c r="A153" s="128">
        <v>16</v>
      </c>
      <c r="B153" s="303"/>
      <c r="C153" s="304"/>
      <c r="D153" s="304"/>
      <c r="E153" s="304"/>
      <c r="F153" s="305"/>
      <c r="G153" s="300"/>
      <c r="H153" s="301"/>
      <c r="I153" s="301"/>
      <c r="J153" s="301"/>
      <c r="K153" s="302"/>
      <c r="L153" s="306"/>
      <c r="M153" s="307"/>
      <c r="N153" s="307"/>
      <c r="O153" s="307"/>
      <c r="P153" s="294">
        <f>IF(OR(B153=Słowniki!A$46,B153=Słowniki!A$56,B153=Słowniki!A$58,B153=Słowniki!A$59),0.08,0.23)</f>
        <v>0.23</v>
      </c>
      <c r="Q153" s="295"/>
      <c r="R153" s="295"/>
      <c r="S153" s="295"/>
      <c r="T153" s="528">
        <v>1</v>
      </c>
      <c r="U153" s="528"/>
      <c r="V153" s="528"/>
      <c r="W153" s="528"/>
      <c r="X153" s="528"/>
      <c r="Y153" s="528"/>
      <c r="Z153" s="529"/>
      <c r="AA153" s="526">
        <f t="shared" si="1"/>
        <v>0</v>
      </c>
      <c r="AB153" s="530"/>
      <c r="AC153" s="530"/>
      <c r="AD153" s="530"/>
      <c r="AE153" s="530"/>
      <c r="AF153" s="530"/>
      <c r="AG153" s="527"/>
      <c r="AH153" s="531" t="e">
        <f>IF(OR(B153=Słowniki!A$57,B153=Słowniki!A$58),(AJ$131*AJ$132),AJ$131)</f>
        <v>#DIV/0!</v>
      </c>
      <c r="AI153" s="532"/>
      <c r="AJ153" s="533"/>
      <c r="AK153" s="526" t="e">
        <f t="shared" si="2"/>
        <v>#DIV/0!</v>
      </c>
      <c r="AL153" s="527"/>
      <c r="AM153" s="221"/>
      <c r="AN153" s="221"/>
      <c r="AO153" s="222"/>
    </row>
    <row r="154" spans="1:41" s="223" customFormat="1" ht="40.950000000000003" customHeight="1" x14ac:dyDescent="0.25">
      <c r="A154" s="128">
        <v>17</v>
      </c>
      <c r="B154" s="303"/>
      <c r="C154" s="304"/>
      <c r="D154" s="304"/>
      <c r="E154" s="304"/>
      <c r="F154" s="305"/>
      <c r="G154" s="300"/>
      <c r="H154" s="301"/>
      <c r="I154" s="301"/>
      <c r="J154" s="301"/>
      <c r="K154" s="302"/>
      <c r="L154" s="306"/>
      <c r="M154" s="307"/>
      <c r="N154" s="307"/>
      <c r="O154" s="307"/>
      <c r="P154" s="294">
        <f>IF(OR(B154=Słowniki!A$46,B154=Słowniki!A$56,B154=Słowniki!A$58,B154=Słowniki!A$59),0.08,0.23)</f>
        <v>0.23</v>
      </c>
      <c r="Q154" s="295"/>
      <c r="R154" s="295"/>
      <c r="S154" s="295"/>
      <c r="T154" s="528">
        <v>1</v>
      </c>
      <c r="U154" s="528"/>
      <c r="V154" s="528"/>
      <c r="W154" s="528"/>
      <c r="X154" s="528"/>
      <c r="Y154" s="528"/>
      <c r="Z154" s="529"/>
      <c r="AA154" s="526">
        <f t="shared" si="1"/>
        <v>0</v>
      </c>
      <c r="AB154" s="530"/>
      <c r="AC154" s="530"/>
      <c r="AD154" s="530"/>
      <c r="AE154" s="530"/>
      <c r="AF154" s="530"/>
      <c r="AG154" s="527"/>
      <c r="AH154" s="531" t="e">
        <f>IF(OR(B154=Słowniki!A$57,B154=Słowniki!A$58),(AJ$131*AJ$132),AJ$131)</f>
        <v>#DIV/0!</v>
      </c>
      <c r="AI154" s="532"/>
      <c r="AJ154" s="533"/>
      <c r="AK154" s="526" t="e">
        <f t="shared" si="2"/>
        <v>#DIV/0!</v>
      </c>
      <c r="AL154" s="527"/>
      <c r="AM154" s="221"/>
      <c r="AN154" s="221"/>
      <c r="AO154" s="222"/>
    </row>
    <row r="155" spans="1:41" s="223" customFormat="1" ht="40.950000000000003" customHeight="1" x14ac:dyDescent="0.25">
      <c r="A155" s="128">
        <v>18</v>
      </c>
      <c r="B155" s="303"/>
      <c r="C155" s="304"/>
      <c r="D155" s="304"/>
      <c r="E155" s="304"/>
      <c r="F155" s="305"/>
      <c r="G155" s="300"/>
      <c r="H155" s="301"/>
      <c r="I155" s="301"/>
      <c r="J155" s="301"/>
      <c r="K155" s="302"/>
      <c r="L155" s="306"/>
      <c r="M155" s="307"/>
      <c r="N155" s="307"/>
      <c r="O155" s="307"/>
      <c r="P155" s="294">
        <f>IF(OR(B155=Słowniki!A$46,B155=Słowniki!A$56,B155=Słowniki!A$58,B155=Słowniki!A$59),0.08,0.23)</f>
        <v>0.23</v>
      </c>
      <c r="Q155" s="295"/>
      <c r="R155" s="295"/>
      <c r="S155" s="295"/>
      <c r="T155" s="528">
        <v>1</v>
      </c>
      <c r="U155" s="528"/>
      <c r="V155" s="528"/>
      <c r="W155" s="528"/>
      <c r="X155" s="528"/>
      <c r="Y155" s="528"/>
      <c r="Z155" s="529"/>
      <c r="AA155" s="526">
        <f t="shared" si="1"/>
        <v>0</v>
      </c>
      <c r="AB155" s="530"/>
      <c r="AC155" s="530"/>
      <c r="AD155" s="530"/>
      <c r="AE155" s="530"/>
      <c r="AF155" s="530"/>
      <c r="AG155" s="527"/>
      <c r="AH155" s="531" t="e">
        <f>IF(OR(B155=Słowniki!A$57,B155=Słowniki!A$58),(AJ$131*AJ$132),AJ$131)</f>
        <v>#DIV/0!</v>
      </c>
      <c r="AI155" s="532"/>
      <c r="AJ155" s="533"/>
      <c r="AK155" s="526" t="e">
        <f t="shared" si="2"/>
        <v>#DIV/0!</v>
      </c>
      <c r="AL155" s="527"/>
      <c r="AM155" s="221"/>
      <c r="AN155" s="221"/>
      <c r="AO155" s="222"/>
    </row>
    <row r="156" spans="1:41" s="223" customFormat="1" ht="40.950000000000003" customHeight="1" x14ac:dyDescent="0.25">
      <c r="A156" s="128">
        <v>19</v>
      </c>
      <c r="B156" s="303"/>
      <c r="C156" s="304"/>
      <c r="D156" s="304"/>
      <c r="E156" s="304"/>
      <c r="F156" s="305"/>
      <c r="G156" s="300"/>
      <c r="H156" s="301"/>
      <c r="I156" s="301"/>
      <c r="J156" s="301"/>
      <c r="K156" s="302"/>
      <c r="L156" s="306"/>
      <c r="M156" s="307"/>
      <c r="N156" s="307"/>
      <c r="O156" s="307"/>
      <c r="P156" s="294">
        <f>IF(OR(B156=Słowniki!A$46,B156=Słowniki!A$56,B156=Słowniki!A$58,B156=Słowniki!A$59),0.08,0.23)</f>
        <v>0.23</v>
      </c>
      <c r="Q156" s="295"/>
      <c r="R156" s="295"/>
      <c r="S156" s="295"/>
      <c r="T156" s="528">
        <v>1</v>
      </c>
      <c r="U156" s="528"/>
      <c r="V156" s="528"/>
      <c r="W156" s="528"/>
      <c r="X156" s="528"/>
      <c r="Y156" s="528"/>
      <c r="Z156" s="529"/>
      <c r="AA156" s="526">
        <f t="shared" si="1"/>
        <v>0</v>
      </c>
      <c r="AB156" s="530"/>
      <c r="AC156" s="530"/>
      <c r="AD156" s="530"/>
      <c r="AE156" s="530"/>
      <c r="AF156" s="530"/>
      <c r="AG156" s="527"/>
      <c r="AH156" s="531" t="e">
        <f>IF(OR(B156=Słowniki!A$57,B156=Słowniki!A$58),(AJ$131*AJ$132),AJ$131)</f>
        <v>#DIV/0!</v>
      </c>
      <c r="AI156" s="532"/>
      <c r="AJ156" s="533"/>
      <c r="AK156" s="526" t="e">
        <f t="shared" si="2"/>
        <v>#DIV/0!</v>
      </c>
      <c r="AL156" s="527"/>
      <c r="AM156" s="221"/>
      <c r="AN156" s="221"/>
      <c r="AO156" s="222"/>
    </row>
    <row r="157" spans="1:41" s="223" customFormat="1" ht="40.950000000000003" customHeight="1" x14ac:dyDescent="0.25">
      <c r="A157" s="128">
        <v>20</v>
      </c>
      <c r="B157" s="303"/>
      <c r="C157" s="304"/>
      <c r="D157" s="304"/>
      <c r="E157" s="304"/>
      <c r="F157" s="305"/>
      <c r="G157" s="300"/>
      <c r="H157" s="301"/>
      <c r="I157" s="301"/>
      <c r="J157" s="301"/>
      <c r="K157" s="302"/>
      <c r="L157" s="306"/>
      <c r="M157" s="307"/>
      <c r="N157" s="307"/>
      <c r="O157" s="307"/>
      <c r="P157" s="294">
        <f>IF(OR(B157=Słowniki!A$46,B157=Słowniki!A$56,B157=Słowniki!A$58,B157=Słowniki!A$59),0.08,0.23)</f>
        <v>0.23</v>
      </c>
      <c r="Q157" s="295"/>
      <c r="R157" s="295"/>
      <c r="S157" s="295"/>
      <c r="T157" s="528">
        <v>1</v>
      </c>
      <c r="U157" s="528"/>
      <c r="V157" s="528"/>
      <c r="W157" s="528"/>
      <c r="X157" s="528"/>
      <c r="Y157" s="528"/>
      <c r="Z157" s="529"/>
      <c r="AA157" s="526">
        <f t="shared" si="1"/>
        <v>0</v>
      </c>
      <c r="AB157" s="530"/>
      <c r="AC157" s="530"/>
      <c r="AD157" s="530"/>
      <c r="AE157" s="530"/>
      <c r="AF157" s="530"/>
      <c r="AG157" s="527"/>
      <c r="AH157" s="531" t="e">
        <f>IF(OR(B157=Słowniki!A$57,B157=Słowniki!A$58),(AJ$131*AJ$132),AJ$131)</f>
        <v>#DIV/0!</v>
      </c>
      <c r="AI157" s="532"/>
      <c r="AJ157" s="533"/>
      <c r="AK157" s="526" t="e">
        <f t="shared" si="2"/>
        <v>#DIV/0!</v>
      </c>
      <c r="AL157" s="527"/>
      <c r="AM157" s="221"/>
      <c r="AN157" s="221"/>
      <c r="AO157" s="222"/>
    </row>
    <row r="158" spans="1:41" s="223" customFormat="1" ht="40.950000000000003" customHeight="1" x14ac:dyDescent="0.25">
      <c r="A158" s="128">
        <v>21</v>
      </c>
      <c r="B158" s="303"/>
      <c r="C158" s="304"/>
      <c r="D158" s="304"/>
      <c r="E158" s="304"/>
      <c r="F158" s="305"/>
      <c r="G158" s="300"/>
      <c r="H158" s="301"/>
      <c r="I158" s="301"/>
      <c r="J158" s="301"/>
      <c r="K158" s="302"/>
      <c r="L158" s="306"/>
      <c r="M158" s="307"/>
      <c r="N158" s="307"/>
      <c r="O158" s="307"/>
      <c r="P158" s="294">
        <f>IF(OR(B158=Słowniki!A$46,B158=Słowniki!A$56,B158=Słowniki!A$58,B158=Słowniki!A$59),0.08,0.23)</f>
        <v>0.23</v>
      </c>
      <c r="Q158" s="295"/>
      <c r="R158" s="295"/>
      <c r="S158" s="295"/>
      <c r="T158" s="528">
        <v>1</v>
      </c>
      <c r="U158" s="528"/>
      <c r="V158" s="528"/>
      <c r="W158" s="528"/>
      <c r="X158" s="528"/>
      <c r="Y158" s="528"/>
      <c r="Z158" s="529"/>
      <c r="AA158" s="526">
        <f t="shared" si="1"/>
        <v>0</v>
      </c>
      <c r="AB158" s="530"/>
      <c r="AC158" s="530"/>
      <c r="AD158" s="530"/>
      <c r="AE158" s="530"/>
      <c r="AF158" s="530"/>
      <c r="AG158" s="527"/>
      <c r="AH158" s="531" t="e">
        <f>IF(OR(B158=Słowniki!A$57,B158=Słowniki!A$58),(AJ$131*AJ$132),AJ$131)</f>
        <v>#DIV/0!</v>
      </c>
      <c r="AI158" s="532"/>
      <c r="AJ158" s="533"/>
      <c r="AK158" s="526" t="e">
        <f t="shared" si="2"/>
        <v>#DIV/0!</v>
      </c>
      <c r="AL158" s="527"/>
      <c r="AM158" s="221"/>
      <c r="AN158" s="221"/>
      <c r="AO158" s="222"/>
    </row>
    <row r="159" spans="1:41" s="223" customFormat="1" ht="40.950000000000003" customHeight="1" x14ac:dyDescent="0.25">
      <c r="A159" s="128">
        <v>22</v>
      </c>
      <c r="B159" s="303"/>
      <c r="C159" s="304"/>
      <c r="D159" s="304"/>
      <c r="E159" s="304"/>
      <c r="F159" s="305"/>
      <c r="G159" s="300"/>
      <c r="H159" s="301"/>
      <c r="I159" s="301"/>
      <c r="J159" s="301"/>
      <c r="K159" s="302"/>
      <c r="L159" s="306"/>
      <c r="M159" s="307"/>
      <c r="N159" s="307"/>
      <c r="O159" s="307"/>
      <c r="P159" s="294">
        <f>IF(OR(B159=Słowniki!A$46,B159=Słowniki!A$56,B159=Słowniki!A$58,B159=Słowniki!A$59),0.08,0.23)</f>
        <v>0.23</v>
      </c>
      <c r="Q159" s="295"/>
      <c r="R159" s="295"/>
      <c r="S159" s="295"/>
      <c r="T159" s="528">
        <v>1</v>
      </c>
      <c r="U159" s="528"/>
      <c r="V159" s="528"/>
      <c r="W159" s="528"/>
      <c r="X159" s="528"/>
      <c r="Y159" s="528"/>
      <c r="Z159" s="529"/>
      <c r="AA159" s="526">
        <f t="shared" si="1"/>
        <v>0</v>
      </c>
      <c r="AB159" s="530"/>
      <c r="AC159" s="530"/>
      <c r="AD159" s="530"/>
      <c r="AE159" s="530"/>
      <c r="AF159" s="530"/>
      <c r="AG159" s="527"/>
      <c r="AH159" s="531" t="e">
        <f>IF(OR(B159=Słowniki!A$57,B159=Słowniki!A$58),(AJ$131*AJ$132),AJ$131)</f>
        <v>#DIV/0!</v>
      </c>
      <c r="AI159" s="532"/>
      <c r="AJ159" s="533"/>
      <c r="AK159" s="526" t="e">
        <f t="shared" si="2"/>
        <v>#DIV/0!</v>
      </c>
      <c r="AL159" s="527"/>
      <c r="AM159" s="221"/>
      <c r="AN159" s="221"/>
      <c r="AO159" s="222"/>
    </row>
    <row r="160" spans="1:41" s="223" customFormat="1" ht="14.1" customHeight="1" x14ac:dyDescent="0.25">
      <c r="A160" s="128">
        <v>23</v>
      </c>
      <c r="B160" s="451" t="s">
        <v>128</v>
      </c>
      <c r="C160" s="452"/>
      <c r="D160" s="452"/>
      <c r="E160" s="452"/>
      <c r="F160" s="452"/>
      <c r="G160" s="452"/>
      <c r="H160" s="452"/>
      <c r="I160" s="452"/>
      <c r="J160" s="452"/>
      <c r="K160" s="452"/>
      <c r="L160" s="540">
        <f>SUM(L138:O159)</f>
        <v>1000</v>
      </c>
      <c r="M160" s="540"/>
      <c r="N160" s="540"/>
      <c r="O160" s="541"/>
      <c r="P160" s="537" t="s">
        <v>129</v>
      </c>
      <c r="Q160" s="537"/>
      <c r="R160" s="537"/>
      <c r="S160" s="537"/>
      <c r="T160" s="538" t="s">
        <v>129</v>
      </c>
      <c r="U160" s="538"/>
      <c r="V160" s="538"/>
      <c r="W160" s="538"/>
      <c r="X160" s="538"/>
      <c r="Y160" s="538"/>
      <c r="Z160" s="538"/>
      <c r="AA160" s="534">
        <f>SUM(AA138:AG159)</f>
        <v>1230</v>
      </c>
      <c r="AB160" s="534"/>
      <c r="AC160" s="534"/>
      <c r="AD160" s="534"/>
      <c r="AE160" s="534"/>
      <c r="AF160" s="534"/>
      <c r="AG160" s="534"/>
      <c r="AH160" s="539" t="s">
        <v>129</v>
      </c>
      <c r="AI160" s="539"/>
      <c r="AJ160" s="539"/>
      <c r="AK160" s="534" t="e">
        <f>ROUND(SUM(AK138:AL159),2)</f>
        <v>#DIV/0!</v>
      </c>
      <c r="AL160" s="534"/>
      <c r="AM160" s="221"/>
      <c r="AN160" s="222"/>
      <c r="AO160" s="222"/>
    </row>
    <row r="161" spans="1:41" s="223" customFormat="1" ht="120" customHeight="1" x14ac:dyDescent="0.25">
      <c r="A161" s="334" t="s">
        <v>1111</v>
      </c>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c r="AI161" s="334"/>
      <c r="AJ161" s="334"/>
      <c r="AK161" s="334"/>
      <c r="AL161" s="334"/>
      <c r="AM161" s="221"/>
      <c r="AN161" s="222"/>
      <c r="AO161" s="222"/>
    </row>
    <row r="162" spans="1:41" ht="16.95" customHeight="1" x14ac:dyDescent="0.25">
      <c r="A162" s="129"/>
      <c r="B162" s="453" t="s">
        <v>181</v>
      </c>
      <c r="C162" s="453"/>
      <c r="D162" s="453"/>
      <c r="E162" s="453"/>
      <c r="F162" s="453"/>
      <c r="G162" s="453"/>
      <c r="H162" s="453"/>
      <c r="I162" s="453"/>
      <c r="J162" s="453"/>
      <c r="K162" s="453"/>
      <c r="L162" s="453"/>
      <c r="M162" s="453"/>
      <c r="N162" s="453"/>
      <c r="O162" s="453"/>
      <c r="P162" s="453"/>
      <c r="Q162" s="453"/>
      <c r="R162" s="453"/>
      <c r="S162" s="453"/>
      <c r="T162" s="458">
        <f>IF(AB83&lt;=52,35%,25%)</f>
        <v>0.35</v>
      </c>
      <c r="U162" s="458"/>
      <c r="V162" s="458"/>
      <c r="W162" s="458"/>
      <c r="X162" s="458"/>
      <c r="Y162" s="458"/>
      <c r="Z162" s="458"/>
      <c r="AA162" s="458"/>
      <c r="AB162" s="458"/>
      <c r="AC162" s="458"/>
      <c r="AD162" s="458"/>
      <c r="AE162" s="458"/>
      <c r="AF162" s="458"/>
      <c r="AG162" s="458"/>
      <c r="AH162" s="458"/>
      <c r="AI162" s="458"/>
      <c r="AJ162" s="458"/>
      <c r="AK162" s="130"/>
      <c r="AL162" s="131"/>
      <c r="AM162" s="77"/>
      <c r="AN162" s="61"/>
      <c r="AO162" s="61"/>
    </row>
    <row r="163" spans="1:41" ht="25.5" customHeight="1" x14ac:dyDescent="0.25">
      <c r="A163" s="129"/>
      <c r="B163" s="453" t="s">
        <v>863</v>
      </c>
      <c r="C163" s="453"/>
      <c r="D163" s="453"/>
      <c r="E163" s="453"/>
      <c r="F163" s="453"/>
      <c r="G163" s="453"/>
      <c r="H163" s="453"/>
      <c r="I163" s="453"/>
      <c r="J163" s="453"/>
      <c r="K163" s="453"/>
      <c r="L163" s="453"/>
      <c r="M163" s="453"/>
      <c r="N163" s="453"/>
      <c r="O163" s="453"/>
      <c r="P163" s="453"/>
      <c r="Q163" s="453"/>
      <c r="R163" s="453"/>
      <c r="S163" s="453"/>
      <c r="T163" s="641">
        <f>S79</f>
        <v>0</v>
      </c>
      <c r="U163" s="641"/>
      <c r="V163" s="641"/>
      <c r="W163" s="641"/>
      <c r="X163" s="641"/>
      <c r="Y163" s="641"/>
      <c r="Z163" s="641"/>
      <c r="AA163" s="641"/>
      <c r="AB163" s="641"/>
      <c r="AC163" s="641"/>
      <c r="AD163" s="641"/>
      <c r="AE163" s="641"/>
      <c r="AF163" s="641"/>
      <c r="AG163" s="641"/>
      <c r="AH163" s="641"/>
      <c r="AI163" s="641"/>
      <c r="AJ163" s="641"/>
      <c r="AK163" s="130"/>
      <c r="AL163" s="131"/>
      <c r="AM163" s="77"/>
      <c r="AN163" s="61"/>
      <c r="AO163" s="61"/>
    </row>
    <row r="164" spans="1:41" ht="48" customHeight="1" x14ac:dyDescent="0.25">
      <c r="A164" s="129"/>
      <c r="B164" s="628" t="s">
        <v>867</v>
      </c>
      <c r="C164" s="628"/>
      <c r="D164" s="628"/>
      <c r="E164" s="628"/>
      <c r="F164" s="628"/>
      <c r="G164" s="628"/>
      <c r="H164" s="628"/>
      <c r="I164" s="628"/>
      <c r="J164" s="628"/>
      <c r="K164" s="628"/>
      <c r="L164" s="628"/>
      <c r="M164" s="628"/>
      <c r="N164" s="628"/>
      <c r="O164" s="628"/>
      <c r="P164" s="628"/>
      <c r="Q164" s="628"/>
      <c r="R164" s="628"/>
      <c r="S164" s="628"/>
      <c r="T164" s="617" t="e">
        <f>T163/AK160</f>
        <v>#DIV/0!</v>
      </c>
      <c r="U164" s="617"/>
      <c r="V164" s="617"/>
      <c r="W164" s="617"/>
      <c r="X164" s="617"/>
      <c r="Y164" s="617"/>
      <c r="Z164" s="617"/>
      <c r="AA164" s="617"/>
      <c r="AB164" s="617"/>
      <c r="AC164" s="617"/>
      <c r="AD164" s="617"/>
      <c r="AE164" s="617"/>
      <c r="AF164" s="617"/>
      <c r="AG164" s="617"/>
      <c r="AH164" s="617"/>
      <c r="AI164" s="617"/>
      <c r="AJ164" s="617"/>
      <c r="AK164" s="130"/>
      <c r="AL164" s="131"/>
      <c r="AM164" s="77"/>
      <c r="AN164" s="61"/>
      <c r="AO164" s="61"/>
    </row>
    <row r="165" spans="1:41" ht="18.45" customHeight="1" x14ac:dyDescent="0.25">
      <c r="A165" s="129"/>
      <c r="B165" s="453" t="s">
        <v>183</v>
      </c>
      <c r="C165" s="453"/>
      <c r="D165" s="453"/>
      <c r="E165" s="453"/>
      <c r="F165" s="453"/>
      <c r="G165" s="453"/>
      <c r="H165" s="453"/>
      <c r="I165" s="453"/>
      <c r="J165" s="453"/>
      <c r="K165" s="453"/>
      <c r="L165" s="453"/>
      <c r="M165" s="453"/>
      <c r="N165" s="453"/>
      <c r="O165" s="453"/>
      <c r="P165" s="453"/>
      <c r="Q165" s="453"/>
      <c r="R165" s="453"/>
      <c r="S165" s="453"/>
      <c r="T165" s="459"/>
      <c r="U165" s="459"/>
      <c r="V165" s="459"/>
      <c r="W165" s="459"/>
      <c r="X165" s="459"/>
      <c r="Y165" s="459"/>
      <c r="Z165" s="459"/>
      <c r="AA165" s="459"/>
      <c r="AB165" s="459"/>
      <c r="AC165" s="459"/>
      <c r="AD165" s="459"/>
      <c r="AE165" s="459"/>
      <c r="AF165" s="459"/>
      <c r="AG165" s="459"/>
      <c r="AH165" s="459"/>
      <c r="AI165" s="459"/>
      <c r="AJ165" s="459"/>
      <c r="AK165" s="130"/>
      <c r="AL165" s="131"/>
      <c r="AM165" s="77"/>
      <c r="AN165" s="61"/>
      <c r="AO165" s="61"/>
    </row>
    <row r="166" spans="1:41" ht="16.95" customHeight="1" x14ac:dyDescent="0.3">
      <c r="A166" s="129"/>
      <c r="B166" s="453" t="s">
        <v>182</v>
      </c>
      <c r="C166" s="453"/>
      <c r="D166" s="453"/>
      <c r="E166" s="453"/>
      <c r="F166" s="453"/>
      <c r="G166" s="453"/>
      <c r="H166" s="453"/>
      <c r="I166" s="453"/>
      <c r="J166" s="453"/>
      <c r="K166" s="453"/>
      <c r="L166" s="453"/>
      <c r="M166" s="453"/>
      <c r="N166" s="453"/>
      <c r="O166" s="453"/>
      <c r="P166" s="453"/>
      <c r="Q166" s="453"/>
      <c r="R166" s="453"/>
      <c r="S166" s="453"/>
      <c r="T166" s="466" t="e">
        <f>ROUNDDOWN(AK160*(T162+T165),2)+IF(T164&lt;=10%,ROUNDDOWN(AK160*T164,2),ROUNDDOWN(AK160*10%,2))</f>
        <v>#DIV/0!</v>
      </c>
      <c r="U166" s="466"/>
      <c r="V166" s="466"/>
      <c r="W166" s="466"/>
      <c r="X166" s="466"/>
      <c r="Y166" s="466"/>
      <c r="Z166" s="466"/>
      <c r="AA166" s="466"/>
      <c r="AB166" s="466"/>
      <c r="AC166" s="466"/>
      <c r="AD166" s="466"/>
      <c r="AE166" s="466"/>
      <c r="AF166" s="466"/>
      <c r="AG166" s="466"/>
      <c r="AH166" s="466"/>
      <c r="AI166" s="466"/>
      <c r="AJ166" s="466"/>
      <c r="AK166" s="130"/>
      <c r="AL166" s="131"/>
      <c r="AM166" s="100" t="s">
        <v>215</v>
      </c>
      <c r="AN166" s="61"/>
      <c r="AO166" s="61"/>
    </row>
    <row r="167" spans="1:41" ht="45" customHeight="1" x14ac:dyDescent="0.25">
      <c r="A167" s="332" t="s">
        <v>826</v>
      </c>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77"/>
      <c r="AN167" s="61"/>
      <c r="AO167" s="61"/>
    </row>
    <row r="168" spans="1:41" ht="42.45" customHeight="1" x14ac:dyDescent="0.25">
      <c r="A168" s="333"/>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120"/>
    </row>
    <row r="169" spans="1:41" ht="42.45" customHeight="1" x14ac:dyDescent="0.25">
      <c r="A169" s="332" t="s">
        <v>831</v>
      </c>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120"/>
    </row>
    <row r="170" spans="1:41" ht="42.45" customHeight="1" x14ac:dyDescent="0.25">
      <c r="A170" s="333"/>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120"/>
    </row>
    <row r="171" spans="1:41" ht="34.950000000000003" customHeight="1" x14ac:dyDescent="0.25">
      <c r="A171" s="332" t="s">
        <v>1115</v>
      </c>
      <c r="B171" s="332"/>
      <c r="C171" s="332"/>
      <c r="D171" s="332"/>
      <c r="E171" s="332"/>
      <c r="F171" s="332"/>
      <c r="G171" s="332"/>
      <c r="H171" s="332"/>
      <c r="I171" s="332"/>
      <c r="J171" s="332"/>
      <c r="K171" s="332"/>
      <c r="L171" s="332"/>
      <c r="M171" s="332"/>
      <c r="N171" s="332"/>
      <c r="O171" s="332"/>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row>
    <row r="172" spans="1:41" ht="41.7" customHeight="1" x14ac:dyDescent="0.25">
      <c r="A172" s="333" t="s">
        <v>961</v>
      </c>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c r="AM172" s="117"/>
    </row>
    <row r="173" spans="1:41" ht="67.2" customHeight="1" x14ac:dyDescent="0.25">
      <c r="A173" s="308" t="s">
        <v>1116</v>
      </c>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row>
    <row r="174" spans="1:41" ht="45" customHeight="1" x14ac:dyDescent="0.25">
      <c r="A174" s="626" t="s">
        <v>795</v>
      </c>
      <c r="B174" s="626"/>
      <c r="C174" s="626"/>
      <c r="D174" s="626"/>
      <c r="E174" s="626"/>
      <c r="F174" s="626"/>
      <c r="G174" s="626"/>
      <c r="H174" s="626"/>
      <c r="I174" s="626"/>
      <c r="J174" s="626"/>
      <c r="K174" s="626"/>
      <c r="L174" s="626"/>
      <c r="M174" s="626"/>
      <c r="N174" s="626"/>
      <c r="O174" s="626"/>
      <c r="P174" s="626"/>
      <c r="Q174" s="626"/>
      <c r="R174" s="626"/>
      <c r="S174" s="626"/>
      <c r="T174" s="626"/>
      <c r="U174" s="626"/>
      <c r="V174" s="626"/>
      <c r="W174" s="626"/>
      <c r="X174" s="626"/>
      <c r="Y174" s="626"/>
      <c r="Z174" s="626"/>
      <c r="AA174" s="626"/>
      <c r="AB174" s="626"/>
      <c r="AC174" s="626"/>
      <c r="AD174" s="626"/>
      <c r="AE174" s="626"/>
      <c r="AF174" s="626"/>
      <c r="AG174" s="626"/>
      <c r="AH174" s="626"/>
      <c r="AI174" s="626"/>
      <c r="AJ174" s="626"/>
      <c r="AK174" s="626"/>
      <c r="AL174" s="626"/>
    </row>
    <row r="175" spans="1:41" ht="70.95" customHeight="1" x14ac:dyDescent="0.25">
      <c r="A175" s="308" t="s">
        <v>1117</v>
      </c>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c r="AH175" s="308"/>
      <c r="AI175" s="308"/>
      <c r="AJ175" s="308"/>
      <c r="AK175" s="308"/>
      <c r="AL175" s="308"/>
    </row>
    <row r="176" spans="1:41" s="116" customFormat="1" ht="45" customHeight="1" x14ac:dyDescent="0.2">
      <c r="A176" s="626" t="s">
        <v>940</v>
      </c>
      <c r="B176" s="626"/>
      <c r="C176" s="626"/>
      <c r="D176" s="626"/>
      <c r="E176" s="626"/>
      <c r="F176" s="626"/>
      <c r="G176" s="626"/>
      <c r="H176" s="626"/>
      <c r="I176" s="626"/>
      <c r="J176" s="626"/>
      <c r="K176" s="626"/>
      <c r="L176" s="626"/>
      <c r="M176" s="626"/>
      <c r="N176" s="626"/>
      <c r="O176" s="626"/>
      <c r="P176" s="626"/>
      <c r="Q176" s="626"/>
      <c r="R176" s="626"/>
      <c r="S176" s="626"/>
      <c r="T176" s="626"/>
      <c r="U176" s="626"/>
      <c r="V176" s="626"/>
      <c r="W176" s="626"/>
      <c r="X176" s="626"/>
      <c r="Y176" s="626"/>
      <c r="Z176" s="626"/>
      <c r="AA176" s="626"/>
      <c r="AB176" s="626"/>
      <c r="AC176" s="626"/>
      <c r="AD176" s="626"/>
      <c r="AE176" s="626"/>
      <c r="AF176" s="626"/>
      <c r="AG176" s="626"/>
      <c r="AH176" s="626"/>
      <c r="AI176" s="626"/>
      <c r="AJ176" s="626"/>
      <c r="AK176" s="626"/>
      <c r="AL176" s="626"/>
      <c r="AM176" s="101"/>
    </row>
    <row r="177" spans="1:39" ht="47.25" customHeight="1" x14ac:dyDescent="0.25">
      <c r="A177" s="308" t="s">
        <v>1120</v>
      </c>
      <c r="B177" s="332"/>
      <c r="C177" s="332"/>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row>
    <row r="178" spans="1:39" ht="45" customHeight="1" x14ac:dyDescent="0.25">
      <c r="A178" s="333" t="str">
        <f>IF(A93=Słowniki!AA3,Słowniki!W6,Słowniki!W5)</f>
        <v>Żaden lokal nie będzie przeznaczony dla rodzin z dziećmi posiadającymi zaświadczenie, o którym mowa w art. 4 ust. 3 ustawy z dnia 4 listopada 2016 r. o wsparciu kobiet w ciąży i rodzin „Za życiem” (Dz. U. z 2024 r. poz. 1829).</v>
      </c>
      <c r="B178" s="333"/>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c r="AM178" s="101" t="str">
        <f>IF(A$178=Słowniki!P1,"Po wydrukowaniu należy przystawić imienną pieczęć i podpisać oświadczenie","")</f>
        <v/>
      </c>
    </row>
    <row r="179" spans="1:39" ht="119.7" customHeight="1" x14ac:dyDescent="0.25">
      <c r="A179" s="308" t="s">
        <v>1123</v>
      </c>
      <c r="B179" s="332"/>
      <c r="C179" s="332"/>
      <c r="D179" s="332"/>
      <c r="E179" s="332"/>
      <c r="F179" s="332"/>
      <c r="G179" s="332"/>
      <c r="H179" s="332"/>
      <c r="I179" s="332"/>
      <c r="J179" s="332"/>
      <c r="K179" s="332"/>
      <c r="L179" s="332"/>
      <c r="M179" s="332"/>
      <c r="N179" s="332"/>
      <c r="O179" s="332"/>
      <c r="P179" s="332"/>
      <c r="Q179" s="332"/>
      <c r="R179" s="332"/>
      <c r="S179" s="332"/>
      <c r="T179" s="332"/>
      <c r="U179" s="332"/>
      <c r="V179" s="332"/>
      <c r="W179" s="332"/>
      <c r="X179" s="332"/>
      <c r="Y179" s="332"/>
      <c r="Z179" s="332"/>
      <c r="AA179" s="332"/>
      <c r="AB179" s="332"/>
      <c r="AC179" s="332"/>
      <c r="AD179" s="332"/>
      <c r="AE179" s="332"/>
      <c r="AF179" s="332"/>
      <c r="AG179" s="332"/>
      <c r="AH179" s="332"/>
      <c r="AI179" s="332"/>
      <c r="AJ179" s="332"/>
      <c r="AK179" s="332"/>
      <c r="AL179" s="332"/>
      <c r="AM179" s="117"/>
    </row>
    <row r="180" spans="1:39" ht="69.45" customHeight="1" x14ac:dyDescent="0.25">
      <c r="A180" s="333" t="s">
        <v>784</v>
      </c>
      <c r="B180" s="333"/>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row>
    <row r="181" spans="1:39" ht="76.95" customHeight="1" x14ac:dyDescent="0.25">
      <c r="A181" s="308" t="s">
        <v>1126</v>
      </c>
      <c r="B181" s="332"/>
      <c r="C181" s="332"/>
      <c r="D181" s="332"/>
      <c r="E181" s="332"/>
      <c r="F181" s="332"/>
      <c r="G181" s="332"/>
      <c r="H181" s="332"/>
      <c r="I181" s="332"/>
      <c r="J181" s="332"/>
      <c r="K181" s="332"/>
      <c r="L181" s="332"/>
      <c r="M181" s="332"/>
      <c r="N181" s="332"/>
      <c r="O181" s="332"/>
      <c r="P181" s="332"/>
      <c r="Q181" s="332"/>
      <c r="R181" s="332"/>
      <c r="S181" s="332"/>
      <c r="T181" s="332"/>
      <c r="U181" s="332"/>
      <c r="V181" s="332"/>
      <c r="W181" s="332"/>
      <c r="X181" s="332"/>
      <c r="Y181" s="332"/>
      <c r="Z181" s="332"/>
      <c r="AA181" s="332"/>
      <c r="AB181" s="332"/>
      <c r="AC181" s="332"/>
      <c r="AD181" s="332"/>
      <c r="AE181" s="332"/>
      <c r="AF181" s="332"/>
      <c r="AG181" s="332"/>
      <c r="AH181" s="332"/>
      <c r="AI181" s="332"/>
      <c r="AJ181" s="332"/>
      <c r="AK181" s="332"/>
      <c r="AL181" s="332"/>
      <c r="AM181" s="117"/>
    </row>
    <row r="182" spans="1:39" ht="77.7" customHeight="1" x14ac:dyDescent="0.25">
      <c r="A182" s="333" t="str">
        <f>IF(AND(A95&gt;Słowniki!AA3,A108&gt;Słowniki!AA3),Słowniki!Z$1,Słowniki!Z$2)</f>
        <v>NIE DOTYCZY</v>
      </c>
      <c r="B182" s="333"/>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c r="Z182" s="333"/>
      <c r="AA182" s="333"/>
      <c r="AB182" s="333"/>
      <c r="AC182" s="333"/>
      <c r="AD182" s="333"/>
      <c r="AE182" s="333"/>
      <c r="AF182" s="333"/>
      <c r="AG182" s="333"/>
      <c r="AH182" s="333"/>
      <c r="AI182" s="333"/>
      <c r="AJ182" s="333"/>
      <c r="AK182" s="333"/>
      <c r="AL182" s="333"/>
    </row>
    <row r="183" spans="1:39" ht="70.5" customHeight="1" x14ac:dyDescent="0.25">
      <c r="A183" s="332" t="s">
        <v>1129</v>
      </c>
      <c r="B183" s="332"/>
      <c r="C183" s="332"/>
      <c r="D183" s="332"/>
      <c r="E183" s="332"/>
      <c r="F183" s="332"/>
      <c r="G183" s="332"/>
      <c r="H183" s="332"/>
      <c r="I183" s="332"/>
      <c r="J183" s="332"/>
      <c r="K183" s="332"/>
      <c r="L183" s="332"/>
      <c r="M183" s="332"/>
      <c r="N183" s="332"/>
      <c r="O183" s="332"/>
      <c r="P183" s="332"/>
      <c r="Q183" s="332"/>
      <c r="R183" s="332"/>
      <c r="S183" s="332"/>
      <c r="T183" s="332"/>
      <c r="U183" s="332"/>
      <c r="V183" s="332"/>
      <c r="W183" s="332"/>
      <c r="X183" s="332"/>
      <c r="Y183" s="332"/>
      <c r="Z183" s="332"/>
      <c r="AA183" s="332"/>
      <c r="AB183" s="332"/>
      <c r="AC183" s="332"/>
      <c r="AD183" s="332"/>
      <c r="AE183" s="332"/>
      <c r="AF183" s="332"/>
      <c r="AG183" s="332"/>
      <c r="AH183" s="332"/>
      <c r="AI183" s="332"/>
      <c r="AJ183" s="332"/>
      <c r="AK183" s="332"/>
      <c r="AL183" s="332"/>
      <c r="AM183" s="77"/>
    </row>
    <row r="184" spans="1:39" ht="45" customHeight="1" x14ac:dyDescent="0.25">
      <c r="A184" s="332" t="s">
        <v>169</v>
      </c>
      <c r="B184" s="332"/>
      <c r="C184" s="332"/>
      <c r="D184" s="332"/>
      <c r="E184" s="332"/>
      <c r="F184" s="332"/>
      <c r="G184" s="332"/>
      <c r="H184" s="332"/>
      <c r="I184" s="332"/>
      <c r="J184" s="332"/>
      <c r="K184" s="332"/>
      <c r="L184" s="332"/>
      <c r="M184" s="332"/>
      <c r="N184" s="332"/>
      <c r="O184" s="332"/>
      <c r="P184" s="332"/>
      <c r="Q184" s="332"/>
      <c r="R184" s="332"/>
      <c r="S184" s="332"/>
      <c r="T184" s="332"/>
      <c r="U184" s="332"/>
      <c r="V184" s="332"/>
      <c r="W184" s="332"/>
      <c r="X184" s="332"/>
      <c r="Y184" s="332"/>
      <c r="Z184" s="332"/>
      <c r="AA184" s="332"/>
      <c r="AB184" s="332"/>
      <c r="AC184" s="332"/>
      <c r="AD184" s="332"/>
      <c r="AE184" s="332"/>
      <c r="AF184" s="332"/>
      <c r="AG184" s="332"/>
      <c r="AH184" s="332"/>
      <c r="AI184" s="332"/>
      <c r="AJ184" s="332"/>
      <c r="AK184" s="332"/>
      <c r="AL184" s="332"/>
      <c r="AM184" s="117"/>
    </row>
    <row r="185" spans="1:39" ht="45" customHeight="1" x14ac:dyDescent="0.25">
      <c r="A185" s="456"/>
      <c r="B185" s="456"/>
      <c r="C185" s="456"/>
      <c r="D185" s="456"/>
      <c r="E185" s="456"/>
      <c r="F185" s="456"/>
      <c r="G185" s="456"/>
      <c r="H185" s="456"/>
      <c r="I185" s="456"/>
      <c r="J185" s="456"/>
      <c r="K185" s="456"/>
      <c r="L185" s="456"/>
      <c r="M185" s="456"/>
      <c r="N185" s="456"/>
      <c r="O185" s="456"/>
      <c r="P185" s="456"/>
      <c r="Q185" s="456"/>
      <c r="R185" s="456"/>
      <c r="S185" s="456"/>
      <c r="T185" s="456"/>
      <c r="U185" s="456"/>
      <c r="V185" s="456"/>
      <c r="W185" s="456"/>
      <c r="X185" s="456"/>
      <c r="Y185" s="456"/>
      <c r="Z185" s="456"/>
      <c r="AA185" s="456"/>
      <c r="AB185" s="456"/>
      <c r="AC185" s="456"/>
      <c r="AD185" s="456"/>
      <c r="AE185" s="456"/>
      <c r="AF185" s="456"/>
      <c r="AG185" s="456"/>
      <c r="AH185" s="456"/>
      <c r="AI185" s="456"/>
      <c r="AJ185" s="456"/>
      <c r="AK185" s="456"/>
      <c r="AL185" s="456"/>
      <c r="AM185" s="117"/>
    </row>
    <row r="186" spans="1:39" ht="85.5" customHeight="1" x14ac:dyDescent="0.25">
      <c r="A186" s="332" t="s">
        <v>1130</v>
      </c>
      <c r="B186" s="332"/>
      <c r="C186" s="332"/>
      <c r="D186" s="332"/>
      <c r="E186" s="332"/>
      <c r="F186" s="332"/>
      <c r="G186" s="332"/>
      <c r="H186" s="332"/>
      <c r="I186" s="332"/>
      <c r="J186" s="332"/>
      <c r="K186" s="332"/>
      <c r="L186" s="332"/>
      <c r="M186" s="332"/>
      <c r="N186" s="332"/>
      <c r="O186" s="332"/>
      <c r="P186" s="332"/>
      <c r="Q186" s="332"/>
      <c r="R186" s="332"/>
      <c r="S186" s="332"/>
      <c r="T186" s="332"/>
      <c r="U186" s="332"/>
      <c r="V186" s="332"/>
      <c r="W186" s="332"/>
      <c r="X186" s="332"/>
      <c r="Y186" s="332"/>
      <c r="Z186" s="332"/>
      <c r="AA186" s="332"/>
      <c r="AB186" s="332"/>
      <c r="AC186" s="332"/>
      <c r="AD186" s="332"/>
      <c r="AE186" s="332"/>
      <c r="AF186" s="332"/>
      <c r="AG186" s="332"/>
      <c r="AH186" s="332"/>
      <c r="AI186" s="332"/>
      <c r="AJ186" s="332"/>
      <c r="AK186" s="332"/>
      <c r="AL186" s="332"/>
      <c r="AM186" s="77"/>
    </row>
    <row r="187" spans="1:39" ht="45" customHeight="1" x14ac:dyDescent="0.25">
      <c r="A187" s="333"/>
      <c r="B187" s="333"/>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c r="Z187" s="333"/>
      <c r="AA187" s="333"/>
      <c r="AB187" s="333"/>
      <c r="AC187" s="333"/>
      <c r="AD187" s="333"/>
      <c r="AE187" s="333"/>
      <c r="AF187" s="333"/>
      <c r="AG187" s="333"/>
      <c r="AH187" s="333"/>
      <c r="AI187" s="333"/>
      <c r="AJ187" s="333"/>
      <c r="AK187" s="333"/>
      <c r="AL187" s="333"/>
      <c r="AM187" s="117"/>
    </row>
    <row r="188" spans="1:39" ht="51" customHeight="1" x14ac:dyDescent="0.25">
      <c r="A188" s="308" t="s">
        <v>1133</v>
      </c>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c r="AH188" s="308"/>
      <c r="AI188" s="308"/>
      <c r="AJ188" s="308"/>
      <c r="AK188" s="308"/>
      <c r="AL188" s="308"/>
      <c r="AM188" s="77"/>
    </row>
    <row r="189" spans="1:39" ht="46.5" customHeight="1" x14ac:dyDescent="0.25">
      <c r="A189" s="630" t="s">
        <v>946</v>
      </c>
      <c r="B189" s="630"/>
      <c r="C189" s="630"/>
      <c r="D189" s="630"/>
      <c r="E189" s="630"/>
      <c r="F189" s="630"/>
      <c r="G189" s="630"/>
      <c r="H189" s="630"/>
      <c r="I189" s="630"/>
      <c r="J189" s="630"/>
      <c r="K189" s="630"/>
      <c r="L189" s="630"/>
      <c r="M189" s="630"/>
      <c r="N189" s="630"/>
      <c r="O189" s="630"/>
      <c r="P189" s="630"/>
      <c r="Q189" s="630"/>
      <c r="R189" s="630"/>
      <c r="S189" s="630"/>
      <c r="T189" s="630" t="s">
        <v>947</v>
      </c>
      <c r="U189" s="630"/>
      <c r="V189" s="630"/>
      <c r="W189" s="630"/>
      <c r="X189" s="630"/>
      <c r="Y189" s="630"/>
      <c r="Z189" s="630"/>
      <c r="AA189" s="630"/>
      <c r="AB189" s="630"/>
      <c r="AC189" s="630"/>
      <c r="AD189" s="630"/>
      <c r="AE189" s="630"/>
      <c r="AF189" s="630"/>
      <c r="AG189" s="630"/>
      <c r="AH189" s="630"/>
      <c r="AI189" s="630"/>
      <c r="AJ189" s="630"/>
      <c r="AK189" s="630"/>
      <c r="AL189" s="630"/>
      <c r="AM189" s="77"/>
    </row>
    <row r="190" spans="1:39" ht="120.45" customHeight="1" x14ac:dyDescent="0.25">
      <c r="A190" s="629">
        <f>B50</f>
        <v>0</v>
      </c>
      <c r="B190" s="629"/>
      <c r="C190" s="629"/>
      <c r="D190" s="629"/>
      <c r="E190" s="629"/>
      <c r="F190" s="629"/>
      <c r="G190" s="629"/>
      <c r="H190" s="629"/>
      <c r="I190" s="629"/>
      <c r="J190" s="629"/>
      <c r="K190" s="629"/>
      <c r="L190" s="629"/>
      <c r="M190" s="629"/>
      <c r="N190" s="629"/>
      <c r="O190" s="629"/>
      <c r="P190" s="629"/>
      <c r="Q190" s="629"/>
      <c r="R190" s="629"/>
      <c r="S190" s="629"/>
      <c r="T190" s="627" t="s">
        <v>1144</v>
      </c>
      <c r="U190" s="627"/>
      <c r="V190" s="627"/>
      <c r="W190" s="627"/>
      <c r="X190" s="627"/>
      <c r="Y190" s="627"/>
      <c r="Z190" s="627"/>
      <c r="AA190" s="627"/>
      <c r="AB190" s="627"/>
      <c r="AC190" s="627"/>
      <c r="AD190" s="627"/>
      <c r="AE190" s="627"/>
      <c r="AF190" s="627"/>
      <c r="AG190" s="627"/>
      <c r="AH190" s="627"/>
      <c r="AI190" s="627"/>
      <c r="AJ190" s="627"/>
      <c r="AK190" s="627"/>
      <c r="AL190" s="627"/>
      <c r="AM190" s="77"/>
    </row>
    <row r="191" spans="1:39" ht="64.95" customHeight="1" x14ac:dyDescent="0.25">
      <c r="A191" s="315" t="s">
        <v>1135</v>
      </c>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c r="AM191" s="77"/>
    </row>
    <row r="192" spans="1:39" ht="99.45" customHeight="1" x14ac:dyDescent="0.25">
      <c r="A192" s="333" t="s">
        <v>1146</v>
      </c>
      <c r="B192" s="333"/>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c r="AM192" s="77"/>
    </row>
    <row r="193" spans="1:41" ht="64.95" customHeight="1" x14ac:dyDescent="0.25">
      <c r="A193" s="625" t="s">
        <v>1136</v>
      </c>
      <c r="B193" s="625"/>
      <c r="C193" s="625"/>
      <c r="D193" s="625"/>
      <c r="E193" s="625"/>
      <c r="F193" s="625"/>
      <c r="G193" s="625"/>
      <c r="H193" s="625"/>
      <c r="I193" s="625"/>
      <c r="J193" s="625"/>
      <c r="K193" s="625"/>
      <c r="L193" s="625"/>
      <c r="M193" s="625"/>
      <c r="N193" s="625"/>
      <c r="O193" s="625"/>
      <c r="P193" s="625"/>
      <c r="Q193" s="625"/>
      <c r="R193" s="625"/>
      <c r="S193" s="625"/>
      <c r="T193" s="625"/>
      <c r="U193" s="625"/>
      <c r="V193" s="625"/>
      <c r="W193" s="625"/>
      <c r="X193" s="625"/>
      <c r="Y193" s="625"/>
      <c r="Z193" s="625"/>
      <c r="AA193" s="625"/>
      <c r="AB193" s="625"/>
      <c r="AC193" s="625"/>
      <c r="AD193" s="625"/>
      <c r="AE193" s="625"/>
      <c r="AF193" s="625"/>
      <c r="AG193" s="625"/>
      <c r="AH193" s="625"/>
      <c r="AI193" s="625"/>
      <c r="AJ193" s="625"/>
      <c r="AK193" s="625"/>
      <c r="AL193" s="625"/>
      <c r="AM193" s="77"/>
    </row>
    <row r="194" spans="1:41" ht="64.95" customHeight="1" x14ac:dyDescent="0.25">
      <c r="A194" s="333" t="s">
        <v>161</v>
      </c>
      <c r="B194" s="333"/>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77"/>
    </row>
    <row r="195" spans="1:41" ht="52.2" customHeight="1" x14ac:dyDescent="0.25">
      <c r="A195" s="308" t="s">
        <v>1137</v>
      </c>
      <c r="B195" s="332"/>
      <c r="C195" s="332"/>
      <c r="D195" s="332"/>
      <c r="E195" s="332"/>
      <c r="F195" s="332"/>
      <c r="G195" s="332"/>
      <c r="H195" s="332"/>
      <c r="I195" s="332"/>
      <c r="J195" s="332"/>
      <c r="K195" s="332"/>
      <c r="L195" s="332"/>
      <c r="M195" s="332"/>
      <c r="N195" s="332"/>
      <c r="O195" s="332"/>
      <c r="P195" s="332"/>
      <c r="Q195" s="332"/>
      <c r="R195" s="332"/>
      <c r="S195" s="332"/>
      <c r="T195" s="332"/>
      <c r="U195" s="332"/>
      <c r="V195" s="332"/>
      <c r="W195" s="332"/>
      <c r="X195" s="332"/>
      <c r="Y195" s="332"/>
      <c r="Z195" s="332"/>
      <c r="AA195" s="332"/>
      <c r="AB195" s="332"/>
      <c r="AC195" s="332"/>
      <c r="AD195" s="332"/>
      <c r="AE195" s="332"/>
      <c r="AF195" s="332"/>
      <c r="AG195" s="332"/>
      <c r="AH195" s="332"/>
      <c r="AI195" s="332"/>
      <c r="AJ195" s="332"/>
      <c r="AK195" s="332"/>
      <c r="AL195" s="332"/>
      <c r="AM195" s="77"/>
    </row>
    <row r="196" spans="1:41" ht="64.2" customHeight="1" x14ac:dyDescent="0.25">
      <c r="A196" s="333" t="s">
        <v>1143</v>
      </c>
      <c r="B196" s="333"/>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c r="Z196" s="333"/>
      <c r="AA196" s="333"/>
      <c r="AB196" s="333"/>
      <c r="AC196" s="333"/>
      <c r="AD196" s="333"/>
      <c r="AE196" s="333"/>
      <c r="AF196" s="333"/>
      <c r="AG196" s="333"/>
      <c r="AH196" s="333"/>
      <c r="AI196" s="333"/>
      <c r="AJ196" s="333"/>
      <c r="AK196" s="333"/>
      <c r="AL196" s="333"/>
      <c r="AM196" s="77"/>
    </row>
    <row r="197" spans="1:41" ht="46.95" customHeight="1" x14ac:dyDescent="0.25">
      <c r="A197" s="308" t="s">
        <v>1138</v>
      </c>
      <c r="B197" s="332"/>
      <c r="C197" s="332"/>
      <c r="D197" s="332"/>
      <c r="E197" s="332"/>
      <c r="F197" s="332"/>
      <c r="G197" s="332"/>
      <c r="H197" s="332"/>
      <c r="I197" s="332"/>
      <c r="J197" s="332"/>
      <c r="K197" s="332"/>
      <c r="L197" s="332"/>
      <c r="M197" s="332"/>
      <c r="N197" s="332"/>
      <c r="O197" s="332"/>
      <c r="P197" s="332"/>
      <c r="Q197" s="332"/>
      <c r="R197" s="332"/>
      <c r="S197" s="332"/>
      <c r="T197" s="332"/>
      <c r="U197" s="332"/>
      <c r="V197" s="332"/>
      <c r="W197" s="332"/>
      <c r="X197" s="332"/>
      <c r="Y197" s="332"/>
      <c r="Z197" s="332"/>
      <c r="AA197" s="332"/>
      <c r="AB197" s="332"/>
      <c r="AC197" s="332"/>
      <c r="AD197" s="332"/>
      <c r="AE197" s="332"/>
      <c r="AF197" s="332"/>
      <c r="AG197" s="332"/>
      <c r="AH197" s="332"/>
      <c r="AI197" s="332"/>
      <c r="AJ197" s="332"/>
      <c r="AK197" s="332"/>
      <c r="AL197" s="332"/>
      <c r="AM197" s="77"/>
    </row>
    <row r="198" spans="1:41" ht="46.2" customHeight="1" x14ac:dyDescent="0.25">
      <c r="A198" s="333" t="s">
        <v>1139</v>
      </c>
      <c r="B198" s="333"/>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77"/>
    </row>
    <row r="199" spans="1:41" ht="27.6" customHeight="1" x14ac:dyDescent="0.25">
      <c r="A199" s="308" t="s">
        <v>752</v>
      </c>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c r="AD199" s="308"/>
      <c r="AE199" s="308"/>
      <c r="AF199" s="308"/>
      <c r="AG199" s="308"/>
      <c r="AH199" s="308"/>
      <c r="AI199" s="308"/>
      <c r="AJ199" s="308"/>
      <c r="AK199" s="308"/>
      <c r="AL199" s="308"/>
      <c r="AM199" s="77"/>
      <c r="AN199" s="61"/>
      <c r="AO199" s="61"/>
    </row>
    <row r="200" spans="1:41" ht="58.5" customHeight="1" x14ac:dyDescent="0.25">
      <c r="A200" s="308" t="s">
        <v>979</v>
      </c>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c r="AH200" s="308"/>
      <c r="AI200" s="308"/>
      <c r="AJ200" s="308"/>
      <c r="AK200" s="308"/>
      <c r="AL200" s="308"/>
      <c r="AM200" s="77"/>
      <c r="AN200" s="61"/>
      <c r="AO200" s="61"/>
    </row>
    <row r="201" spans="1:41" ht="34.200000000000003" customHeight="1" x14ac:dyDescent="0.25">
      <c r="A201" s="308" t="s">
        <v>1024</v>
      </c>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c r="AH201" s="308"/>
      <c r="AI201" s="308"/>
      <c r="AJ201" s="308"/>
      <c r="AK201" s="308"/>
      <c r="AL201" s="308"/>
      <c r="AM201" s="77"/>
      <c r="AN201" s="61"/>
      <c r="AO201" s="61"/>
    </row>
    <row r="202" spans="1:41" ht="84.45" customHeight="1" x14ac:dyDescent="0.25">
      <c r="A202" s="308" t="s">
        <v>1153</v>
      </c>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308"/>
      <c r="AH202" s="308"/>
      <c r="AI202" s="308"/>
      <c r="AJ202" s="308"/>
      <c r="AK202" s="308"/>
      <c r="AL202" s="308"/>
      <c r="AM202" s="77"/>
      <c r="AN202" s="61"/>
      <c r="AO202" s="61"/>
    </row>
    <row r="203" spans="1:41" ht="74.7" customHeight="1" x14ac:dyDescent="0.25">
      <c r="A203" s="308" t="s">
        <v>1011</v>
      </c>
      <c r="B203" s="328"/>
      <c r="C203" s="328"/>
      <c r="D203" s="328"/>
      <c r="E203" s="328"/>
      <c r="F203" s="328"/>
      <c r="G203" s="328"/>
      <c r="H203" s="328"/>
      <c r="I203" s="328"/>
      <c r="J203" s="328"/>
      <c r="K203" s="328"/>
      <c r="L203" s="328"/>
      <c r="M203" s="328"/>
      <c r="N203" s="328"/>
      <c r="O203" s="328"/>
      <c r="P203" s="328"/>
      <c r="Q203" s="328"/>
      <c r="R203" s="328"/>
      <c r="S203" s="328"/>
      <c r="T203" s="328"/>
      <c r="U203" s="328"/>
      <c r="V203" s="328"/>
      <c r="W203" s="328"/>
      <c r="X203" s="328"/>
      <c r="Y203" s="328"/>
      <c r="Z203" s="328"/>
      <c r="AA203" s="328"/>
      <c r="AB203" s="328"/>
      <c r="AC203" s="328"/>
      <c r="AD203" s="328"/>
      <c r="AE203" s="328"/>
      <c r="AF203" s="328"/>
      <c r="AG203" s="328"/>
      <c r="AH203" s="328"/>
      <c r="AI203" s="328"/>
      <c r="AJ203" s="328"/>
      <c r="AK203" s="328"/>
      <c r="AL203" s="328"/>
      <c r="AM203" s="77"/>
      <c r="AN203" s="61"/>
      <c r="AO203" s="61"/>
    </row>
    <row r="204" spans="1:41" ht="24.45" customHeight="1" x14ac:dyDescent="0.25">
      <c r="A204" s="308" t="s">
        <v>1051</v>
      </c>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308"/>
      <c r="AH204" s="308"/>
      <c r="AI204" s="308"/>
      <c r="AJ204" s="308"/>
      <c r="AK204" s="308"/>
      <c r="AL204" s="308"/>
      <c r="AM204" s="77"/>
      <c r="AN204" s="61"/>
      <c r="AO204" s="61"/>
    </row>
    <row r="205" spans="1:41" ht="20.25" customHeight="1" x14ac:dyDescent="0.25">
      <c r="A205" s="505" t="str">
        <f>IF(B18="Gmina","1)  w przypadku gminy - wójta (burmistrza, prezydenta miasta)",IF(B18="Związek międzygminny","2)  w przypadku związku międzygminnego - zarząd związku",IF(B18="","")))</f>
        <v/>
      </c>
      <c r="B205" s="505"/>
      <c r="C205" s="505"/>
      <c r="D205" s="505"/>
      <c r="E205" s="505"/>
      <c r="F205" s="505"/>
      <c r="G205" s="505"/>
      <c r="H205" s="505"/>
      <c r="I205" s="505"/>
      <c r="J205" s="505"/>
      <c r="K205" s="505"/>
      <c r="L205" s="505"/>
      <c r="M205" s="505"/>
      <c r="N205" s="505"/>
      <c r="O205" s="505"/>
      <c r="P205" s="505"/>
      <c r="Q205" s="505"/>
      <c r="R205" s="505"/>
      <c r="S205" s="505"/>
      <c r="T205" s="505"/>
      <c r="U205" s="505"/>
      <c r="V205" s="505"/>
      <c r="W205" s="505"/>
      <c r="X205" s="505"/>
      <c r="Y205" s="505"/>
      <c r="Z205" s="505"/>
      <c r="AA205" s="505"/>
      <c r="AB205" s="505"/>
      <c r="AC205" s="505"/>
      <c r="AD205" s="505"/>
      <c r="AE205" s="505"/>
      <c r="AF205" s="505"/>
      <c r="AG205" s="505"/>
      <c r="AH205" s="505"/>
      <c r="AI205" s="505"/>
      <c r="AJ205" s="505"/>
      <c r="AK205" s="505"/>
      <c r="AL205" s="505"/>
      <c r="AM205" s="454" t="s">
        <v>975</v>
      </c>
    </row>
    <row r="206" spans="1:41" ht="39.450000000000003" customHeight="1" x14ac:dyDescent="0.3">
      <c r="A206" s="460" t="s">
        <v>753</v>
      </c>
      <c r="B206" s="460"/>
      <c r="C206" s="460"/>
      <c r="D206" s="460"/>
      <c r="E206" s="460"/>
      <c r="F206" s="460"/>
      <c r="G206" s="460"/>
      <c r="H206" s="460"/>
      <c r="I206" s="460"/>
      <c r="J206" s="460"/>
      <c r="K206" s="460"/>
      <c r="L206" s="460"/>
      <c r="M206" s="460"/>
      <c r="N206" s="460"/>
      <c r="O206" s="460"/>
      <c r="P206" s="460"/>
      <c r="Q206" s="460"/>
      <c r="R206" s="460"/>
      <c r="S206" s="460"/>
      <c r="T206" s="460"/>
      <c r="U206" s="460"/>
      <c r="V206" s="460"/>
      <c r="W206" s="460"/>
      <c r="X206" s="460"/>
      <c r="Y206" s="460"/>
      <c r="Z206" s="460"/>
      <c r="AA206" s="460"/>
      <c r="AB206" s="460"/>
      <c r="AC206" s="460"/>
      <c r="AD206" s="460"/>
      <c r="AE206" s="460"/>
      <c r="AF206" s="460"/>
      <c r="AG206" s="460"/>
      <c r="AH206" s="460"/>
      <c r="AI206" s="460"/>
      <c r="AJ206" s="460"/>
      <c r="AK206" s="460"/>
      <c r="AL206" s="460"/>
      <c r="AM206" s="455"/>
    </row>
    <row r="207" spans="1:41" ht="14.25" customHeight="1" x14ac:dyDescent="0.25">
      <c r="A207" s="449" t="s">
        <v>1148</v>
      </c>
      <c r="B207" s="449"/>
      <c r="C207" s="449"/>
      <c r="D207" s="449"/>
      <c r="E207" s="449"/>
      <c r="F207" s="449"/>
      <c r="G207" s="449"/>
      <c r="H207" s="449"/>
      <c r="I207" s="449"/>
      <c r="J207" s="449"/>
      <c r="K207" s="449"/>
      <c r="L207" s="449"/>
      <c r="M207" s="449"/>
      <c r="N207" s="449"/>
      <c r="O207" s="449"/>
      <c r="P207" s="449"/>
      <c r="Q207" s="449"/>
      <c r="R207" s="449"/>
      <c r="S207" s="449"/>
      <c r="T207" s="449"/>
      <c r="U207" s="449"/>
      <c r="V207" s="449"/>
      <c r="W207" s="449"/>
      <c r="X207" s="449"/>
      <c r="Y207" s="449"/>
      <c r="Z207" s="449"/>
      <c r="AA207" s="449"/>
      <c r="AB207" s="449"/>
      <c r="AC207" s="449"/>
      <c r="AD207" s="449"/>
      <c r="AE207" s="449"/>
      <c r="AF207" s="449"/>
      <c r="AG207" s="449"/>
      <c r="AH207" s="449"/>
      <c r="AI207" s="449"/>
      <c r="AJ207" s="449"/>
      <c r="AK207" s="449"/>
      <c r="AL207" s="449"/>
    </row>
    <row r="208" spans="1:41" ht="14.25" customHeight="1" x14ac:dyDescent="0.25">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c r="W208" s="450"/>
      <c r="X208" s="450"/>
      <c r="Y208" s="450"/>
      <c r="Z208" s="450"/>
      <c r="AA208" s="450"/>
      <c r="AB208" s="450"/>
      <c r="AC208" s="450"/>
      <c r="AD208" s="450"/>
      <c r="AE208" s="450"/>
      <c r="AF208" s="450"/>
      <c r="AG208" s="450"/>
      <c r="AH208" s="450"/>
      <c r="AI208" s="450"/>
      <c r="AJ208" s="450"/>
      <c r="AK208" s="450"/>
      <c r="AL208" s="450"/>
    </row>
    <row r="209" spans="1:39" ht="14.25" customHeight="1" x14ac:dyDescent="0.25">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c r="W209" s="450"/>
      <c r="X209" s="450"/>
      <c r="Y209" s="450"/>
      <c r="Z209" s="450"/>
      <c r="AA209" s="450"/>
      <c r="AB209" s="450"/>
      <c r="AC209" s="450"/>
      <c r="AD209" s="450"/>
      <c r="AE209" s="450"/>
      <c r="AF209" s="450"/>
      <c r="AG209" s="450"/>
      <c r="AH209" s="450"/>
      <c r="AI209" s="450"/>
      <c r="AJ209" s="450"/>
      <c r="AK209" s="450"/>
      <c r="AL209" s="450"/>
    </row>
    <row r="210" spans="1:39" ht="14.25" customHeight="1" x14ac:dyDescent="0.3">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c r="W210" s="450"/>
      <c r="X210" s="450"/>
      <c r="Y210" s="450"/>
      <c r="Z210" s="450"/>
      <c r="AA210" s="450"/>
      <c r="AB210" s="450"/>
      <c r="AC210" s="450"/>
      <c r="AD210" s="450"/>
      <c r="AE210" s="450"/>
      <c r="AF210" s="450"/>
      <c r="AG210" s="450"/>
      <c r="AH210" s="450"/>
      <c r="AI210" s="450"/>
      <c r="AJ210" s="450"/>
      <c r="AK210" s="450"/>
      <c r="AL210" s="450"/>
      <c r="AM210" s="256" t="s">
        <v>1155</v>
      </c>
    </row>
    <row r="211" spans="1:39" ht="165" customHeight="1" x14ac:dyDescent="0.25">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c r="W211" s="450"/>
      <c r="X211" s="450"/>
      <c r="Y211" s="450"/>
      <c r="Z211" s="450"/>
      <c r="AA211" s="450"/>
      <c r="AB211" s="450"/>
      <c r="AC211" s="450"/>
      <c r="AD211" s="450"/>
      <c r="AE211" s="450"/>
      <c r="AF211" s="450"/>
      <c r="AG211" s="450"/>
      <c r="AH211" s="450"/>
      <c r="AI211" s="450"/>
      <c r="AJ211" s="450"/>
      <c r="AK211" s="450"/>
      <c r="AL211" s="450"/>
      <c r="AM211" s="255" t="s">
        <v>1156</v>
      </c>
    </row>
    <row r="212" spans="1:39" ht="14.25" customHeight="1" x14ac:dyDescent="0.3"/>
    <row r="213" spans="1:39" ht="14.25" customHeight="1" x14ac:dyDescent="0.3"/>
    <row r="214" spans="1:39" ht="14.25" customHeight="1" x14ac:dyDescent="0.3"/>
    <row r="215" spans="1:39" ht="14.25" customHeight="1" x14ac:dyDescent="0.3"/>
    <row r="216" spans="1:39" ht="14.25" customHeight="1" x14ac:dyDescent="0.3"/>
    <row r="217" spans="1:39" ht="14.25" customHeight="1" x14ac:dyDescent="0.3"/>
    <row r="218" spans="1:39" ht="14.25" customHeight="1" x14ac:dyDescent="0.3"/>
    <row r="219" spans="1:39" ht="14.25" customHeight="1" x14ac:dyDescent="0.3"/>
    <row r="220" spans="1:39" ht="14.25" customHeight="1" x14ac:dyDescent="0.3"/>
    <row r="221" spans="1:39" ht="14.25" customHeight="1" x14ac:dyDescent="0.3"/>
    <row r="222" spans="1:39" ht="14.25" customHeight="1" x14ac:dyDescent="0.3"/>
    <row r="223" spans="1:39" ht="14.25" customHeight="1" x14ac:dyDescent="0.3"/>
    <row r="224" spans="1:39"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sheetData>
  <sheetProtection algorithmName="SHA-512" hashValue="HH8QLk5HzNjBoFKv/MzM3oHO2KmLzoaiCXYqmYgGozCiavTeEojGW5Lc0Yrd/DvEA58hrEPsFJksPKtpfXtQMQ==" saltValue="rltO14w+wTuJFFWTUQF5UQ==" spinCount="100000" sheet="1" formatCells="0" formatRows="0" insertRows="0"/>
  <mergeCells count="470">
    <mergeCell ref="A195:AL195"/>
    <mergeCell ref="A196:AL196"/>
    <mergeCell ref="A197:AL197"/>
    <mergeCell ref="A198:AL198"/>
    <mergeCell ref="A62:Y62"/>
    <mergeCell ref="Z62:AJ62"/>
    <mergeCell ref="AK62:AL62"/>
    <mergeCell ref="A63:Y63"/>
    <mergeCell ref="Z63:AJ63"/>
    <mergeCell ref="AK63:AL63"/>
    <mergeCell ref="L146:O146"/>
    <mergeCell ref="G147:K147"/>
    <mergeCell ref="L147:O147"/>
    <mergeCell ref="T147:Z147"/>
    <mergeCell ref="AK144:AL144"/>
    <mergeCell ref="A122:Z122"/>
    <mergeCell ref="AA122:AL122"/>
    <mergeCell ref="A123:Z124"/>
    <mergeCell ref="AA123:AI123"/>
    <mergeCell ref="L137:O137"/>
    <mergeCell ref="A131:AI131"/>
    <mergeCell ref="AJ131:AL131"/>
    <mergeCell ref="L150:O150"/>
    <mergeCell ref="G154:K154"/>
    <mergeCell ref="A1:AL1"/>
    <mergeCell ref="B80:AL80"/>
    <mergeCell ref="A204:AL204"/>
    <mergeCell ref="G143:K143"/>
    <mergeCell ref="L143:O143"/>
    <mergeCell ref="G139:K139"/>
    <mergeCell ref="L139:O139"/>
    <mergeCell ref="P137:S137"/>
    <mergeCell ref="P138:S138"/>
    <mergeCell ref="P148:S148"/>
    <mergeCell ref="L141:O141"/>
    <mergeCell ref="B142:F142"/>
    <mergeCell ref="G142:K142"/>
    <mergeCell ref="L142:O142"/>
    <mergeCell ref="P142:S142"/>
    <mergeCell ref="P141:S141"/>
    <mergeCell ref="B141:F141"/>
    <mergeCell ref="B148:F148"/>
    <mergeCell ref="AK143:AL143"/>
    <mergeCell ref="B147:F147"/>
    <mergeCell ref="AH141:AJ141"/>
    <mergeCell ref="T144:Z144"/>
    <mergeCell ref="A132:AI132"/>
    <mergeCell ref="G146:K146"/>
    <mergeCell ref="AM105:AV105"/>
    <mergeCell ref="AM107:AV107"/>
    <mergeCell ref="AM109:AV109"/>
    <mergeCell ref="A133:AL133"/>
    <mergeCell ref="G136:K136"/>
    <mergeCell ref="AA140:AG140"/>
    <mergeCell ref="AK139:AL139"/>
    <mergeCell ref="L138:O138"/>
    <mergeCell ref="B136:F136"/>
    <mergeCell ref="AJ127:AL127"/>
    <mergeCell ref="A119:AL119"/>
    <mergeCell ref="AK136:AL136"/>
    <mergeCell ref="P136:S136"/>
    <mergeCell ref="T136:Z136"/>
    <mergeCell ref="AJ123:AL123"/>
    <mergeCell ref="AA124:AI124"/>
    <mergeCell ref="AJ124:AL124"/>
    <mergeCell ref="AA126:AI126"/>
    <mergeCell ref="AJ126:AL126"/>
    <mergeCell ref="AA127:AI127"/>
    <mergeCell ref="B137:F137"/>
    <mergeCell ref="G137:K137"/>
    <mergeCell ref="A134:AL134"/>
    <mergeCell ref="AA125:AL125"/>
    <mergeCell ref="AH156:AJ156"/>
    <mergeCell ref="B159:F159"/>
    <mergeCell ref="AA148:AG148"/>
    <mergeCell ref="L151:O151"/>
    <mergeCell ref="B152:F152"/>
    <mergeCell ref="AH148:AJ148"/>
    <mergeCell ref="T148:Z148"/>
    <mergeCell ref="L153:O153"/>
    <mergeCell ref="B149:F149"/>
    <mergeCell ref="G149:K149"/>
    <mergeCell ref="L149:O149"/>
    <mergeCell ref="B150:F150"/>
    <mergeCell ref="B155:F155"/>
    <mergeCell ref="G155:K155"/>
    <mergeCell ref="L154:O154"/>
    <mergeCell ref="B158:F158"/>
    <mergeCell ref="G158:K158"/>
    <mergeCell ref="G148:K148"/>
    <mergeCell ref="L148:O148"/>
    <mergeCell ref="T153:Z153"/>
    <mergeCell ref="AH152:AJ152"/>
    <mergeCell ref="T151:Z151"/>
    <mergeCell ref="T154:Z154"/>
    <mergeCell ref="B154:F154"/>
    <mergeCell ref="AM205:AM206"/>
    <mergeCell ref="A201:AL201"/>
    <mergeCell ref="AA129:AI129"/>
    <mergeCell ref="AJ129:AL129"/>
    <mergeCell ref="A130:AL130"/>
    <mergeCell ref="A126:Z127"/>
    <mergeCell ref="AA136:AG136"/>
    <mergeCell ref="L136:O136"/>
    <mergeCell ref="A200:AL200"/>
    <mergeCell ref="A203:AL203"/>
    <mergeCell ref="A180:AL180"/>
    <mergeCell ref="B162:S162"/>
    <mergeCell ref="B163:S163"/>
    <mergeCell ref="T163:AJ163"/>
    <mergeCell ref="L159:O159"/>
    <mergeCell ref="L160:O160"/>
    <mergeCell ref="G152:K152"/>
    <mergeCell ref="T162:AJ162"/>
    <mergeCell ref="A167:AL167"/>
    <mergeCell ref="AK155:AL155"/>
    <mergeCell ref="AA155:AG155"/>
    <mergeCell ref="G153:K153"/>
    <mergeCell ref="AJ132:AL132"/>
    <mergeCell ref="B153:F153"/>
    <mergeCell ref="B79:R79"/>
    <mergeCell ref="A103:AL103"/>
    <mergeCell ref="A105:AL105"/>
    <mergeCell ref="AH136:AJ136"/>
    <mergeCell ref="A120:AL120"/>
    <mergeCell ref="A121:Z121"/>
    <mergeCell ref="AA121:AL121"/>
    <mergeCell ref="A88:AL88"/>
    <mergeCell ref="A91:AL91"/>
    <mergeCell ref="B81:AL81"/>
    <mergeCell ref="B82:AL82"/>
    <mergeCell ref="B83:AA83"/>
    <mergeCell ref="AB83:AL83"/>
    <mergeCell ref="B84:AL84"/>
    <mergeCell ref="B85:AL85"/>
    <mergeCell ref="AE100:AJ100"/>
    <mergeCell ref="AK100:AL100"/>
    <mergeCell ref="A101:AL101"/>
    <mergeCell ref="A100:H100"/>
    <mergeCell ref="I100:S100"/>
    <mergeCell ref="T100:AD100"/>
    <mergeCell ref="T99:AD99"/>
    <mergeCell ref="A113:AL113"/>
    <mergeCell ref="A111:AL111"/>
    <mergeCell ref="AM78:AM79"/>
    <mergeCell ref="P145:S145"/>
    <mergeCell ref="T145:Z145"/>
    <mergeCell ref="AH147:AJ147"/>
    <mergeCell ref="AK147:AL147"/>
    <mergeCell ref="A104:AL104"/>
    <mergeCell ref="A106:AL106"/>
    <mergeCell ref="A108:AL108"/>
    <mergeCell ref="A110:AL110"/>
    <mergeCell ref="AA137:AG137"/>
    <mergeCell ref="P139:S139"/>
    <mergeCell ref="T139:Z139"/>
    <mergeCell ref="AA139:AG139"/>
    <mergeCell ref="AH139:AJ139"/>
    <mergeCell ref="B139:F139"/>
    <mergeCell ref="AK141:AL141"/>
    <mergeCell ref="A114:AL114"/>
    <mergeCell ref="A109:AL109"/>
    <mergeCell ref="A116:AL116"/>
    <mergeCell ref="A117:AL117"/>
    <mergeCell ref="AA144:AG144"/>
    <mergeCell ref="A135:AL135"/>
    <mergeCell ref="A118:AL118"/>
    <mergeCell ref="B146:F146"/>
    <mergeCell ref="AK157:AL157"/>
    <mergeCell ref="AH158:AJ158"/>
    <mergeCell ref="AK158:AL158"/>
    <mergeCell ref="B164:S164"/>
    <mergeCell ref="AH157:AJ157"/>
    <mergeCell ref="A190:S190"/>
    <mergeCell ref="AA158:AG158"/>
    <mergeCell ref="T157:Z157"/>
    <mergeCell ref="AA157:AG157"/>
    <mergeCell ref="P158:S158"/>
    <mergeCell ref="T158:Z158"/>
    <mergeCell ref="A186:AL186"/>
    <mergeCell ref="A187:AL187"/>
    <mergeCell ref="A188:AL188"/>
    <mergeCell ref="A189:S189"/>
    <mergeCell ref="T189:AL189"/>
    <mergeCell ref="A172:AL172"/>
    <mergeCell ref="T165:AJ165"/>
    <mergeCell ref="B166:S166"/>
    <mergeCell ref="T166:AJ166"/>
    <mergeCell ref="P157:S157"/>
    <mergeCell ref="L158:O158"/>
    <mergeCell ref="G157:K157"/>
    <mergeCell ref="A193:AL193"/>
    <mergeCell ref="A194:AL194"/>
    <mergeCell ref="B160:K160"/>
    <mergeCell ref="A171:AL171"/>
    <mergeCell ref="A169:AL169"/>
    <mergeCell ref="A170:AL170"/>
    <mergeCell ref="A179:AL179"/>
    <mergeCell ref="A192:AL192"/>
    <mergeCell ref="A184:AL184"/>
    <mergeCell ref="A182:AL182"/>
    <mergeCell ref="A181:AL181"/>
    <mergeCell ref="A177:AL177"/>
    <mergeCell ref="A174:AL174"/>
    <mergeCell ref="A175:AL175"/>
    <mergeCell ref="A176:AL176"/>
    <mergeCell ref="T190:AL190"/>
    <mergeCell ref="A161:AL161"/>
    <mergeCell ref="A185:AL185"/>
    <mergeCell ref="A207:AL211"/>
    <mergeCell ref="L155:O155"/>
    <mergeCell ref="B156:F156"/>
    <mergeCell ref="G156:K156"/>
    <mergeCell ref="L156:O156"/>
    <mergeCell ref="B157:F157"/>
    <mergeCell ref="A205:AL205"/>
    <mergeCell ref="A173:AL173"/>
    <mergeCell ref="T155:Z155"/>
    <mergeCell ref="P159:S159"/>
    <mergeCell ref="AA160:AG160"/>
    <mergeCell ref="AH160:AJ160"/>
    <mergeCell ref="A168:AL168"/>
    <mergeCell ref="L157:O157"/>
    <mergeCell ref="T159:Z159"/>
    <mergeCell ref="AA159:AG159"/>
    <mergeCell ref="AH155:AJ155"/>
    <mergeCell ref="A191:AL191"/>
    <mergeCell ref="A206:AL206"/>
    <mergeCell ref="AH159:AJ159"/>
    <mergeCell ref="AK159:AL159"/>
    <mergeCell ref="G159:K159"/>
    <mergeCell ref="AK156:AL156"/>
    <mergeCell ref="P155:S155"/>
    <mergeCell ref="B69:R69"/>
    <mergeCell ref="B58:Y58"/>
    <mergeCell ref="AK61:AL61"/>
    <mergeCell ref="B75:R75"/>
    <mergeCell ref="AE99:AJ99"/>
    <mergeCell ref="AK99:AL99"/>
    <mergeCell ref="A102:AL102"/>
    <mergeCell ref="S69:AL69"/>
    <mergeCell ref="B71:AL71"/>
    <mergeCell ref="S73:AL73"/>
    <mergeCell ref="B74:R74"/>
    <mergeCell ref="B72:R72"/>
    <mergeCell ref="B70:R70"/>
    <mergeCell ref="S70:AL70"/>
    <mergeCell ref="B76:R76"/>
    <mergeCell ref="S76:AL76"/>
    <mergeCell ref="B65:AL65"/>
    <mergeCell ref="S75:AL75"/>
    <mergeCell ref="Z58:AJ58"/>
    <mergeCell ref="B73:R73"/>
    <mergeCell ref="S74:AL74"/>
    <mergeCell ref="S68:AL68"/>
    <mergeCell ref="A78:A79"/>
    <mergeCell ref="B78:AL78"/>
    <mergeCell ref="P144:S144"/>
    <mergeCell ref="T146:Z146"/>
    <mergeCell ref="AA146:AG146"/>
    <mergeCell ref="A115:AL115"/>
    <mergeCell ref="B140:F140"/>
    <mergeCell ref="G140:K140"/>
    <mergeCell ref="L140:O140"/>
    <mergeCell ref="T140:Z140"/>
    <mergeCell ref="A125:Z125"/>
    <mergeCell ref="L144:O144"/>
    <mergeCell ref="AA145:AG145"/>
    <mergeCell ref="AH145:AJ145"/>
    <mergeCell ref="B145:F145"/>
    <mergeCell ref="G145:K145"/>
    <mergeCell ref="L145:O145"/>
    <mergeCell ref="AK145:AL145"/>
    <mergeCell ref="B144:F144"/>
    <mergeCell ref="AA141:AG141"/>
    <mergeCell ref="AH144:AJ144"/>
    <mergeCell ref="G144:K144"/>
    <mergeCell ref="A112:AL112"/>
    <mergeCell ref="A107:AL107"/>
    <mergeCell ref="A99:H99"/>
    <mergeCell ref="I99:S99"/>
    <mergeCell ref="G141:K141"/>
    <mergeCell ref="AH140:AJ140"/>
    <mergeCell ref="AH143:AJ143"/>
    <mergeCell ref="AH137:AJ137"/>
    <mergeCell ref="AK137:AL137"/>
    <mergeCell ref="T137:Z137"/>
    <mergeCell ref="AA138:AG138"/>
    <mergeCell ref="AH138:AJ138"/>
    <mergeCell ref="T138:Z138"/>
    <mergeCell ref="AK138:AL138"/>
    <mergeCell ref="T142:Z142"/>
    <mergeCell ref="AA142:AG142"/>
    <mergeCell ref="AH142:AJ142"/>
    <mergeCell ref="AK142:AL142"/>
    <mergeCell ref="AK140:AL140"/>
    <mergeCell ref="AA143:AG143"/>
    <mergeCell ref="P140:S140"/>
    <mergeCell ref="P143:S143"/>
    <mergeCell ref="T143:Z143"/>
    <mergeCell ref="T141:Z141"/>
    <mergeCell ref="A199:AL199"/>
    <mergeCell ref="AA154:AG154"/>
    <mergeCell ref="B143:F143"/>
    <mergeCell ref="A183:AL183"/>
    <mergeCell ref="P160:S160"/>
    <mergeCell ref="T160:Z160"/>
    <mergeCell ref="P150:S150"/>
    <mergeCell ref="T150:Z150"/>
    <mergeCell ref="AA150:AG150"/>
    <mergeCell ref="B165:S165"/>
    <mergeCell ref="AK154:AL154"/>
    <mergeCell ref="AK150:AL150"/>
    <mergeCell ref="AH150:AJ150"/>
    <mergeCell ref="AA152:AG152"/>
    <mergeCell ref="P151:S151"/>
    <mergeCell ref="P156:S156"/>
    <mergeCell ref="A178:AL178"/>
    <mergeCell ref="T164:AJ164"/>
    <mergeCell ref="L152:O152"/>
    <mergeCell ref="P154:S154"/>
    <mergeCell ref="AK160:AL160"/>
    <mergeCell ref="T156:Z156"/>
    <mergeCell ref="AA156:AG156"/>
    <mergeCell ref="AK151:AL151"/>
    <mergeCell ref="AA147:AG147"/>
    <mergeCell ref="AH153:AJ153"/>
    <mergeCell ref="AK153:AL153"/>
    <mergeCell ref="P153:S153"/>
    <mergeCell ref="AA151:AG151"/>
    <mergeCell ref="AH146:AJ146"/>
    <mergeCell ref="T152:Z152"/>
    <mergeCell ref="AK152:AL152"/>
    <mergeCell ref="B151:F151"/>
    <mergeCell ref="G151:K151"/>
    <mergeCell ref="AK148:AL148"/>
    <mergeCell ref="P147:S147"/>
    <mergeCell ref="AK149:AL149"/>
    <mergeCell ref="G150:K150"/>
    <mergeCell ref="AH151:AJ151"/>
    <mergeCell ref="P146:S146"/>
    <mergeCell ref="P152:S152"/>
    <mergeCell ref="P149:S149"/>
    <mergeCell ref="T149:Z149"/>
    <mergeCell ref="AA149:AG149"/>
    <mergeCell ref="AH154:AJ154"/>
    <mergeCell ref="B36:AL36"/>
    <mergeCell ref="B37:AL37"/>
    <mergeCell ref="W25:AL25"/>
    <mergeCell ref="B21:AL21"/>
    <mergeCell ref="A27:A35"/>
    <mergeCell ref="B31:AL31"/>
    <mergeCell ref="B32:AL32"/>
    <mergeCell ref="AA153:AG153"/>
    <mergeCell ref="AH149:AJ149"/>
    <mergeCell ref="AK146:AL146"/>
    <mergeCell ref="B138:F138"/>
    <mergeCell ref="G138:K138"/>
    <mergeCell ref="B77:AA77"/>
    <mergeCell ref="B60:Y60"/>
    <mergeCell ref="AK60:AL60"/>
    <mergeCell ref="A128:Z129"/>
    <mergeCell ref="AA128:AI128"/>
    <mergeCell ref="AJ128:AL128"/>
    <mergeCell ref="AB77:AL77"/>
    <mergeCell ref="S72:AL72"/>
    <mergeCell ref="B64:AL64"/>
    <mergeCell ref="S79:AL79"/>
    <mergeCell ref="B61:Y61"/>
    <mergeCell ref="B57:Y57"/>
    <mergeCell ref="AK56:AL56"/>
    <mergeCell ref="Z57:AJ57"/>
    <mergeCell ref="Z59:AJ59"/>
    <mergeCell ref="B59:Y59"/>
    <mergeCell ref="AK57:AL57"/>
    <mergeCell ref="B45:S45"/>
    <mergeCell ref="B48:AL48"/>
    <mergeCell ref="B46:AL46"/>
    <mergeCell ref="B42:AL42"/>
    <mergeCell ref="B43:AL43"/>
    <mergeCell ref="A36:A43"/>
    <mergeCell ref="A47:A48"/>
    <mergeCell ref="B47:AL47"/>
    <mergeCell ref="A49:A50"/>
    <mergeCell ref="B49:AL49"/>
    <mergeCell ref="T45:AL45"/>
    <mergeCell ref="Z56:AJ56"/>
    <mergeCell ref="Z55:AJ55"/>
    <mergeCell ref="AK55:AL55"/>
    <mergeCell ref="B55:Y55"/>
    <mergeCell ref="B56:Y56"/>
    <mergeCell ref="A25:A26"/>
    <mergeCell ref="A21:A24"/>
    <mergeCell ref="B22:AL22"/>
    <mergeCell ref="B34:AL34"/>
    <mergeCell ref="Y39:AL39"/>
    <mergeCell ref="W40:AL40"/>
    <mergeCell ref="B41:V41"/>
    <mergeCell ref="B26:V26"/>
    <mergeCell ref="W26:AL26"/>
    <mergeCell ref="B29:AL29"/>
    <mergeCell ref="B25:V25"/>
    <mergeCell ref="B40:V40"/>
    <mergeCell ref="B38:X38"/>
    <mergeCell ref="Y38:AL38"/>
    <mergeCell ref="B39:X39"/>
    <mergeCell ref="B23:AL23"/>
    <mergeCell ref="B28:AL28"/>
    <mergeCell ref="A4:F4"/>
    <mergeCell ref="A5:F5"/>
    <mergeCell ref="H5:L5"/>
    <mergeCell ref="H4:L4"/>
    <mergeCell ref="A12:AL12"/>
    <mergeCell ref="A13:AL13"/>
    <mergeCell ref="A7:F7"/>
    <mergeCell ref="G7:L7"/>
    <mergeCell ref="N7:P7"/>
    <mergeCell ref="Q7:AA7"/>
    <mergeCell ref="AB7:AE7"/>
    <mergeCell ref="A8:P8"/>
    <mergeCell ref="Q8:AL8"/>
    <mergeCell ref="A9:AL9"/>
    <mergeCell ref="A16:AK16"/>
    <mergeCell ref="A17:A18"/>
    <mergeCell ref="B17:AL17"/>
    <mergeCell ref="B27:AL27"/>
    <mergeCell ref="B18:AL18"/>
    <mergeCell ref="B30:AL30"/>
    <mergeCell ref="A14:AL14"/>
    <mergeCell ref="AM53:AO53"/>
    <mergeCell ref="B86:AL86"/>
    <mergeCell ref="B53:AL53"/>
    <mergeCell ref="B19:AL19"/>
    <mergeCell ref="B20:AL20"/>
    <mergeCell ref="A19:A20"/>
    <mergeCell ref="B50:AL50"/>
    <mergeCell ref="B52:AL52"/>
    <mergeCell ref="B33:AL33"/>
    <mergeCell ref="B35:AL35"/>
    <mergeCell ref="B51:AL51"/>
    <mergeCell ref="B44:AL44"/>
    <mergeCell ref="W41:AL41"/>
    <mergeCell ref="A51:A52"/>
    <mergeCell ref="Z54:AJ54"/>
    <mergeCell ref="A44:A45"/>
    <mergeCell ref="B24:AL24"/>
    <mergeCell ref="A202:AL202"/>
    <mergeCell ref="A87:AL87"/>
    <mergeCell ref="B96:AL96"/>
    <mergeCell ref="A97:AL97"/>
    <mergeCell ref="A98:AL98"/>
    <mergeCell ref="AK58:AL58"/>
    <mergeCell ref="A95:AL95"/>
    <mergeCell ref="B89:AL89"/>
    <mergeCell ref="A90:AL90"/>
    <mergeCell ref="A92:AL92"/>
    <mergeCell ref="A93:AL93"/>
    <mergeCell ref="A94:AL94"/>
    <mergeCell ref="Z60:AJ60"/>
    <mergeCell ref="Z61:AJ61"/>
    <mergeCell ref="S66:AL66"/>
    <mergeCell ref="B67:R67"/>
    <mergeCell ref="S67:AL67"/>
    <mergeCell ref="B68:R68"/>
    <mergeCell ref="A53:A61"/>
    <mergeCell ref="A64:A76"/>
    <mergeCell ref="AK54:AL54"/>
    <mergeCell ref="B54:Y54"/>
    <mergeCell ref="B66:R66"/>
    <mergeCell ref="AK59:AL59"/>
  </mergeCells>
  <conditionalFormatting sqref="A4 H4 B18:AL18 B20 A97 A102 A104 A106 A110 AJ126:AJ129 A174">
    <cfRule type="expression" dxfId="609" priority="437">
      <formula>IF(A4="",1,0)</formula>
    </cfRule>
  </conditionalFormatting>
  <conditionalFormatting sqref="A87:A88">
    <cfRule type="expression" dxfId="608" priority="54">
      <formula>IF(A87="",1,0)</formula>
    </cfRule>
  </conditionalFormatting>
  <conditionalFormatting sqref="A90:A95">
    <cfRule type="expression" dxfId="607" priority="340">
      <formula>IF(A90="",1,0)</formula>
    </cfRule>
  </conditionalFormatting>
  <conditionalFormatting sqref="A99:A100">
    <cfRule type="expression" dxfId="606" priority="116">
      <formula>IF(A99="",1,0)</formula>
    </cfRule>
  </conditionalFormatting>
  <conditionalFormatting sqref="A108">
    <cfRule type="expression" dxfId="605" priority="354">
      <formula>IF(A108="",1,0)</formula>
    </cfRule>
  </conditionalFormatting>
  <conditionalFormatting sqref="A113">
    <cfRule type="expression" dxfId="604" priority="222">
      <formula>IF(A113="",1,0)</formula>
    </cfRule>
  </conditionalFormatting>
  <conditionalFormatting sqref="A115:A117">
    <cfRule type="expression" dxfId="603" priority="218">
      <formula>IF(A115="",1,0)</formula>
    </cfRule>
  </conditionalFormatting>
  <conditionalFormatting sqref="A119:A123">
    <cfRule type="expression" dxfId="602" priority="3">
      <formula>IF(A119="",1,0)</formula>
    </cfRule>
  </conditionalFormatting>
  <conditionalFormatting sqref="A125:A126">
    <cfRule type="expression" dxfId="601" priority="6">
      <formula>IF(A125="",1,0)</formula>
    </cfRule>
  </conditionalFormatting>
  <conditionalFormatting sqref="A128">
    <cfRule type="expression" dxfId="600" priority="38">
      <formula>IF(A128="",1,0)</formula>
    </cfRule>
  </conditionalFormatting>
  <conditionalFormatting sqref="A131:A134">
    <cfRule type="expression" dxfId="599" priority="27">
      <formula>IF(A131="",1,0)</formula>
    </cfRule>
  </conditionalFormatting>
  <conditionalFormatting sqref="A167:A172">
    <cfRule type="expression" dxfId="598" priority="12">
      <formula>IF(A167="",1,0)</formula>
    </cfRule>
  </conditionalFormatting>
  <conditionalFormatting sqref="A176:A183">
    <cfRule type="expression" dxfId="597" priority="8">
      <formula>IF(A176="",1,0)</formula>
    </cfRule>
  </conditionalFormatting>
  <conditionalFormatting sqref="A185:A198">
    <cfRule type="expression" dxfId="596" priority="4">
      <formula>IF(A185="",1,0)</formula>
    </cfRule>
  </conditionalFormatting>
  <conditionalFormatting sqref="A200:A202">
    <cfRule type="expression" dxfId="595" priority="1">
      <formula>IF(A200="",1,0)</formula>
    </cfRule>
  </conditionalFormatting>
  <conditionalFormatting sqref="A205:A206">
    <cfRule type="expression" dxfId="594" priority="224">
      <formula>IF(A205="",1,0)</formula>
    </cfRule>
  </conditionalFormatting>
  <conditionalFormatting sqref="B22">
    <cfRule type="expression" dxfId="587" priority="43">
      <formula>IF(B22="",1,0)</formula>
    </cfRule>
  </conditionalFormatting>
  <conditionalFormatting sqref="B24">
    <cfRule type="expression" dxfId="586" priority="18">
      <formula>IF(B24="",1,0)</formula>
    </cfRule>
  </conditionalFormatting>
  <conditionalFormatting sqref="B26 W26 B37">
    <cfRule type="expression" dxfId="585" priority="110">
      <formula>IF(B26="",1,0)</formula>
    </cfRule>
  </conditionalFormatting>
  <conditionalFormatting sqref="B29">
    <cfRule type="expression" dxfId="584" priority="109">
      <formula>IF(B29="",1,0)</formula>
    </cfRule>
  </conditionalFormatting>
  <conditionalFormatting sqref="B31">
    <cfRule type="expression" dxfId="583" priority="107">
      <formula>IF(B31="",1,0)</formula>
    </cfRule>
  </conditionalFormatting>
  <conditionalFormatting sqref="B33">
    <cfRule type="expression" dxfId="582" priority="108">
      <formula>IF(B33="",1,0)</formula>
    </cfRule>
  </conditionalFormatting>
  <conditionalFormatting sqref="B35">
    <cfRule type="expression" dxfId="581" priority="106">
      <formula>IF(B35="",1,0)</formula>
    </cfRule>
  </conditionalFormatting>
  <conditionalFormatting sqref="B39">
    <cfRule type="expression" dxfId="580" priority="104">
      <formula>IF(B39="",1,0)</formula>
    </cfRule>
  </conditionalFormatting>
  <conditionalFormatting sqref="B45">
    <cfRule type="expression" dxfId="579" priority="22">
      <formula>IF(B45="",1,0)</formula>
    </cfRule>
  </conditionalFormatting>
  <conditionalFormatting sqref="B49:B50">
    <cfRule type="expression" dxfId="578" priority="2">
      <formula>IF(B49="",1,0)</formula>
    </cfRule>
  </conditionalFormatting>
  <conditionalFormatting sqref="B52">
    <cfRule type="expression" dxfId="577" priority="94">
      <formula>IF(B52="",1,0)</formula>
    </cfRule>
  </conditionalFormatting>
  <conditionalFormatting sqref="B65:B77">
    <cfRule type="expression" dxfId="576" priority="14">
      <formula>IF(B65="",1,0)</formula>
    </cfRule>
  </conditionalFormatting>
  <conditionalFormatting sqref="B79:B85">
    <cfRule type="expression" dxfId="575" priority="23">
      <formula>IF(B79="",1,0)</formula>
    </cfRule>
  </conditionalFormatting>
  <conditionalFormatting sqref="B138:B159">
    <cfRule type="expression" dxfId="574" priority="124">
      <formula>IF(B138="",1,0)</formula>
    </cfRule>
  </conditionalFormatting>
  <conditionalFormatting sqref="G138:G159">
    <cfRule type="expression" dxfId="573" priority="139">
      <formula>IF(G138="",1,0)</formula>
    </cfRule>
  </conditionalFormatting>
  <conditionalFormatting sqref="I100">
    <cfRule type="expression" dxfId="572" priority="115">
      <formula>IF(I100="",1,0)</formula>
    </cfRule>
  </conditionalFormatting>
  <conditionalFormatting sqref="L138:L159">
    <cfRule type="expression" dxfId="571" priority="138">
      <formula>IF(L138="",1,0)</formula>
    </cfRule>
  </conditionalFormatting>
  <conditionalFormatting sqref="N7">
    <cfRule type="expression" dxfId="570" priority="46">
      <formula>IF(N7="",1,0)</formula>
    </cfRule>
  </conditionalFormatting>
  <conditionalFormatting sqref="P138:P159">
    <cfRule type="expression" dxfId="569" priority="136">
      <formula>IF(P138="",1,0)</formula>
    </cfRule>
  </conditionalFormatting>
  <conditionalFormatting sqref="Q8:AL8">
    <cfRule type="expression" dxfId="568" priority="44">
      <formula>IF(Q8="",1,0)</formula>
    </cfRule>
  </conditionalFormatting>
  <conditionalFormatting sqref="S66:S70">
    <cfRule type="expression" dxfId="567" priority="88">
      <formula>IF(S66="",1,0)</formula>
    </cfRule>
  </conditionalFormatting>
  <conditionalFormatting sqref="S72:S76">
    <cfRule type="expression" dxfId="566" priority="81">
      <formula>IF(S72="",1,0)</formula>
    </cfRule>
  </conditionalFormatting>
  <conditionalFormatting sqref="S79">
    <cfRule type="expression" dxfId="565" priority="225">
      <formula>IF(S79="",1,0)</formula>
    </cfRule>
  </conditionalFormatting>
  <conditionalFormatting sqref="T100">
    <cfRule type="expression" dxfId="564" priority="114">
      <formula>IF(T100="",1,0)</formula>
    </cfRule>
  </conditionalFormatting>
  <conditionalFormatting sqref="T162">
    <cfRule type="expression" dxfId="563" priority="160">
      <formula>IF(#REF!="",1,0)</formula>
    </cfRule>
  </conditionalFormatting>
  <conditionalFormatting sqref="T163">
    <cfRule type="expression" dxfId="562" priority="179">
      <formula>IF(T163="",1,0)</formula>
    </cfRule>
  </conditionalFormatting>
  <conditionalFormatting sqref="T165">
    <cfRule type="expression" dxfId="561" priority="214">
      <formula>IF(T165="",1,0)</formula>
    </cfRule>
  </conditionalFormatting>
  <conditionalFormatting sqref="T190">
    <cfRule type="expression" dxfId="560" priority="55">
      <formula>IF(T190="",1,0)</formula>
    </cfRule>
  </conditionalFormatting>
  <conditionalFormatting sqref="W41 B41:B43">
    <cfRule type="expression" dxfId="559" priority="105">
      <formula>IF(B41="",1,0)</formula>
    </cfRule>
  </conditionalFormatting>
  <conditionalFormatting sqref="Y39">
    <cfRule type="expression" dxfId="558" priority="17">
      <formula>IF(Y39="",1,0)</formula>
    </cfRule>
  </conditionalFormatting>
  <conditionalFormatting sqref="Z55:Z57">
    <cfRule type="expression" dxfId="557" priority="244">
      <formula>IF(Z55="",1,0)</formula>
    </cfRule>
  </conditionalFormatting>
  <conditionalFormatting sqref="Z59:Z60">
    <cfRule type="expression" dxfId="556" priority="133">
      <formula>IF(Z59="",1,0)</formula>
    </cfRule>
  </conditionalFormatting>
  <conditionalFormatting sqref="Z61">
    <cfRule type="expression" dxfId="555" priority="7543">
      <formula>IF($Z$61&lt;&gt;$AK$160,1,0)</formula>
    </cfRule>
  </conditionalFormatting>
  <conditionalFormatting sqref="AA121:AA122 AA125">
    <cfRule type="expression" dxfId="554" priority="37">
      <formula>IF(AA121="",1,0)</formula>
    </cfRule>
  </conditionalFormatting>
  <conditionalFormatting sqref="AB7">
    <cfRule type="expression" dxfId="553" priority="45">
      <formula>IF(AB7="",1,0)</formula>
    </cfRule>
  </conditionalFormatting>
  <conditionalFormatting sqref="AB77">
    <cfRule type="expression" dxfId="552" priority="230">
      <formula>IF(AB77="",1,0)</formula>
    </cfRule>
  </conditionalFormatting>
  <conditionalFormatting sqref="AB83">
    <cfRule type="expression" dxfId="551" priority="26">
      <formula>IF(AB83="",1,0)</formula>
    </cfRule>
  </conditionalFormatting>
  <conditionalFormatting sqref="AE100">
    <cfRule type="expression" dxfId="550" priority="113">
      <formula>IF(AE100="",1,0)</formula>
    </cfRule>
  </conditionalFormatting>
  <conditionalFormatting sqref="AH138:AH159">
    <cfRule type="expression" dxfId="548" priority="144">
      <formula>IF(AH138="",1,0)</formula>
    </cfRule>
  </conditionalFormatting>
  <conditionalFormatting sqref="AJ123:AJ124">
    <cfRule type="expression" dxfId="547" priority="35">
      <formula>IF(AJ123="",1,0)</formula>
    </cfRule>
  </conditionalFormatting>
  <conditionalFormatting sqref="AJ131:AJ132">
    <cfRule type="expression" dxfId="546" priority="32">
      <formula>IF(AJ131="",1,0)</formula>
    </cfRule>
  </conditionalFormatting>
  <conditionalFormatting sqref="AK100">
    <cfRule type="expression" dxfId="545" priority="112">
      <formula>IF(AK100="",1,0)</formula>
    </cfRule>
  </conditionalFormatting>
  <dataValidations xWindow="818" yWindow="793" count="42">
    <dataValidation allowBlank="1" showInputMessage="1" showErrorMessage="1" promptTitle="Wprowadź" prompt="nazwę beneficjenta" sqref="B20" xr:uid="{00000000-0002-0000-0600-000000000000}"/>
    <dataValidation allowBlank="1" showInputMessage="1" showErrorMessage="1" promptTitle="Wprowadź" prompt="adres beneficjenta" sqref="B22" xr:uid="{00000000-0002-0000-0600-000001000000}"/>
    <dataValidation allowBlank="1" showInputMessage="1" showErrorMessage="1" promptTitle="Wprowadź" prompt="dane" sqref="B31:AL31 B29:AL29 AJ123:AL124 AJ126:AL129 AJ131:AL132" xr:uid="{00000000-0002-0000-0600-000002000000}"/>
    <dataValidation type="decimal" allowBlank="1" showInputMessage="1" showErrorMessage="1" promptTitle="Wprowadź" prompt="kwotę" sqref="B48" xr:uid="{00000000-0002-0000-0600-000003000000}">
      <formula1>0</formula1>
      <formula2>1E+44</formula2>
    </dataValidation>
    <dataValidation allowBlank="1" showInputMessage="1" showErrorMessage="1" promptTitle="Wprowadź" prompt="adres przedsięwzięcia" sqref="A99:A100" xr:uid="{00000000-0002-0000-0600-000004000000}"/>
    <dataValidation type="textLength" operator="equal" allowBlank="1" showInputMessage="1" showErrorMessage="1" errorTitle="REGON" error="REGON to ciąg dziewięciu cyfr np. 571961124" promptTitle="Wprowadź" prompt="nr REGON" sqref="W26:AL26" xr:uid="{00000000-0002-0000-0600-000005000000}">
      <formula1>9</formula1>
    </dataValidation>
    <dataValidation allowBlank="1" showInputMessage="1" showErrorMessage="1" promptTitle="Wprowadź" prompt="nazwę Inwestora" sqref="B37:AL37" xr:uid="{00000000-0002-0000-0600-000006000000}"/>
    <dataValidation type="textLength" operator="equal" allowBlank="1" showInputMessage="1" showErrorMessage="1" errorTitle="NIP" error="NIP to ciąg dziesięciu cyfr np. 5719611245" promptTitle="Wprowadź" prompt="NIP" sqref="B26:V26" xr:uid="{00000000-0002-0000-0600-000008000000}">
      <formula1>10</formula1>
    </dataValidation>
    <dataValidation allowBlank="1" showInputMessage="1" showErrorMessage="1" promptTitle="Wybierz" prompt="właściwe" sqref="B96:AL96" xr:uid="{00000000-0002-0000-0600-000009000000}"/>
    <dataValidation type="whole" allowBlank="1" showInputMessage="1" showErrorMessage="1" promptTitle="Wprowadź " prompt="ilość mieszkań przeznaczonych na podnajem" sqref="A91" xr:uid="{00000000-0002-0000-0600-00000A000000}">
      <formula1>0</formula1>
      <formula2>1E+34</formula2>
    </dataValidation>
    <dataValidation allowBlank="1" showErrorMessage="1" promptTitle="Wybierz" prompt="właściwe" sqref="A179:AL179 A177:AL177 A181 A183:AL183" xr:uid="{00000000-0002-0000-0600-00000B000000}"/>
    <dataValidation type="decimal" allowBlank="1" showInputMessage="1" showErrorMessage="1" sqref="AH138:AJ159" xr:uid="{00000000-0002-0000-0600-00000C000000}">
      <formula1>0</formula1>
      <formula2>1</formula2>
    </dataValidation>
    <dataValidation type="whole" allowBlank="1" showInputMessage="1" showErrorMessage="1" promptTitle="Wprowadź " prompt="ilość" sqref="A95:AL95" xr:uid="{00000000-0002-0000-0600-00000D000000}">
      <formula1>0</formula1>
      <formula2>1000000</formula2>
    </dataValidation>
    <dataValidation type="decimal" allowBlank="1" showInputMessage="1" showErrorMessage="1" promptTitle="Wprowadź " prompt="wielkość" sqref="A108" xr:uid="{00000000-0002-0000-0600-00000E000000}">
      <formula1>0</formula1>
      <formula2>1E+31</formula2>
    </dataValidation>
    <dataValidation allowBlank="1" showInputMessage="1" showErrorMessage="1" promptTitle="Wprowadź" prompt="adres ePUAP beneficjenta" sqref="B23" xr:uid="{D012765E-40E0-4A9B-BAA3-E9BD63D9470C}"/>
    <dataValidation type="textLength" operator="equal" allowBlank="1" showInputMessage="1" errorTitle="KRS" promptTitle="Wprowadź" prompt="numer KRS inwestora" sqref="B43:AL43" xr:uid="{00000000-0002-0000-0600-000010000000}">
      <formula1>10</formula1>
    </dataValidation>
    <dataValidation allowBlank="1" showInputMessage="1" showErrorMessage="1" promptTitle="Wprowadź" prompt="adres inwestora" sqref="B39:X39" xr:uid="{00000000-0002-0000-0600-000012000000}"/>
    <dataValidation type="textLength" operator="equal" allowBlank="1" showInputMessage="1" showErrorMessage="1" errorTitle="NIP" error="NIP to ciąg dziesięciu cyfr np. 5719611245" promptTitle="Wprowadź" prompt="NIP inwestora" sqref="B41:V41" xr:uid="{00000000-0002-0000-0600-000014000000}">
      <formula1>10</formula1>
    </dataValidation>
    <dataValidation type="textLength" operator="equal" allowBlank="1" showInputMessage="1" showErrorMessage="1" errorTitle="REGON" error="REGON to ciąg dziewięciu cyfr np. 571961124" promptTitle="Wprowadź" prompt="nr REGON inwestora" sqref="W41:AL41" xr:uid="{00000000-0002-0000-0600-000015000000}">
      <formula1>9</formula1>
    </dataValidation>
    <dataValidation allowBlank="1" showInputMessage="1" showErrorMessage="1" promptTitle="Wprowadź" prompt="nr księgi wieczystej - nr działki ewidencyjnej" sqref="A185:AL185" xr:uid="{00000000-0002-0000-0600-000016000000}"/>
    <dataValidation type="decimal" allowBlank="1" showInputMessage="1" showErrorMessage="1" promptTitle="Wprowadź" prompt="kwotę" sqref="Z60" xr:uid="{00000000-0002-0000-0600-000017000000}">
      <formula1>0</formula1>
      <formula2>10000000000000000000</formula2>
    </dataValidation>
    <dataValidation allowBlank="1" showInputMessage="1" showErrorMessage="1" promptTitle="Wprowadź" prompt="kwotę" sqref="Z58:AJ58" xr:uid="{00000000-0002-0000-0600-000018000000}"/>
    <dataValidation allowBlank="1" showInputMessage="1" showErrorMessage="1" promptTitle="Wprowadź" prompt="wartość_x000a_" sqref="S76 T66:AL69 S66:S70 S72:AL75 S79:AL79" xr:uid="{00000000-0002-0000-0600-000019000000}"/>
    <dataValidation allowBlank="1" promptTitle="Wprowadź" prompt="numer rachunku bankowego" sqref="B79:B84 C72:R75 C66:R69 C79:R79 B66:B77" xr:uid="{00000000-0002-0000-0600-00001A000000}"/>
    <dataValidation allowBlank="1" promptTitle="Wprowadź" sqref="B65:AL65" xr:uid="{82E15C2C-2998-42FC-8E1F-6563D4BFED57}"/>
    <dataValidation allowBlank="1" showErrorMessage="1" promptTitle="Wybierz" prompt="właściwe oświadczenie" sqref="A116:AL116 A169:AL169 A167:AL167 A171:AL171" xr:uid="{00000000-0002-0000-0600-00001C000000}"/>
    <dataValidation type="decimal" allowBlank="1" showInputMessage="1" promptTitle="Wybierz" prompt="właściwą wysokość wsparcia lub wpiszmniejszą wartość" sqref="T162:AJ162" xr:uid="{00000000-0002-0000-0600-00001D000000}">
      <formula1>0</formula1>
      <formula2>0.8</formula2>
    </dataValidation>
    <dataValidation allowBlank="1" showErrorMessage="1" promptTitle="Wprowadź" prompt="nr księgi wieczystej - nr działki ewidencyjnej" sqref="A186:AL186 A200:AL200 A201:A202" xr:uid="{00000000-0002-0000-0600-00001E000000}"/>
    <dataValidation type="decimal" allowBlank="1" showInputMessage="1" showErrorMessage="1" promptTitle="Wprowadź" prompt="wartość gruntu" sqref="T163:AJ163" xr:uid="{00000000-0002-0000-0600-00001F000000}">
      <formula1>0</formula1>
      <formula2>1E+55</formula2>
    </dataValidation>
    <dataValidation type="whole" allowBlank="1" showInputMessage="1" showErrorMessage="1" promptTitle="Wprowadź" prompt="wielkość" sqref="A102:AL102" xr:uid="{00000000-0002-0000-0600-000020000000}">
      <formula1>0</formula1>
      <formula2>100000000000000000000</formula2>
    </dataValidation>
    <dataValidation type="whole" allowBlank="1" showInputMessage="1" showErrorMessage="1" promptTitle="Wprowadź " prompt="wielkość" sqref="A104:AL104" xr:uid="{00000000-0002-0000-0600-000021000000}">
      <formula1>1</formula1>
      <formula2>1E+34</formula2>
    </dataValidation>
    <dataValidation type="decimal" allowBlank="1" showInputMessage="1" showErrorMessage="1" promptTitle="Wprowadź" prompt="wielkość" sqref="A106:AL106" xr:uid="{00000000-0002-0000-0600-000022000000}">
      <formula1>0</formula1>
      <formula2>1E+42</formula2>
    </dataValidation>
    <dataValidation type="decimal" allowBlank="1" showInputMessage="1" showErrorMessage="1" promptTitle="Wprowadź" prompt="wielkość" sqref="A110:AL110" xr:uid="{00000000-0002-0000-0600-000023000000}">
      <formula1>0</formula1>
      <formula2>1E+43</formula2>
    </dataValidation>
    <dataValidation type="whole" errorStyle="warning" allowBlank="1" showInputMessage="1" showErrorMessage="1" errorTitle="Uwaga" error="Prawidłowa wartość to liczba całkowita, zweryfikuj wprowadzane modyfikacje." promptTitle="Wprowadź" prompt="wartość" sqref="AA122:AL122" xr:uid="{00000000-0002-0000-0600-000024000000}">
      <formula1>1</formula1>
      <formula2>1.11111111111111E+21</formula2>
    </dataValidation>
    <dataValidation errorStyle="information" allowBlank="1" showInputMessage="1" showErrorMessage="1" promptTitle="Wprowadź" prompt="wartość" sqref="AA121:AL121" xr:uid="{00000000-0002-0000-0600-000025000000}"/>
    <dataValidation allowBlank="1" showInputMessage="1" showErrorMessage="1" promptTitle="Wprowadź" prompt="Adres do doręczeń elektronicznych" sqref="B24:AL24" xr:uid="{16403248-B74E-4851-9923-63D4F764E22B}"/>
    <dataValidation operator="greaterThanOrEqual" allowBlank="1" showInputMessage="1" showErrorMessage="1" promptTitle="Wprowadź" prompt="datę w formacie rrrr-mm-dd_x000a_" sqref="B52:AL52" xr:uid="{00000000-0002-0000-0600-000027000000}"/>
    <dataValidation type="textLength" operator="equal" allowBlank="1" showInputMessage="1" promptTitle="Wprowadź" prompt="numer rachunku bankowego" sqref="T45:AL45" xr:uid="{50A62526-352F-4F6E-BDC6-4BE6A816C73E}">
      <formula1>26</formula1>
    </dataValidation>
    <dataValidation allowBlank="1" showInputMessage="1" showErrorMessage="1" promptTitle="Wprowadź" prompt="wartość" sqref="AB83:AL83" xr:uid="{B640D151-93F0-4DDA-96E9-073BB7334269}"/>
    <dataValidation type="textLength" operator="equal" showInputMessage="1" promptTitle="Wprowadź" prompt="numer rachunku bankowego tj. 26 cyfr" sqref="B45:S45" xr:uid="{C22CE2CB-4BBB-4EA0-BCC4-F361335A6B94}">
      <formula1>26</formula1>
    </dataValidation>
    <dataValidation type="whole" operator="equal" allowBlank="1" showInputMessage="1" showErrorMessage="1" errorTitle="Wprowadź" error="Wprowadź liczbę większą od zera, jeżeli przedsięwzięcie nie jest realizowane przy udziale finansowania zwrotnego i tworzysz lokale mieszkalne &quot;Za życiem&quot;." promptTitle="Wprowadź " prompt="liczbę większą od zera, jeżeli przedsięwzięcie nie jest realizowane przy udziale finansowania zwrotnego i tworzysz lokale mieszkalne &quot;Za życiem&quot;." sqref="A93:AL93" xr:uid="{A7E41DA8-4338-4F74-9A23-24A45832FE79}">
      <formula1>0</formula1>
    </dataValidation>
    <dataValidation allowBlank="1" showInputMessage="1" showErrorMessage="1" promptTitle="Wprowadź" prompt="adres do doręczeń elektronicznych inwestora_x000a_" sqref="Y39:AL39" xr:uid="{53F10356-22C4-4DF9-8890-D0065B6306E2}"/>
  </dataValidations>
  <hyperlinks>
    <hyperlink ref="AM48" location="'Wniosek art 5 budowa'!B114" display="Kliknij &quot;tutaj&quot; i przejdź do wypełnienia zestawienia kosztów" xr:uid="{00000000-0004-0000-0600-000000000000}"/>
    <hyperlink ref="AM166" location="'Wniosek art 5 budowa'!AK49" display="Wróć do wypełniania wniosku" xr:uid="{00000000-0004-0000-0600-000002000000}"/>
    <hyperlink ref="AM78" r:id="rId1" location="c19560:~:text=Zasady%20wyceny%20warto%C5%9Bci,pkt%201)%20Ustawy." display="https://www.bgk.pl/programy-i-fundusze/programy/bezzwrotne-wsparcie-budownictwa-z-funduszu-doplat/#c19560:~:text=Zasady%20wyceny%20warto%C5%9Bci,pkt%201)%20Ustawy." xr:uid="{00000000-0004-0000-0600-000003000000}"/>
    <hyperlink ref="AM21" r:id="rId2" display="Weryfikocji można dokonać na stronie internetowej -&gt; https://eteryt.stat.gov.pl/eTeryt/rejestr_teryt/udostepnianie_danych/baza_teryt/uzytkownicy_indywidualni/wyszukiwanie/wyszukiwanie.aspx?contrast=default" xr:uid="{00000000-0004-0000-0600-000004000000}"/>
    <hyperlink ref="AM23" r:id="rId3" xr:uid="{00000000-0004-0000-0600-000005000000}"/>
    <hyperlink ref="AM19" r:id="rId4" xr:uid="{00000000-0004-0000-0600-000006000000}"/>
    <hyperlink ref="AM25" r:id="rId5" xr:uid="{00000000-0004-0000-0600-000007000000}"/>
    <hyperlink ref="AM42" r:id="rId6" xr:uid="{00000000-0004-0000-0600-000008000000}"/>
    <hyperlink ref="AM211" r:id="rId7" xr:uid="{B8002669-6DE4-4D10-9C3B-8B2F58C46944}"/>
  </hyperlinks>
  <pageMargins left="0.70866141732283472" right="0.70866141732283472" top="0.74803149606299213" bottom="0.74803149606299213" header="0.31496062992125984" footer="0.31496062992125984"/>
  <pageSetup paperSize="9" orientation="portrait" r:id="rId8"/>
  <headerFooter>
    <oddFooter>&amp;LStrona &amp;P z &amp;N&amp;R&amp;F&amp;A</oddFooter>
  </headerFooter>
  <drawing r:id="rId9"/>
  <extLst>
    <ext xmlns:x14="http://schemas.microsoft.com/office/spreadsheetml/2009/9/main" uri="{78C0D931-6437-407d-A8EE-F0AAD7539E65}">
      <x14:conditionalFormattings>
        <x14:conditionalFormatting xmlns:xm="http://schemas.microsoft.com/office/excel/2006/main">
          <x14:cfRule type="expression" priority="223" id="{8666C0AB-FEA0-44E0-B460-9C28834589C9}">
            <xm:f>IF(#REF!=Słowniki!$P$2,1,0)</xm:f>
            <x14:dxf>
              <font>
                <b/>
                <i val="0"/>
                <strike/>
                <color theme="1"/>
              </font>
            </x14:dxf>
          </x14:cfRule>
          <xm:sqref>A112:AL112</xm:sqref>
        </x14:conditionalFormatting>
        <x14:conditionalFormatting xmlns:xm="http://schemas.microsoft.com/office/excel/2006/main">
          <x14:cfRule type="expression" priority="345" id="{5D33D317-0F9B-475A-9C6F-8A031411CAB3}">
            <xm:f>IF(#REF!=Słowniki!$P$2,1,0)</xm:f>
            <x14:dxf>
              <font>
                <b/>
                <i val="0"/>
                <strike/>
                <color theme="1"/>
              </font>
            </x14:dxf>
          </x14:cfRule>
          <xm:sqref>A114:AL114</xm:sqref>
        </x14:conditionalFormatting>
        <x14:conditionalFormatting xmlns:xm="http://schemas.microsoft.com/office/excel/2006/main">
          <x14:cfRule type="expression" priority="13" id="{B938006F-D598-4A24-843A-CF479F9FA92B}">
            <xm:f>IF($A$107=Słowniki!$P$2,1,0)</xm:f>
            <x14:dxf>
              <font>
                <strike/>
              </font>
            </x14:dxf>
          </x14:cfRule>
          <xm:sqref>A118:AL118</xm:sqref>
        </x14:conditionalFormatting>
        <x14:conditionalFormatting xmlns:xm="http://schemas.microsoft.com/office/excel/2006/main">
          <x14:cfRule type="expression" priority="40" id="{DBDFB801-8277-40C4-90C8-35709539E98C}">
            <xm:f>IF($A$151=Słowniki!$P$2,1,0)</xm:f>
            <x14:dxf>
              <font>
                <strike/>
              </font>
            </x14:dxf>
          </x14:cfRule>
          <xm:sqref>A130:AL130</xm:sqref>
        </x14:conditionalFormatting>
        <x14:conditionalFormatting xmlns:xm="http://schemas.microsoft.com/office/excel/2006/main">
          <x14:cfRule type="expression" priority="10" id="{26BB5993-4B17-42F4-90CD-0F9980E24B59}">
            <xm:f>IF($A$158=Słowniki!$P$2,1,0)</xm:f>
            <x14:dxf>
              <font>
                <strike/>
              </font>
            </x14:dxf>
          </x14:cfRule>
          <xm:sqref>A177:AL177</xm:sqref>
        </x14:conditionalFormatting>
        <x14:conditionalFormatting xmlns:xm="http://schemas.microsoft.com/office/excel/2006/main">
          <x14:cfRule type="expression" priority="71" id="{4C71D461-5676-4F4F-8127-AE3C13790CCB}">
            <xm:f>IF($A$168=Słowniki!$P$2,1,0)</xm:f>
            <x14:dxf>
              <font>
                <strike/>
              </font>
            </x14:dxf>
          </x14:cfRule>
          <xm:sqref>A181:AL181</xm:sqref>
        </x14:conditionalFormatting>
        <x14:conditionalFormatting xmlns:xm="http://schemas.microsoft.com/office/excel/2006/main">
          <x14:cfRule type="expression" priority="111" id="{1D0787FE-1AC1-459A-8BB8-70B8F87A19C8}">
            <xm:f>IF($T$100&lt;&gt;Słowniki!$A$73,1,0)</xm:f>
            <x14:dxf>
              <fill>
                <patternFill patternType="none">
                  <bgColor auto="1"/>
                </patternFill>
              </fill>
            </x14:dxf>
          </x14:cfRule>
          <xm:sqref>AE100:AL100</xm:sqref>
        </x14:conditionalFormatting>
      </x14:conditionalFormattings>
    </ext>
    <ext xmlns:x14="http://schemas.microsoft.com/office/spreadsheetml/2009/9/main" uri="{CCE6A557-97BC-4b89-ADB6-D9C93CAAB3DF}">
      <x14:dataValidations xmlns:xm="http://schemas.microsoft.com/office/excel/2006/main" xWindow="818" yWindow="793" count="37">
        <x14:dataValidation type="list" allowBlank="1" promptTitle="Wybierz" prompt="właściwe" xr:uid="{00000000-0002-0000-0600-000028000000}">
          <x14:formula1>
            <xm:f>Słowniki!$O$2:$O$3</xm:f>
          </x14:formula1>
          <xm:sqref>A205:AL205</xm:sqref>
        </x14:dataValidation>
        <x14:dataValidation type="list" allowBlank="1" showInputMessage="1" showErrorMessage="1" promptTitle="Wybierz" prompt="beneficjenta" xr:uid="{00000000-0002-0000-0600-000029000000}">
          <x14:formula1>
            <xm:f>Słowniki!$A$2:$A$3</xm:f>
          </x14:formula1>
          <xm:sqref>B18:AL18</xm:sqref>
        </x14:dataValidation>
        <x14:dataValidation type="list" allowBlank="1" showInputMessage="1" promptTitle="Wprowadź" prompt="dane lub wybierz nie dotyczy" xr:uid="{00000000-0002-0000-0600-00002B000000}">
          <x14:formula1>
            <xm:f>Słowniki!$F$19</xm:f>
          </x14:formula1>
          <xm:sqref>B35:AL35 B33:AL33</xm:sqref>
        </x14:dataValidation>
        <x14:dataValidation type="list" allowBlank="1" showInputMessage="1" showErrorMessage="1" promptTitle="Wybierz" prompt="właściwe" xr:uid="{00000000-0002-0000-0600-00002F000000}">
          <x14:formula1>
            <xm:f>Słowniki!$E$169:$E$170</xm:f>
          </x14:formula1>
          <xm:sqref>T165:AJ165</xm:sqref>
        </x14:dataValidation>
        <x14:dataValidation type="list" allowBlank="1" showInputMessage="1" showErrorMessage="1" promptTitle="Wybierz" prompt="właściwe" xr:uid="{00000000-0002-0000-0600-000030000000}">
          <x14:formula1>
            <xm:f>Słowniki!$U$1:$U$2</xm:f>
          </x14:formula1>
          <xm:sqref>A113:AL113</xm:sqref>
        </x14:dataValidation>
        <x14:dataValidation type="list" allowBlank="1" showInputMessage="1" showErrorMessage="1" promptTitle="Wybierz" prompt="właściwe" xr:uid="{00000000-0002-0000-0600-000031000000}">
          <x14:formula1>
            <xm:f>Słowniki!$X$3:$X$4</xm:f>
          </x14:formula1>
          <xm:sqref>A115:AL115</xm:sqref>
        </x14:dataValidation>
        <x14:dataValidation type="list" allowBlank="1" showInputMessage="1" showErrorMessage="1" promptTitle="Wybierz" prompt="właściwe" xr:uid="{00000000-0002-0000-0600-000032000000}">
          <x14:formula1>
            <xm:f>Słowniki!$U$5:$U$6</xm:f>
          </x14:formula1>
          <xm:sqref>A119:AL119</xm:sqref>
        </x14:dataValidation>
        <x14:dataValidation type="list" allowBlank="1" showInputMessage="1" showErrorMessage="1" promptTitle="Wybierz" prompt="właściwe" xr:uid="{00000000-0002-0000-0600-000033000000}">
          <x14:formula1>
            <xm:f>Słowniki!$U$3:$U$4</xm:f>
          </x14:formula1>
          <xm:sqref>A117:AL117</xm:sqref>
        </x14:dataValidation>
        <x14:dataValidation type="list" allowBlank="1" showInputMessage="1" showErrorMessage="1" promptTitle="Wybierz" prompt="właściwe" xr:uid="{00000000-0002-0000-0600-000034000000}">
          <x14:formula1>
            <xm:f>Słowniki!$W$3:$W$4</xm:f>
          </x14:formula1>
          <xm:sqref>A172:AL172</xm:sqref>
        </x14:dataValidation>
        <x14:dataValidation type="list" allowBlank="1" showInputMessage="1" showErrorMessage="1" promptTitle="Wybierz" prompt="właściwe" xr:uid="{00000000-0002-0000-0600-000035000000}">
          <x14:formula1>
            <xm:f>Słowniki!$W$1:$W$2</xm:f>
          </x14:formula1>
          <xm:sqref>A168:AL168</xm:sqref>
        </x14:dataValidation>
        <x14:dataValidation type="list" allowBlank="1" showInputMessage="1" promptTitle="Wybierz" prompt="właściwe" xr:uid="{00000000-0002-0000-0600-000036000000}">
          <x14:formula1>
            <xm:f>Słowniki!$X$11:$X$12</xm:f>
          </x14:formula1>
          <xm:sqref>A174:AL174</xm:sqref>
        </x14:dataValidation>
        <x14:dataValidation type="list" allowBlank="1" showInputMessage="1" showErrorMessage="1" promptTitle="Wybierz" prompt="właściwe" xr:uid="{00000000-0002-0000-0600-000037000000}">
          <x14:formula1>
            <xm:f>Słowniki!$X$13:$X$14</xm:f>
          </x14:formula1>
          <xm:sqref>A176:AL176</xm:sqref>
        </x14:dataValidation>
        <x14:dataValidation type="list" errorStyle="warning" allowBlank="1" showInputMessage="1" showErrorMessage="1" promptTitle="Wybierz" prompt="właściwe" xr:uid="{00000000-0002-0000-0600-000038000000}">
          <x14:formula1>
            <xm:f>Słowniki!$Z$1:$Z$2</xm:f>
          </x14:formula1>
          <xm:sqref>A182:AL182</xm:sqref>
        </x14:dataValidation>
        <x14:dataValidation type="list" allowBlank="1" showInputMessage="1" showErrorMessage="1" promptTitle="Wybierz" prompt="właściwe" xr:uid="{00000000-0002-0000-0600-000039000000}">
          <x14:formula1>
            <xm:f>Słowniki!$Y$1:$Y$5</xm:f>
          </x14:formula1>
          <xm:sqref>A180:AL180</xm:sqref>
        </x14:dataValidation>
        <x14:dataValidation type="list" allowBlank="1" showInputMessage="1" showErrorMessage="1" promptTitle="Wybierz" prompt="właściwe" xr:uid="{00000000-0002-0000-0600-00003A000000}">
          <x14:formula1>
            <xm:f>Słowniki!$W$5:$W$6</xm:f>
          </x14:formula1>
          <xm:sqref>A178:AL178</xm:sqref>
        </x14:dataValidation>
        <x14:dataValidation type="list" allowBlank="1" showInputMessage="1" showErrorMessage="1" promptTitle="Wybierz" prompt="właściwe" xr:uid="{00000000-0002-0000-0600-00003B000000}">
          <x14:formula1>
            <xm:f>Słowniki!$AE$4:$AE$5</xm:f>
          </x14:formula1>
          <xm:sqref>A187:AL187</xm:sqref>
        </x14:dataValidation>
        <x14:dataValidation type="list" errorStyle="information" allowBlank="1" showInputMessage="1" showErrorMessage="1" xr:uid="{00000000-0002-0000-0600-00003C000000}">
          <x14:formula1>
            <xm:f>Słowniki!$A$34:$A$39</xm:f>
          </x14:formula1>
          <xm:sqref>G138:K159</xm:sqref>
        </x14:dataValidation>
        <x14:dataValidation type="list" allowBlank="1" showErrorMessage="1" promptTitle="Wybierz" prompt="rodzaj przedsięwzięcia" xr:uid="{00000000-0002-0000-0600-00003D000000}">
          <x14:formula1>
            <xm:f>Słowniki!$D$2</xm:f>
          </x14:formula1>
          <xm:sqref>A87:AL87</xm:sqref>
        </x14:dataValidation>
        <x14:dataValidation type="list" allowBlank="1" showErrorMessage="1" promptTitle="Wybierz" prompt="właściwy rodzaj" xr:uid="{00000000-0002-0000-0600-00003E000000}">
          <x14:formula1>
            <xm:f>Słowniki!$J$4</xm:f>
          </x14:formula1>
          <xm:sqref>A97:AL97</xm:sqref>
        </x14:dataValidation>
        <x14:dataValidation type="list" allowBlank="1" showInputMessage="1" showErrorMessage="1" promptTitle="Wybierz" prompt="właściwe" xr:uid="{00000000-0002-0000-0600-00003F000000}">
          <x14:formula1>
            <xm:f>Słowniki!$W$7:$W$8</xm:f>
          </x14:formula1>
          <xm:sqref>A170:AL170</xm:sqref>
        </x14:dataValidation>
        <x14:dataValidation type="list" errorStyle="information" allowBlank="1" showInputMessage="1" showErrorMessage="1" promptTitle="Wprowadź" prompt="dane" xr:uid="{00000000-0002-0000-0600-000040000000}">
          <x14:formula1>
            <xm:f>Słowniki!$A$41:$A$43</xm:f>
          </x14:formula1>
          <xm:sqref>AA125:AL125</xm:sqref>
        </x14:dataValidation>
        <x14:dataValidation type="list" errorStyle="information" allowBlank="1" showInputMessage="1" showErrorMessage="1" promptTitle="Wprowadź " xr:uid="{00000000-0002-0000-0600-000042000000}">
          <x14:formula1>
            <xm:f>Słowniki!$A$71</xm:f>
          </x14:formula1>
          <xm:sqref>I100:S100</xm:sqref>
        </x14:dataValidation>
        <x14:dataValidation type="list" errorStyle="information" allowBlank="1" showInputMessage="1" showErrorMessage="1" promptTitle="Wprowadź" xr:uid="{00000000-0002-0000-0600-000043000000}">
          <x14:formula1>
            <xm:f>Słowniki!$A$73</xm:f>
          </x14:formula1>
          <xm:sqref>T100:AD100</xm:sqref>
        </x14:dataValidation>
        <x14:dataValidation type="list" allowBlank="1" showErrorMessage="1" promptTitle="Wybierz" prompt="właściwe" xr:uid="{00000000-0002-0000-0600-000044000000}">
          <x14:formula1>
            <xm:f>Słowniki!$F$8</xm:f>
          </x14:formula1>
          <xm:sqref>A90:AL90</xm:sqref>
        </x14:dataValidation>
        <x14:dataValidation type="list" allowBlank="1" showInputMessage="1" showErrorMessage="1" promptTitle="Wybierz" prompt="właściwe" xr:uid="{00000000-0002-0000-0600-000045000000}">
          <x14:formula1>
            <xm:f>Słowniki!$W$12:$W$14</xm:f>
          </x14:formula1>
          <xm:sqref>A192:AL192</xm:sqref>
        </x14:dataValidation>
        <x14:dataValidation type="list" allowBlank="1" showInputMessage="1" showErrorMessage="1" promptTitle="Wybierz" prompt="właściwe" xr:uid="{00000000-0002-0000-0600-000046000000}">
          <x14:formula1>
            <xm:f>Słowniki!$D$17:$D$18</xm:f>
          </x14:formula1>
          <xm:sqref>T189:AL189</xm:sqref>
        </x14:dataValidation>
        <x14:dataValidation type="list" allowBlank="1" showInputMessage="1" showErrorMessage="1" promptTitle="Wybierz" prompt="właściwe" xr:uid="{00000000-0002-0000-0600-000047000000}">
          <x14:formula1>
            <xm:f>Słowniki!$C$17:$C$18</xm:f>
          </x14:formula1>
          <xm:sqref>A189:S189</xm:sqref>
        </x14:dataValidation>
        <x14:dataValidation type="list" allowBlank="1" showInputMessage="1" showErrorMessage="1" promptTitle="Wybierz" prompt="jeżeli przedsięwzięcie jest mieszane" xr:uid="{00000000-0002-0000-0600-000048000000}">
          <x14:formula1>
            <xm:f>Słowniki!$C$13:$C$15</xm:f>
          </x14:formula1>
          <xm:sqref>A88:AL88</xm:sqref>
        </x14:dataValidation>
        <x14:dataValidation type="list" allowBlank="1" showInputMessage="1" showErrorMessage="1" promptTitle="Wybierz" prompt="właściwe" xr:uid="{00000000-0002-0000-0600-000049000000}">
          <x14:formula1>
            <xm:f>Słowniki!$W$15:$W$16</xm:f>
          </x14:formula1>
          <xm:sqref>A194:AL194</xm:sqref>
        </x14:dataValidation>
        <x14:dataValidation type="list" allowBlank="1" showInputMessage="1" showErrorMessage="1" promptTitle="Wybierz" prompt="właściwe" xr:uid="{00000000-0002-0000-0600-00004A000000}">
          <x14:formula1>
            <xm:f>Słowniki!$C$3:$C$4</xm:f>
          </x14:formula1>
          <xm:sqref>AB7:AE7 N7:P7</xm:sqref>
        </x14:dataValidation>
        <x14:dataValidation type="list" allowBlank="1" showInputMessage="1" xr:uid="{14C0DD5C-EF8E-4904-AC44-CB66151FB870}">
          <x14:formula1>
            <xm:f>Słowniki!$B$49</xm:f>
          </x14:formula1>
          <xm:sqref>T190:AL190</xm:sqref>
        </x14:dataValidation>
        <x14:dataValidation type="list" errorStyle="information" allowBlank="1" showInputMessage="1" showErrorMessage="1" promptTitle="Wybierz" prompt="właściwe" xr:uid="{1EA65636-263A-4ECC-8584-2CF5D80BF421}">
          <x14:formula1>
            <xm:f>Słowniki!$A$46:$A$60</xm:f>
          </x14:formula1>
          <xm:sqref>B138:F159</xm:sqref>
        </x14:dataValidation>
        <x14:dataValidation type="list" allowBlank="1" showInputMessage="1" promptTitle="Wybierz" prompt="właściwe oświadczenie" xr:uid="{97D912FA-56DF-40A4-8734-887D626B50CB}">
          <x14:formula1>
            <xm:f>Słowniki!$C$54:$C$58</xm:f>
          </x14:formula1>
          <xm:sqref>B85:AL85</xm:sqref>
        </x14:dataValidation>
        <x14:dataValidation type="list" allowBlank="1" showInputMessage="1" showErrorMessage="1" xr:uid="{9E1B8513-4951-4CF4-A120-3E91E099C346}">
          <x14:formula1>
            <xm:f>Słowniki!$Y$7:$Y$8</xm:f>
          </x14:formula1>
          <xm:sqref>A196:AL196</xm:sqref>
        </x14:dataValidation>
        <x14:dataValidation type="list" allowBlank="1" showInputMessage="1" showErrorMessage="1" xr:uid="{DE124ADF-2C09-4E04-B991-A82EFA8501F5}">
          <x14:formula1>
            <xm:f>Słowniki!$Y$9:$Y$10</xm:f>
          </x14:formula1>
          <xm:sqref>A198:AL198</xm:sqref>
        </x14:dataValidation>
        <x14:dataValidation type="list" errorStyle="information" allowBlank="1" showInputMessage="1" showErrorMessage="1" promptTitle="Wybierz" prompt="właściwe" xr:uid="{A5449F21-DE59-424F-813D-3F22EB3FAEB0}">
          <x14:formula1>
            <xm:f>Słowniki!$AO$1:$AO$2</xm:f>
          </x14:formula1>
          <xm:sqref>B49:AL49</xm:sqref>
        </x14:dataValidation>
        <x14:dataValidation type="date" operator="greaterThan" allowBlank="1" showInputMessage="1" showErrorMessage="1" promptTitle="Wprowadź" prompt="datę w formacie rrrr-mm-dd_x000a_" xr:uid="{00000000-0002-0000-0600-00004B000000}">
          <x14:formula1>
            <xm:f>Słowniki!AQ7</xm:f>
          </x14:formula1>
          <xm:sqref>B50:AL50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usz14"/>
  <dimension ref="A1:BB227"/>
  <sheetViews>
    <sheetView showGridLines="0" topLeftCell="A186" zoomScaleNormal="100" workbookViewId="0">
      <selection activeCell="AM188" sqref="AM188"/>
    </sheetView>
  </sheetViews>
  <sheetFormatPr defaultColWidth="9.33203125" defaultRowHeight="14.4" x14ac:dyDescent="0.3"/>
  <cols>
    <col min="1" max="1" width="3.33203125" style="88" customWidth="1"/>
    <col min="2" max="2" width="4" style="88" customWidth="1"/>
    <col min="3" max="3" width="2.33203125" style="88" customWidth="1"/>
    <col min="4" max="4" width="2.5546875" style="88" customWidth="1"/>
    <col min="5" max="5" width="2" style="88" customWidth="1"/>
    <col min="6" max="6" width="1.6640625" style="88" customWidth="1"/>
    <col min="7" max="7" width="1.44140625" style="88" customWidth="1"/>
    <col min="8" max="8" width="2.33203125" style="88" customWidth="1"/>
    <col min="9" max="9" width="2.44140625" style="88" customWidth="1"/>
    <col min="10" max="10" width="1.5546875" style="88" customWidth="1"/>
    <col min="11" max="11" width="1.6640625" style="88" customWidth="1"/>
    <col min="12" max="12" width="5.33203125" style="88" customWidth="1"/>
    <col min="13" max="13" width="0.6640625" style="88" customWidth="1"/>
    <col min="14" max="14" width="3.44140625" style="88" customWidth="1"/>
    <col min="15" max="15" width="2.5546875" style="88" customWidth="1"/>
    <col min="16" max="17" width="1.5546875" style="88" customWidth="1"/>
    <col min="18" max="18" width="1.33203125" style="88" customWidth="1"/>
    <col min="19" max="19" width="2.33203125" style="88" customWidth="1"/>
    <col min="20" max="20" width="1.33203125" style="88" customWidth="1"/>
    <col min="21" max="21" width="1" style="88" customWidth="1"/>
    <col min="22" max="22" width="0.6640625" style="88" customWidth="1"/>
    <col min="23" max="23" width="3" style="88" customWidth="1"/>
    <col min="24" max="24" width="1.33203125" style="88" customWidth="1"/>
    <col min="25" max="25" width="1.44140625" style="88" customWidth="1"/>
    <col min="26" max="27" width="1.33203125" style="88" customWidth="1"/>
    <col min="28" max="28" width="2" style="88" customWidth="1"/>
    <col min="29" max="29" width="1" style="88" customWidth="1"/>
    <col min="30" max="31" width="1.6640625" style="88" customWidth="1"/>
    <col min="32" max="32" width="1.33203125" style="88" customWidth="1"/>
    <col min="33" max="33" width="1.6640625" style="88" customWidth="1"/>
    <col min="34" max="34" width="2.33203125" style="88" customWidth="1"/>
    <col min="35" max="35" width="1.44140625" style="88" customWidth="1"/>
    <col min="36" max="36" width="4" style="88" customWidth="1"/>
    <col min="37" max="37" width="9.33203125" style="88" customWidth="1"/>
    <col min="38" max="38" width="5.6640625" style="88" customWidth="1"/>
    <col min="39" max="39" width="126.6640625" style="101" customWidth="1"/>
    <col min="40" max="16384" width="9.33203125" style="60"/>
  </cols>
  <sheetData>
    <row r="1" spans="1:54" ht="31.9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87"/>
      <c r="R2" s="155"/>
      <c r="S2" s="155"/>
      <c r="T2" s="155"/>
      <c r="U2" s="155"/>
      <c r="V2" s="155"/>
      <c r="W2" s="155"/>
      <c r="X2" s="155"/>
      <c r="Y2" s="155"/>
      <c r="Z2" s="155"/>
      <c r="AA2" s="155"/>
      <c r="AB2" s="155"/>
      <c r="AC2" s="155"/>
      <c r="AD2" s="155"/>
      <c r="AE2" s="155"/>
      <c r="AF2" s="155"/>
      <c r="AG2" s="155"/>
      <c r="AH2" s="155"/>
      <c r="AI2" s="155"/>
      <c r="AJ2" s="155"/>
      <c r="AK2" s="155"/>
      <c r="AL2" s="155"/>
      <c r="AM2" s="105"/>
      <c r="AN2" s="70"/>
      <c r="AO2" s="70"/>
      <c r="AP2" s="70"/>
      <c r="AQ2" s="70"/>
      <c r="AR2" s="70"/>
      <c r="AS2" s="70"/>
      <c r="AT2" s="70"/>
      <c r="AU2" s="70"/>
      <c r="AV2" s="70"/>
      <c r="AW2" s="70"/>
      <c r="AX2" s="70"/>
      <c r="AY2" s="70"/>
      <c r="AZ2" s="70"/>
      <c r="BA2" s="70"/>
      <c r="BB2" s="70"/>
    </row>
    <row r="3" spans="1:54" x14ac:dyDescent="0.3">
      <c r="AM3" s="102" t="s">
        <v>160</v>
      </c>
    </row>
    <row r="4" spans="1:54" x14ac:dyDescent="0.3">
      <c r="A4" s="512"/>
      <c r="B4" s="513"/>
      <c r="C4" s="513"/>
      <c r="D4" s="513"/>
      <c r="E4" s="513"/>
      <c r="F4" s="513"/>
      <c r="G4" s="89"/>
      <c r="H4" s="514">
        <f ca="1">TODAY()</f>
        <v>46184</v>
      </c>
      <c r="I4" s="513"/>
      <c r="J4" s="513"/>
      <c r="K4" s="513"/>
      <c r="L4" s="513"/>
      <c r="N4"/>
      <c r="O4"/>
      <c r="P4"/>
      <c r="Q4"/>
      <c r="R4"/>
      <c r="S4"/>
      <c r="T4"/>
      <c r="U4"/>
      <c r="V4"/>
      <c r="W4"/>
      <c r="X4"/>
      <c r="Y4"/>
      <c r="Z4"/>
      <c r="AA4"/>
      <c r="AB4"/>
    </row>
    <row r="5" spans="1:54" ht="15" customHeight="1" x14ac:dyDescent="0.3">
      <c r="A5" s="515" t="s">
        <v>125</v>
      </c>
      <c r="B5" s="515"/>
      <c r="C5" s="515"/>
      <c r="D5" s="515"/>
      <c r="E5" s="515"/>
      <c r="F5" s="515"/>
      <c r="G5" s="151"/>
      <c r="H5" s="515" t="s">
        <v>124</v>
      </c>
      <c r="I5" s="515"/>
      <c r="J5" s="515"/>
      <c r="K5" s="515"/>
      <c r="L5" s="515"/>
      <c r="M5" s="148"/>
      <c r="N5" s="515"/>
      <c r="O5" s="659"/>
      <c r="P5" s="659"/>
      <c r="Q5" s="659"/>
      <c r="R5" s="659"/>
      <c r="S5" s="659"/>
      <c r="T5" s="152"/>
      <c r="U5" s="515"/>
      <c r="V5" s="515"/>
      <c r="W5" s="515"/>
      <c r="X5" s="515"/>
      <c r="Y5" s="515"/>
      <c r="Z5" s="515"/>
      <c r="AA5" s="148"/>
      <c r="AB5" s="148"/>
      <c r="AC5" s="148"/>
      <c r="AD5" s="148"/>
      <c r="AE5" s="148"/>
      <c r="AF5" s="148"/>
      <c r="AG5" s="148"/>
      <c r="AH5" s="148"/>
      <c r="AI5" s="148"/>
      <c r="AJ5" s="148"/>
      <c r="AK5" s="148"/>
      <c r="AL5" s="148"/>
    </row>
    <row r="6" spans="1:54" x14ac:dyDescent="0.3">
      <c r="A6" s="153"/>
      <c r="B6" s="153"/>
      <c r="C6" s="153"/>
      <c r="D6" s="153"/>
      <c r="E6" s="153"/>
      <c r="F6" s="153"/>
      <c r="G6" s="151"/>
      <c r="H6" s="148"/>
      <c r="I6" s="148"/>
      <c r="J6" s="148"/>
      <c r="K6" s="148"/>
      <c r="L6" s="148"/>
      <c r="M6" s="148"/>
      <c r="N6" s="660"/>
      <c r="O6" s="660"/>
      <c r="P6" s="660"/>
      <c r="Q6" s="660"/>
      <c r="R6" s="660"/>
      <c r="S6" s="660"/>
      <c r="T6" s="152"/>
      <c r="U6" s="153"/>
      <c r="V6" s="153"/>
      <c r="W6" s="153"/>
      <c r="X6" s="153"/>
      <c r="Y6" s="153"/>
      <c r="Z6" s="153"/>
      <c r="AA6" s="148"/>
      <c r="AB6" s="148"/>
      <c r="AC6" s="148"/>
      <c r="AD6" s="148"/>
      <c r="AE6" s="148"/>
      <c r="AF6" s="148"/>
      <c r="AG6" s="148"/>
      <c r="AH6" s="148"/>
      <c r="AI6" s="148"/>
      <c r="AJ6" s="148"/>
      <c r="AK6" s="148"/>
      <c r="AL6" s="148"/>
    </row>
    <row r="7" spans="1:54"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53"/>
      <c r="B10" s="153"/>
      <c r="C10" s="153"/>
      <c r="D10" s="153"/>
      <c r="E10" s="153"/>
      <c r="F10" s="153"/>
      <c r="G10" s="151"/>
      <c r="H10" s="148"/>
      <c r="I10" s="148"/>
      <c r="J10" s="148"/>
      <c r="K10" s="148"/>
      <c r="L10" s="148"/>
      <c r="M10" s="148"/>
      <c r="N10" s="153"/>
      <c r="O10" s="153"/>
      <c r="P10" s="153"/>
      <c r="Q10" s="153"/>
      <c r="R10" s="153"/>
      <c r="S10" s="153"/>
      <c r="T10" s="152"/>
      <c r="U10" s="153"/>
      <c r="V10" s="153"/>
      <c r="W10" s="153"/>
      <c r="X10" s="153"/>
      <c r="Y10" s="153"/>
      <c r="Z10" s="153"/>
      <c r="AA10" s="148"/>
      <c r="AB10" s="148"/>
      <c r="AC10" s="148"/>
      <c r="AD10" s="148"/>
      <c r="AE10" s="148"/>
      <c r="AF10" s="148"/>
      <c r="AG10" s="148"/>
      <c r="AH10" s="148"/>
      <c r="AI10" s="148"/>
      <c r="AJ10" s="148"/>
      <c r="AK10" s="148"/>
      <c r="AL10" s="148"/>
    </row>
    <row r="11" spans="1:54" x14ac:dyDescent="0.3">
      <c r="A11" s="148"/>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row>
    <row r="12" spans="1:54" ht="14.7" customHeight="1" x14ac:dyDescent="0.25">
      <c r="A12" s="370" t="s">
        <v>106</v>
      </c>
      <c r="B12" s="370"/>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row>
    <row r="13" spans="1:54" x14ac:dyDescent="0.25">
      <c r="A13" s="326" t="s">
        <v>107</v>
      </c>
      <c r="B13" s="326"/>
      <c r="C13" s="326"/>
      <c r="D13" s="326"/>
      <c r="E13" s="326"/>
      <c r="F13" s="326"/>
      <c r="G13" s="326"/>
      <c r="H13" s="326"/>
      <c r="I13" s="326"/>
      <c r="J13" s="326"/>
      <c r="K13" s="326"/>
      <c r="L13" s="326"/>
      <c r="M13" s="326"/>
      <c r="N13" s="326"/>
      <c r="O13" s="326"/>
      <c r="P13" s="326"/>
      <c r="Q13" s="326"/>
      <c r="R13" s="326"/>
      <c r="S13" s="326"/>
      <c r="T13" s="326"/>
      <c r="U13" s="326"/>
      <c r="V13" s="326"/>
      <c r="W13" s="326"/>
      <c r="X13" s="326"/>
      <c r="Y13" s="326"/>
      <c r="Z13" s="326"/>
      <c r="AA13" s="326"/>
      <c r="AB13" s="326"/>
      <c r="AC13" s="326"/>
      <c r="AD13" s="326"/>
      <c r="AE13" s="326"/>
      <c r="AF13" s="326"/>
      <c r="AG13" s="326"/>
      <c r="AH13" s="326"/>
      <c r="AI13" s="326"/>
      <c r="AJ13" s="326"/>
      <c r="AK13" s="326"/>
      <c r="AL13" s="326"/>
    </row>
    <row r="14" spans="1:54" ht="17.25" customHeight="1" x14ac:dyDescent="0.25">
      <c r="A14" s="371" t="s">
        <v>958</v>
      </c>
      <c r="B14" s="371"/>
      <c r="C14" s="371"/>
      <c r="D14" s="371"/>
      <c r="E14" s="371"/>
      <c r="F14" s="371"/>
      <c r="G14" s="371"/>
      <c r="H14" s="371"/>
      <c r="I14" s="371"/>
      <c r="J14" s="371"/>
      <c r="K14" s="371"/>
      <c r="L14" s="371"/>
      <c r="M14" s="371"/>
      <c r="N14" s="371"/>
      <c r="O14" s="371"/>
      <c r="P14" s="371"/>
      <c r="Q14" s="371"/>
      <c r="R14" s="371"/>
      <c r="S14" s="371"/>
      <c r="T14" s="371"/>
      <c r="U14" s="371"/>
      <c r="V14" s="371"/>
      <c r="W14" s="371"/>
      <c r="X14" s="371"/>
      <c r="Y14" s="371"/>
      <c r="Z14" s="371"/>
      <c r="AA14" s="371"/>
      <c r="AB14" s="371"/>
      <c r="AC14" s="371"/>
      <c r="AD14" s="371"/>
      <c r="AE14" s="371"/>
      <c r="AF14" s="371"/>
      <c r="AG14" s="371"/>
      <c r="AH14" s="371"/>
      <c r="AI14" s="371"/>
      <c r="AJ14" s="371"/>
      <c r="AK14" s="371"/>
      <c r="AL14" s="371"/>
    </row>
    <row r="15" spans="1:54" x14ac:dyDescent="0.3">
      <c r="A15" s="148"/>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row>
    <row r="16" spans="1:54" x14ac:dyDescent="0.3">
      <c r="A16" s="372" t="s">
        <v>71</v>
      </c>
      <c r="B16" s="372"/>
      <c r="C16" s="372"/>
      <c r="D16" s="372"/>
      <c r="E16" s="372"/>
      <c r="F16" s="372"/>
      <c r="G16" s="372"/>
      <c r="H16" s="372"/>
      <c r="I16" s="372"/>
      <c r="J16" s="372"/>
      <c r="K16" s="372"/>
      <c r="L16" s="372"/>
      <c r="M16" s="372"/>
      <c r="N16" s="372"/>
      <c r="O16" s="372"/>
      <c r="P16" s="372"/>
      <c r="Q16" s="372"/>
      <c r="R16" s="372"/>
      <c r="S16" s="372"/>
      <c r="T16" s="372"/>
      <c r="U16" s="372"/>
      <c r="V16" s="372"/>
      <c r="W16" s="372"/>
      <c r="X16" s="372"/>
      <c r="Y16" s="372"/>
      <c r="Z16" s="372"/>
      <c r="AA16" s="372"/>
      <c r="AB16" s="372"/>
      <c r="AC16" s="372"/>
      <c r="AD16" s="372"/>
      <c r="AE16" s="372"/>
      <c r="AF16" s="372"/>
      <c r="AG16" s="372"/>
      <c r="AH16" s="372"/>
      <c r="AI16" s="372"/>
      <c r="AJ16" s="372"/>
      <c r="AK16" s="372"/>
      <c r="AL16" s="148"/>
    </row>
    <row r="17" spans="1:39" x14ac:dyDescent="0.25">
      <c r="A17" s="326" t="s">
        <v>1</v>
      </c>
      <c r="B17" s="373" t="s">
        <v>63</v>
      </c>
      <c r="C17" s="373"/>
      <c r="D17" s="373"/>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row>
    <row r="18" spans="1:39" x14ac:dyDescent="0.25">
      <c r="A18" s="326"/>
      <c r="B18" s="443"/>
      <c r="C18" s="443"/>
      <c r="D18" s="443"/>
      <c r="E18" s="443"/>
      <c r="F18" s="443"/>
      <c r="G18" s="443"/>
      <c r="H18" s="443"/>
      <c r="I18" s="443"/>
      <c r="J18" s="443"/>
      <c r="K18" s="443"/>
      <c r="L18" s="443"/>
      <c r="M18" s="443"/>
      <c r="N18" s="443"/>
      <c r="O18" s="443"/>
      <c r="P18" s="443"/>
      <c r="Q18" s="443"/>
      <c r="R18" s="443"/>
      <c r="S18" s="443"/>
      <c r="T18" s="443"/>
      <c r="U18" s="443"/>
      <c r="V18" s="443"/>
      <c r="W18" s="443"/>
      <c r="X18" s="443"/>
      <c r="Y18" s="443"/>
      <c r="Z18" s="443"/>
      <c r="AA18" s="443"/>
      <c r="AB18" s="443"/>
      <c r="AC18" s="443"/>
      <c r="AD18" s="443"/>
      <c r="AE18" s="443"/>
      <c r="AF18" s="443"/>
      <c r="AG18" s="443"/>
      <c r="AH18" s="443"/>
      <c r="AI18" s="443"/>
      <c r="AJ18" s="443"/>
      <c r="AK18" s="443"/>
      <c r="AL18" s="443"/>
    </row>
    <row r="19" spans="1:39" x14ac:dyDescent="0.3">
      <c r="A19" s="326" t="s">
        <v>4</v>
      </c>
      <c r="B19" s="344" t="s">
        <v>64</v>
      </c>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c r="AJ19" s="344"/>
      <c r="AK19" s="344"/>
      <c r="AL19" s="344"/>
      <c r="AM19" s="100" t="s">
        <v>969</v>
      </c>
    </row>
    <row r="20" spans="1:39" x14ac:dyDescent="0.25">
      <c r="A20" s="326"/>
      <c r="B20" s="591"/>
      <c r="C20" s="592"/>
      <c r="D20" s="592"/>
      <c r="E20" s="592"/>
      <c r="F20" s="592"/>
      <c r="G20" s="592"/>
      <c r="H20" s="592"/>
      <c r="I20" s="592"/>
      <c r="J20" s="592"/>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2"/>
      <c r="AJ20" s="592"/>
      <c r="AK20" s="592"/>
      <c r="AL20" s="592"/>
    </row>
    <row r="21" spans="1:39" ht="26.7" customHeight="1" x14ac:dyDescent="0.3">
      <c r="A21" s="326" t="s">
        <v>6</v>
      </c>
      <c r="B21" s="465" t="s">
        <v>986</v>
      </c>
      <c r="C21" s="465"/>
      <c r="D21" s="465"/>
      <c r="E21" s="465"/>
      <c r="F21" s="465"/>
      <c r="G21" s="465"/>
      <c r="H21" s="465"/>
      <c r="I21" s="465"/>
      <c r="J21" s="465"/>
      <c r="K21" s="465"/>
      <c r="L21" s="465"/>
      <c r="M21" s="465"/>
      <c r="N21" s="465"/>
      <c r="O21" s="465"/>
      <c r="P21" s="465"/>
      <c r="Q21" s="465"/>
      <c r="R21" s="465"/>
      <c r="S21" s="465"/>
      <c r="T21" s="465"/>
      <c r="U21" s="465"/>
      <c r="V21" s="465"/>
      <c r="W21" s="465"/>
      <c r="X21" s="465"/>
      <c r="Y21" s="465"/>
      <c r="Z21" s="465"/>
      <c r="AA21" s="465"/>
      <c r="AB21" s="465"/>
      <c r="AC21" s="465"/>
      <c r="AD21" s="465"/>
      <c r="AE21" s="465"/>
      <c r="AF21" s="465"/>
      <c r="AG21" s="465"/>
      <c r="AH21" s="465"/>
      <c r="AI21" s="465"/>
      <c r="AJ21" s="465"/>
      <c r="AK21" s="465"/>
      <c r="AL21" s="465"/>
      <c r="AM21" s="100" t="s">
        <v>959</v>
      </c>
    </row>
    <row r="22" spans="1:39" x14ac:dyDescent="0.25">
      <c r="A22" s="326"/>
      <c r="B22" s="368"/>
      <c r="C22" s="605"/>
      <c r="D22" s="605"/>
      <c r="E22" s="605"/>
      <c r="F22" s="605"/>
      <c r="G22" s="605"/>
      <c r="H22" s="605"/>
      <c r="I22" s="605"/>
      <c r="J22" s="605"/>
      <c r="K22" s="605"/>
      <c r="L22" s="605"/>
      <c r="M22" s="605"/>
      <c r="N22" s="605"/>
      <c r="O22" s="605"/>
      <c r="P22" s="605"/>
      <c r="Q22" s="605"/>
      <c r="R22" s="605"/>
      <c r="S22" s="605"/>
      <c r="T22" s="605"/>
      <c r="U22" s="605"/>
      <c r="V22" s="605"/>
      <c r="W22" s="605"/>
      <c r="X22" s="605"/>
      <c r="Y22" s="368"/>
      <c r="Z22" s="605"/>
      <c r="AA22" s="605"/>
      <c r="AB22" s="605"/>
      <c r="AC22" s="605"/>
      <c r="AD22" s="605"/>
      <c r="AE22" s="605"/>
      <c r="AF22" s="605"/>
      <c r="AG22" s="605"/>
      <c r="AH22" s="605"/>
      <c r="AI22" s="605"/>
      <c r="AJ22" s="605"/>
      <c r="AK22" s="605"/>
      <c r="AL22" s="605"/>
    </row>
    <row r="23" spans="1:39" ht="46.5" customHeight="1" x14ac:dyDescent="0.3">
      <c r="A23" s="326"/>
      <c r="B23" s="309" t="s">
        <v>1067</v>
      </c>
      <c r="C23" s="309"/>
      <c r="D23" s="309"/>
      <c r="E23" s="309"/>
      <c r="F23" s="309"/>
      <c r="G23" s="309"/>
      <c r="H23" s="309"/>
      <c r="I23" s="309"/>
      <c r="J23" s="309"/>
      <c r="K23" s="309"/>
      <c r="L23" s="309"/>
      <c r="M23" s="309"/>
      <c r="N23" s="309"/>
      <c r="O23" s="309"/>
      <c r="P23" s="309"/>
      <c r="Q23" s="309"/>
      <c r="R23" s="309"/>
      <c r="S23" s="309"/>
      <c r="T23" s="309"/>
      <c r="U23" s="309"/>
      <c r="V23" s="309"/>
      <c r="W23" s="309"/>
      <c r="X23" s="309"/>
      <c r="Y23" s="309"/>
      <c r="Z23" s="309"/>
      <c r="AA23" s="309"/>
      <c r="AB23" s="309"/>
      <c r="AC23" s="309"/>
      <c r="AD23" s="309"/>
      <c r="AE23" s="309"/>
      <c r="AF23" s="309"/>
      <c r="AG23" s="309"/>
      <c r="AH23" s="309"/>
      <c r="AI23" s="309"/>
      <c r="AJ23" s="309"/>
      <c r="AK23" s="309"/>
      <c r="AL23" s="309"/>
      <c r="AM23" s="242" t="s">
        <v>967</v>
      </c>
    </row>
    <row r="24" spans="1:39" x14ac:dyDescent="0.25">
      <c r="A24" s="326"/>
      <c r="B24" s="310"/>
      <c r="C24" s="310"/>
      <c r="D24" s="310"/>
      <c r="E24" s="310"/>
      <c r="F24" s="310"/>
      <c r="G24" s="310"/>
      <c r="H24" s="310"/>
      <c r="I24" s="310"/>
      <c r="J24" s="310"/>
      <c r="K24" s="310"/>
      <c r="L24" s="310"/>
      <c r="M24" s="310"/>
      <c r="N24" s="310"/>
      <c r="O24" s="310"/>
      <c r="P24" s="310"/>
      <c r="Q24" s="310"/>
      <c r="R24" s="310"/>
      <c r="S24" s="310"/>
      <c r="T24" s="310"/>
      <c r="U24" s="310"/>
      <c r="V24" s="310"/>
      <c r="W24" s="310"/>
      <c r="X24" s="310"/>
      <c r="Y24" s="310"/>
      <c r="Z24" s="310"/>
      <c r="AA24" s="310"/>
      <c r="AB24" s="310"/>
      <c r="AC24" s="310"/>
      <c r="AD24" s="310"/>
      <c r="AE24" s="310"/>
      <c r="AF24" s="310"/>
      <c r="AG24" s="310"/>
      <c r="AH24" s="310"/>
      <c r="AI24" s="310"/>
      <c r="AJ24" s="310"/>
      <c r="AK24" s="310"/>
      <c r="AL24" s="310"/>
    </row>
    <row r="25" spans="1:39" x14ac:dyDescent="0.3">
      <c r="A25" s="337" t="s">
        <v>7</v>
      </c>
      <c r="B25" s="344" t="s">
        <v>65</v>
      </c>
      <c r="C25" s="344"/>
      <c r="D25" s="344"/>
      <c r="E25" s="344"/>
      <c r="F25" s="344"/>
      <c r="G25" s="344"/>
      <c r="H25" s="344"/>
      <c r="I25" s="344"/>
      <c r="J25" s="344"/>
      <c r="K25" s="344"/>
      <c r="L25" s="344"/>
      <c r="M25" s="344"/>
      <c r="N25" s="344"/>
      <c r="O25" s="344"/>
      <c r="P25" s="344"/>
      <c r="Q25" s="344"/>
      <c r="R25" s="344"/>
      <c r="S25" s="344"/>
      <c r="T25" s="344"/>
      <c r="U25" s="344"/>
      <c r="V25" s="344"/>
      <c r="W25" s="349" t="s">
        <v>224</v>
      </c>
      <c r="X25" s="344"/>
      <c r="Y25" s="344"/>
      <c r="Z25" s="344"/>
      <c r="AA25" s="344"/>
      <c r="AB25" s="344"/>
      <c r="AC25" s="344"/>
      <c r="AD25" s="344"/>
      <c r="AE25" s="344"/>
      <c r="AF25" s="344"/>
      <c r="AG25" s="344"/>
      <c r="AH25" s="344"/>
      <c r="AI25" s="344"/>
      <c r="AJ25" s="344"/>
      <c r="AK25" s="344"/>
      <c r="AL25" s="344"/>
      <c r="AM25" s="100" t="s">
        <v>968</v>
      </c>
    </row>
    <row r="26" spans="1:39" x14ac:dyDescent="0.3">
      <c r="A26" s="326"/>
      <c r="B26" s="600"/>
      <c r="C26" s="600"/>
      <c r="D26" s="600"/>
      <c r="E26" s="600"/>
      <c r="F26" s="600"/>
      <c r="G26" s="600"/>
      <c r="H26" s="600"/>
      <c r="I26" s="600"/>
      <c r="J26" s="600"/>
      <c r="K26" s="600"/>
      <c r="L26" s="600"/>
      <c r="M26" s="600"/>
      <c r="N26" s="600"/>
      <c r="O26" s="600"/>
      <c r="P26" s="600"/>
      <c r="Q26" s="600"/>
      <c r="R26" s="600"/>
      <c r="S26" s="600"/>
      <c r="T26" s="600"/>
      <c r="U26" s="600"/>
      <c r="V26" s="600"/>
      <c r="W26" s="352"/>
      <c r="X26" s="352"/>
      <c r="Y26" s="352"/>
      <c r="Z26" s="352"/>
      <c r="AA26" s="352"/>
      <c r="AB26" s="352"/>
      <c r="AC26" s="352"/>
      <c r="AD26" s="352"/>
      <c r="AE26" s="352"/>
      <c r="AF26" s="352"/>
      <c r="AG26" s="352"/>
      <c r="AH26" s="352"/>
      <c r="AI26" s="352"/>
      <c r="AJ26" s="352"/>
      <c r="AK26" s="352"/>
      <c r="AL26" s="352"/>
    </row>
    <row r="27" spans="1:39" x14ac:dyDescent="0.25">
      <c r="A27" s="337" t="s">
        <v>9</v>
      </c>
      <c r="B27" s="344" t="s">
        <v>66</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344"/>
    </row>
    <row r="28" spans="1:39" x14ac:dyDescent="0.25">
      <c r="A28" s="326"/>
      <c r="B28" s="344" t="s">
        <v>170</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606"/>
    </row>
    <row r="29" spans="1:39" x14ac:dyDescent="0.25">
      <c r="A29" s="326"/>
      <c r="B29" s="593"/>
      <c r="C29" s="594"/>
      <c r="D29" s="594"/>
      <c r="E29" s="594"/>
      <c r="F29" s="594"/>
      <c r="G29" s="594"/>
      <c r="H29" s="594"/>
      <c r="I29" s="594"/>
      <c r="J29" s="594"/>
      <c r="K29" s="594"/>
      <c r="L29" s="594"/>
      <c r="M29" s="594"/>
      <c r="N29" s="594"/>
      <c r="O29" s="594"/>
      <c r="P29" s="594"/>
      <c r="Q29" s="594"/>
      <c r="R29" s="594"/>
      <c r="S29" s="594"/>
      <c r="T29" s="594"/>
      <c r="U29" s="594"/>
      <c r="V29" s="594"/>
      <c r="W29" s="594"/>
      <c r="X29" s="594"/>
      <c r="Y29" s="594"/>
      <c r="Z29" s="594"/>
      <c r="AA29" s="594"/>
      <c r="AB29" s="594"/>
      <c r="AC29" s="594"/>
      <c r="AD29" s="594"/>
      <c r="AE29" s="594"/>
      <c r="AF29" s="594"/>
      <c r="AG29" s="594"/>
      <c r="AH29" s="594"/>
      <c r="AI29" s="594"/>
      <c r="AJ29" s="594"/>
      <c r="AK29" s="594"/>
      <c r="AL29" s="595"/>
    </row>
    <row r="30" spans="1:39" x14ac:dyDescent="0.25">
      <c r="A30" s="326"/>
      <c r="B30" s="587" t="s">
        <v>211</v>
      </c>
      <c r="C30" s="588"/>
      <c r="D30" s="588"/>
      <c r="E30" s="588"/>
      <c r="F30" s="588"/>
      <c r="G30" s="588"/>
      <c r="H30" s="588"/>
      <c r="I30" s="588"/>
      <c r="J30" s="588"/>
      <c r="K30" s="588"/>
      <c r="L30" s="588"/>
      <c r="M30" s="588"/>
      <c r="N30" s="588"/>
      <c r="O30" s="588"/>
      <c r="P30" s="588"/>
      <c r="Q30" s="588"/>
      <c r="R30" s="588"/>
      <c r="S30" s="588"/>
      <c r="T30" s="588"/>
      <c r="U30" s="588"/>
      <c r="V30" s="588"/>
      <c r="W30" s="588"/>
      <c r="X30" s="588"/>
      <c r="Y30" s="588"/>
      <c r="Z30" s="588"/>
      <c r="AA30" s="588"/>
      <c r="AB30" s="588"/>
      <c r="AC30" s="588"/>
      <c r="AD30" s="588"/>
      <c r="AE30" s="588"/>
      <c r="AF30" s="588"/>
      <c r="AG30" s="588"/>
      <c r="AH30" s="588"/>
      <c r="AI30" s="588"/>
      <c r="AJ30" s="588"/>
      <c r="AK30" s="588"/>
      <c r="AL30" s="589"/>
    </row>
    <row r="31" spans="1:39" x14ac:dyDescent="0.25">
      <c r="A31" s="326"/>
      <c r="B31" s="593"/>
      <c r="C31" s="594"/>
      <c r="D31" s="594"/>
      <c r="E31" s="594"/>
      <c r="F31" s="594"/>
      <c r="G31" s="594"/>
      <c r="H31" s="594"/>
      <c r="I31" s="594"/>
      <c r="J31" s="594"/>
      <c r="K31" s="594"/>
      <c r="L31" s="594"/>
      <c r="M31" s="594"/>
      <c r="N31" s="594"/>
      <c r="O31" s="594"/>
      <c r="P31" s="594"/>
      <c r="Q31" s="594"/>
      <c r="R31" s="594"/>
      <c r="S31" s="594"/>
      <c r="T31" s="594"/>
      <c r="U31" s="594"/>
      <c r="V31" s="594"/>
      <c r="W31" s="594"/>
      <c r="X31" s="594"/>
      <c r="Y31" s="594"/>
      <c r="Z31" s="594"/>
      <c r="AA31" s="594"/>
      <c r="AB31" s="594"/>
      <c r="AC31" s="594"/>
      <c r="AD31" s="594"/>
      <c r="AE31" s="594"/>
      <c r="AF31" s="594"/>
      <c r="AG31" s="594"/>
      <c r="AH31" s="594"/>
      <c r="AI31" s="594"/>
      <c r="AJ31" s="594"/>
      <c r="AK31" s="594"/>
      <c r="AL31" s="595"/>
    </row>
    <row r="32" spans="1:39" x14ac:dyDescent="0.25">
      <c r="A32" s="326"/>
      <c r="B32" s="588" t="s">
        <v>171</v>
      </c>
      <c r="C32" s="588"/>
      <c r="D32" s="588"/>
      <c r="E32" s="588"/>
      <c r="F32" s="588"/>
      <c r="G32" s="588"/>
      <c r="H32" s="588"/>
      <c r="I32" s="588"/>
      <c r="J32" s="588"/>
      <c r="K32" s="588"/>
      <c r="L32" s="588"/>
      <c r="M32" s="588"/>
      <c r="N32" s="588"/>
      <c r="O32" s="588"/>
      <c r="P32" s="588"/>
      <c r="Q32" s="588"/>
      <c r="R32" s="588"/>
      <c r="S32" s="588"/>
      <c r="T32" s="588"/>
      <c r="U32" s="588"/>
      <c r="V32" s="588"/>
      <c r="W32" s="588"/>
      <c r="X32" s="588"/>
      <c r="Y32" s="588"/>
      <c r="Z32" s="588"/>
      <c r="AA32" s="588"/>
      <c r="AB32" s="588"/>
      <c r="AC32" s="588"/>
      <c r="AD32" s="588"/>
      <c r="AE32" s="588"/>
      <c r="AF32" s="588"/>
      <c r="AG32" s="588"/>
      <c r="AH32" s="588"/>
      <c r="AI32" s="588"/>
      <c r="AJ32" s="588"/>
      <c r="AK32" s="588"/>
      <c r="AL32" s="589"/>
    </row>
    <row r="33" spans="1:39" x14ac:dyDescent="0.25">
      <c r="A33" s="326"/>
      <c r="B33" s="593"/>
      <c r="C33" s="594"/>
      <c r="D33" s="594"/>
      <c r="E33" s="594"/>
      <c r="F33" s="594"/>
      <c r="G33" s="594"/>
      <c r="H33" s="594"/>
      <c r="I33" s="594"/>
      <c r="J33" s="594"/>
      <c r="K33" s="594"/>
      <c r="L33" s="594"/>
      <c r="M33" s="594"/>
      <c r="N33" s="594"/>
      <c r="O33" s="594"/>
      <c r="P33" s="594"/>
      <c r="Q33" s="594"/>
      <c r="R33" s="594"/>
      <c r="S33" s="594"/>
      <c r="T33" s="594"/>
      <c r="U33" s="594"/>
      <c r="V33" s="594"/>
      <c r="W33" s="594"/>
      <c r="X33" s="594"/>
      <c r="Y33" s="594"/>
      <c r="Z33" s="594"/>
      <c r="AA33" s="594"/>
      <c r="AB33" s="594"/>
      <c r="AC33" s="594"/>
      <c r="AD33" s="594"/>
      <c r="AE33" s="594"/>
      <c r="AF33" s="594"/>
      <c r="AG33" s="594"/>
      <c r="AH33" s="594"/>
      <c r="AI33" s="594"/>
      <c r="AJ33" s="594"/>
      <c r="AK33" s="594"/>
      <c r="AL33" s="595"/>
      <c r="AM33" s="101" t="s">
        <v>174</v>
      </c>
    </row>
    <row r="34" spans="1:39" x14ac:dyDescent="0.25">
      <c r="A34" s="326"/>
      <c r="B34" s="587" t="s">
        <v>212</v>
      </c>
      <c r="C34" s="588"/>
      <c r="D34" s="588"/>
      <c r="E34" s="588"/>
      <c r="F34" s="588"/>
      <c r="G34" s="588"/>
      <c r="H34" s="588"/>
      <c r="I34" s="588"/>
      <c r="J34" s="588"/>
      <c r="K34" s="588"/>
      <c r="L34" s="588"/>
      <c r="M34" s="588"/>
      <c r="N34" s="588"/>
      <c r="O34" s="588"/>
      <c r="P34" s="588"/>
      <c r="Q34" s="588"/>
      <c r="R34" s="588"/>
      <c r="S34" s="588"/>
      <c r="T34" s="588"/>
      <c r="U34" s="588"/>
      <c r="V34" s="588"/>
      <c r="W34" s="588"/>
      <c r="X34" s="588"/>
      <c r="Y34" s="588"/>
      <c r="Z34" s="588"/>
      <c r="AA34" s="588"/>
      <c r="AB34" s="588"/>
      <c r="AC34" s="588"/>
      <c r="AD34" s="588"/>
      <c r="AE34" s="588"/>
      <c r="AF34" s="588"/>
      <c r="AG34" s="588"/>
      <c r="AH34" s="588"/>
      <c r="AI34" s="588"/>
      <c r="AJ34" s="588"/>
      <c r="AK34" s="588"/>
      <c r="AL34" s="588"/>
    </row>
    <row r="35" spans="1:39" x14ac:dyDescent="0.25">
      <c r="A35" s="326"/>
      <c r="B35" s="593"/>
      <c r="C35" s="594"/>
      <c r="D35" s="594"/>
      <c r="E35" s="594"/>
      <c r="F35" s="594"/>
      <c r="G35" s="594"/>
      <c r="H35" s="594"/>
      <c r="I35" s="594"/>
      <c r="J35" s="594"/>
      <c r="K35" s="594"/>
      <c r="L35" s="594"/>
      <c r="M35" s="594"/>
      <c r="N35" s="594"/>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5"/>
      <c r="AM35" s="101" t="s">
        <v>174</v>
      </c>
    </row>
    <row r="36" spans="1:39" ht="14.7" customHeight="1" x14ac:dyDescent="0.25">
      <c r="A36" s="337" t="s">
        <v>882</v>
      </c>
      <c r="B36" s="614" t="s">
        <v>676</v>
      </c>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c r="AA36" s="289"/>
      <c r="AB36" s="289"/>
      <c r="AC36" s="289"/>
      <c r="AD36" s="289"/>
      <c r="AE36" s="289"/>
      <c r="AF36" s="289"/>
      <c r="AG36" s="289"/>
      <c r="AH36" s="289"/>
      <c r="AI36" s="289"/>
      <c r="AJ36" s="289"/>
      <c r="AK36" s="289"/>
      <c r="AL36" s="289"/>
    </row>
    <row r="37" spans="1:39" x14ac:dyDescent="0.25">
      <c r="A37" s="326"/>
      <c r="B37" s="615"/>
      <c r="C37" s="616"/>
      <c r="D37" s="616"/>
      <c r="E37" s="616"/>
      <c r="F37" s="616"/>
      <c r="G37" s="616"/>
      <c r="H37" s="616"/>
      <c r="I37" s="616"/>
      <c r="J37" s="616"/>
      <c r="K37" s="616"/>
      <c r="L37" s="616"/>
      <c r="M37" s="616"/>
      <c r="N37" s="616"/>
      <c r="O37" s="616"/>
      <c r="P37" s="616"/>
      <c r="Q37" s="616"/>
      <c r="R37" s="616"/>
      <c r="S37" s="616"/>
      <c r="T37" s="616"/>
      <c r="U37" s="616"/>
      <c r="V37" s="616"/>
      <c r="W37" s="616"/>
      <c r="X37" s="616"/>
      <c r="Y37" s="616"/>
      <c r="Z37" s="616"/>
      <c r="AA37" s="616"/>
      <c r="AB37" s="616"/>
      <c r="AC37" s="616"/>
      <c r="AD37" s="616"/>
      <c r="AE37" s="616"/>
      <c r="AF37" s="616"/>
      <c r="AG37" s="616"/>
      <c r="AH37" s="616"/>
      <c r="AI37" s="616"/>
      <c r="AJ37" s="616"/>
      <c r="AK37" s="616"/>
      <c r="AL37" s="616"/>
    </row>
    <row r="38" spans="1:39" ht="54.45" customHeight="1" x14ac:dyDescent="0.25">
      <c r="A38" s="326"/>
      <c r="B38" s="599" t="s">
        <v>677</v>
      </c>
      <c r="C38" s="601"/>
      <c r="D38" s="601"/>
      <c r="E38" s="601"/>
      <c r="F38" s="601"/>
      <c r="G38" s="601"/>
      <c r="H38" s="601"/>
      <c r="I38" s="601"/>
      <c r="J38" s="601"/>
      <c r="K38" s="601"/>
      <c r="L38" s="601"/>
      <c r="M38" s="601"/>
      <c r="N38" s="601"/>
      <c r="O38" s="601"/>
      <c r="P38" s="601"/>
      <c r="Q38" s="601"/>
      <c r="R38" s="601"/>
      <c r="S38" s="601"/>
      <c r="T38" s="601"/>
      <c r="U38" s="601"/>
      <c r="V38" s="601"/>
      <c r="W38" s="601"/>
      <c r="X38" s="601"/>
      <c r="Y38" s="602" t="s">
        <v>1068</v>
      </c>
      <c r="Z38" s="603"/>
      <c r="AA38" s="603"/>
      <c r="AB38" s="603"/>
      <c r="AC38" s="603"/>
      <c r="AD38" s="603"/>
      <c r="AE38" s="603"/>
      <c r="AF38" s="603"/>
      <c r="AG38" s="603"/>
      <c r="AH38" s="603"/>
      <c r="AI38" s="603"/>
      <c r="AJ38" s="603"/>
      <c r="AK38" s="603"/>
      <c r="AL38" s="603"/>
    </row>
    <row r="39" spans="1:39" x14ac:dyDescent="0.25">
      <c r="A39" s="326"/>
      <c r="B39" s="604"/>
      <c r="C39" s="605"/>
      <c r="D39" s="605"/>
      <c r="E39" s="605"/>
      <c r="F39" s="605"/>
      <c r="G39" s="605"/>
      <c r="H39" s="605"/>
      <c r="I39" s="605"/>
      <c r="J39" s="605"/>
      <c r="K39" s="605"/>
      <c r="L39" s="605"/>
      <c r="M39" s="605"/>
      <c r="N39" s="605"/>
      <c r="O39" s="605"/>
      <c r="P39" s="605"/>
      <c r="Q39" s="605"/>
      <c r="R39" s="605"/>
      <c r="S39" s="605"/>
      <c r="T39" s="605"/>
      <c r="U39" s="605"/>
      <c r="V39" s="605"/>
      <c r="W39" s="605"/>
      <c r="X39" s="605"/>
      <c r="Y39" s="598"/>
      <c r="Z39" s="598"/>
      <c r="AA39" s="598"/>
      <c r="AB39" s="598"/>
      <c r="AC39" s="598"/>
      <c r="AD39" s="598"/>
      <c r="AE39" s="598"/>
      <c r="AF39" s="598"/>
      <c r="AG39" s="598"/>
      <c r="AH39" s="598"/>
      <c r="AI39" s="598"/>
      <c r="AJ39" s="598"/>
      <c r="AK39" s="598"/>
      <c r="AL39" s="598"/>
    </row>
    <row r="40" spans="1:39" x14ac:dyDescent="0.25">
      <c r="A40" s="326"/>
      <c r="B40" s="599" t="s">
        <v>678</v>
      </c>
      <c r="C40" s="344"/>
      <c r="D40" s="344"/>
      <c r="E40" s="344"/>
      <c r="F40" s="344"/>
      <c r="G40" s="344"/>
      <c r="H40" s="344"/>
      <c r="I40" s="344"/>
      <c r="J40" s="344"/>
      <c r="K40" s="344"/>
      <c r="L40" s="344"/>
      <c r="M40" s="344"/>
      <c r="N40" s="344"/>
      <c r="O40" s="344"/>
      <c r="P40" s="344"/>
      <c r="Q40" s="344"/>
      <c r="R40" s="344"/>
      <c r="S40" s="344"/>
      <c r="T40" s="344"/>
      <c r="U40" s="344"/>
      <c r="V40" s="344"/>
      <c r="W40" s="599" t="s">
        <v>679</v>
      </c>
      <c r="X40" s="344"/>
      <c r="Y40" s="344"/>
      <c r="Z40" s="344"/>
      <c r="AA40" s="344"/>
      <c r="AB40" s="344"/>
      <c r="AC40" s="344"/>
      <c r="AD40" s="344"/>
      <c r="AE40" s="344"/>
      <c r="AF40" s="344"/>
      <c r="AG40" s="344"/>
      <c r="AH40" s="344"/>
      <c r="AI40" s="344"/>
      <c r="AJ40" s="344"/>
      <c r="AK40" s="344"/>
      <c r="AL40" s="344"/>
    </row>
    <row r="41" spans="1:39" x14ac:dyDescent="0.3">
      <c r="A41" s="326"/>
      <c r="B41" s="350"/>
      <c r="C41" s="350"/>
      <c r="D41" s="350"/>
      <c r="E41" s="350"/>
      <c r="F41" s="350"/>
      <c r="G41" s="350"/>
      <c r="H41" s="350"/>
      <c r="I41" s="350"/>
      <c r="J41" s="350"/>
      <c r="K41" s="350"/>
      <c r="L41" s="350"/>
      <c r="M41" s="350"/>
      <c r="N41" s="350"/>
      <c r="O41" s="350"/>
      <c r="P41" s="350"/>
      <c r="Q41" s="350"/>
      <c r="R41" s="350"/>
      <c r="S41" s="350"/>
      <c r="T41" s="350"/>
      <c r="U41" s="350"/>
      <c r="V41" s="350"/>
      <c r="W41" s="327"/>
      <c r="X41" s="327"/>
      <c r="Y41" s="327"/>
      <c r="Z41" s="327"/>
      <c r="AA41" s="327"/>
      <c r="AB41" s="327"/>
      <c r="AC41" s="327"/>
      <c r="AD41" s="327"/>
      <c r="AE41" s="327"/>
      <c r="AF41" s="327"/>
      <c r="AG41" s="327"/>
      <c r="AH41" s="327"/>
      <c r="AI41" s="327"/>
      <c r="AJ41" s="327"/>
      <c r="AK41" s="327"/>
      <c r="AL41" s="327"/>
    </row>
    <row r="42" spans="1:39" x14ac:dyDescent="0.3">
      <c r="A42" s="326"/>
      <c r="B42" s="338" t="s">
        <v>680</v>
      </c>
      <c r="C42" s="338"/>
      <c r="D42" s="338"/>
      <c r="E42" s="338"/>
      <c r="F42" s="338"/>
      <c r="G42" s="338"/>
      <c r="H42" s="338"/>
      <c r="I42" s="338"/>
      <c r="J42" s="338"/>
      <c r="K42" s="338"/>
      <c r="L42" s="338"/>
      <c r="M42" s="338"/>
      <c r="N42" s="338"/>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100" t="s">
        <v>971</v>
      </c>
    </row>
    <row r="43" spans="1:39" x14ac:dyDescent="0.3">
      <c r="A43" s="326"/>
      <c r="B43" s="327"/>
      <c r="C43" s="327"/>
      <c r="D43" s="327"/>
      <c r="E43" s="327"/>
      <c r="F43" s="327"/>
      <c r="G43" s="327"/>
      <c r="H43" s="327"/>
      <c r="I43" s="327"/>
      <c r="J43" s="327"/>
      <c r="K43" s="327"/>
      <c r="L43" s="327"/>
      <c r="M43" s="327"/>
      <c r="N43" s="327"/>
      <c r="O43" s="327"/>
      <c r="P43" s="327"/>
      <c r="Q43" s="327"/>
      <c r="R43" s="327"/>
      <c r="S43" s="327"/>
      <c r="T43" s="327"/>
      <c r="U43" s="327"/>
      <c r="V43" s="327"/>
      <c r="W43" s="327"/>
      <c r="X43" s="327"/>
      <c r="Y43" s="327"/>
      <c r="Z43" s="327"/>
      <c r="AA43" s="327"/>
      <c r="AB43" s="327"/>
      <c r="AC43" s="327"/>
      <c r="AD43" s="327"/>
      <c r="AE43" s="327"/>
      <c r="AF43" s="327"/>
      <c r="AG43" s="327"/>
      <c r="AH43" s="327"/>
      <c r="AI43" s="327"/>
      <c r="AJ43" s="327"/>
      <c r="AK43" s="327"/>
      <c r="AL43" s="327"/>
    </row>
    <row r="44" spans="1:39" ht="30" customHeight="1" x14ac:dyDescent="0.25">
      <c r="A44" s="337" t="s">
        <v>640</v>
      </c>
      <c r="B44" s="342" t="s">
        <v>754</v>
      </c>
      <c r="C44" s="342"/>
      <c r="D44" s="342"/>
      <c r="E44" s="342"/>
      <c r="F44" s="342"/>
      <c r="G44" s="342"/>
      <c r="H44" s="342"/>
      <c r="I44" s="342"/>
      <c r="J44" s="342"/>
      <c r="K44" s="342"/>
      <c r="L44" s="342"/>
      <c r="M44" s="342"/>
      <c r="N44" s="342"/>
      <c r="O44" s="342"/>
      <c r="P44" s="342"/>
      <c r="Q44" s="342"/>
      <c r="R44" s="342"/>
      <c r="S44" s="342"/>
      <c r="T44" s="342"/>
      <c r="U44" s="342"/>
      <c r="V44" s="342"/>
      <c r="W44" s="342"/>
      <c r="X44" s="342"/>
      <c r="Y44" s="342"/>
      <c r="Z44" s="342"/>
      <c r="AA44" s="342"/>
      <c r="AB44" s="342"/>
      <c r="AC44" s="342"/>
      <c r="AD44" s="342"/>
      <c r="AE44" s="342"/>
      <c r="AF44" s="342"/>
      <c r="AG44" s="342"/>
      <c r="AH44" s="342"/>
      <c r="AI44" s="342"/>
      <c r="AJ44" s="342"/>
      <c r="AK44" s="342"/>
      <c r="AL44" s="342"/>
    </row>
    <row r="45" spans="1:39" x14ac:dyDescent="0.3">
      <c r="A45" s="326"/>
      <c r="B45" s="352"/>
      <c r="C45" s="352"/>
      <c r="D45" s="352"/>
      <c r="E45" s="352"/>
      <c r="F45" s="352"/>
      <c r="G45" s="352"/>
      <c r="H45" s="352"/>
      <c r="I45" s="352"/>
      <c r="J45" s="352"/>
      <c r="K45" s="352"/>
      <c r="L45" s="352"/>
      <c r="M45" s="352"/>
      <c r="N45" s="352"/>
      <c r="O45" s="352"/>
      <c r="P45" s="352"/>
      <c r="Q45" s="352"/>
      <c r="R45" s="352"/>
      <c r="S45" s="352"/>
      <c r="T45" s="348" t="str" cm="1">
        <f t="array" ref="T45">LEFT(B45,2)&amp;" "&amp;_xlfn.TEXTJOIN(" ",,MID(B45,{3,7,11,15,19,23},4))</f>
        <v xml:space="preserve"> </v>
      </c>
      <c r="U45" s="348"/>
      <c r="V45" s="348"/>
      <c r="W45" s="348"/>
      <c r="X45" s="348"/>
      <c r="Y45" s="348"/>
      <c r="Z45" s="348"/>
      <c r="AA45" s="348"/>
      <c r="AB45" s="348"/>
      <c r="AC45" s="348"/>
      <c r="AD45" s="348"/>
      <c r="AE45" s="348"/>
      <c r="AF45" s="348"/>
      <c r="AG45" s="348"/>
      <c r="AH45" s="348"/>
      <c r="AI45" s="348"/>
      <c r="AJ45" s="348"/>
      <c r="AK45" s="348"/>
      <c r="AL45" s="348"/>
    </row>
    <row r="46" spans="1:39" x14ac:dyDescent="0.25">
      <c r="A46" s="149" t="s">
        <v>67</v>
      </c>
      <c r="B46" s="351" t="s">
        <v>68</v>
      </c>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c r="AA46" s="351"/>
      <c r="AB46" s="351"/>
      <c r="AC46" s="351"/>
      <c r="AD46" s="351"/>
      <c r="AE46" s="351"/>
      <c r="AF46" s="351"/>
      <c r="AG46" s="351"/>
      <c r="AH46" s="351"/>
      <c r="AI46" s="351"/>
      <c r="AJ46" s="351"/>
      <c r="AK46" s="351"/>
      <c r="AL46" s="351"/>
    </row>
    <row r="47" spans="1:39" x14ac:dyDescent="0.25">
      <c r="A47" s="326" t="s">
        <v>1</v>
      </c>
      <c r="B47" s="344" t="s">
        <v>85</v>
      </c>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344"/>
      <c r="AH47" s="344"/>
      <c r="AI47" s="344"/>
      <c r="AJ47" s="344"/>
      <c r="AK47" s="344"/>
      <c r="AL47" s="344"/>
    </row>
    <row r="48" spans="1:39" x14ac:dyDescent="0.3">
      <c r="A48" s="326"/>
      <c r="B48" s="655" t="e">
        <f>T162</f>
        <v>#DIV/0!</v>
      </c>
      <c r="C48" s="655"/>
      <c r="D48" s="655"/>
      <c r="E48" s="655"/>
      <c r="F48" s="655"/>
      <c r="G48" s="655"/>
      <c r="H48" s="655"/>
      <c r="I48" s="655"/>
      <c r="J48" s="655"/>
      <c r="K48" s="655"/>
      <c r="L48" s="655"/>
      <c r="M48" s="655"/>
      <c r="N48" s="655"/>
      <c r="O48" s="655"/>
      <c r="P48" s="655"/>
      <c r="Q48" s="655"/>
      <c r="R48" s="655"/>
      <c r="S48" s="655"/>
      <c r="T48" s="655"/>
      <c r="U48" s="655"/>
      <c r="V48" s="655"/>
      <c r="W48" s="655"/>
      <c r="X48" s="655"/>
      <c r="Y48" s="655"/>
      <c r="Z48" s="655"/>
      <c r="AA48" s="655"/>
      <c r="AB48" s="655"/>
      <c r="AC48" s="655"/>
      <c r="AD48" s="655"/>
      <c r="AE48" s="655"/>
      <c r="AF48" s="655"/>
      <c r="AG48" s="655"/>
      <c r="AH48" s="655"/>
      <c r="AI48" s="655"/>
      <c r="AJ48" s="655"/>
      <c r="AK48" s="655"/>
      <c r="AL48" s="655"/>
      <c r="AM48" s="118" t="s">
        <v>213</v>
      </c>
    </row>
    <row r="49" spans="1:41" ht="61.2" customHeight="1" x14ac:dyDescent="0.25">
      <c r="A49" s="326" t="s">
        <v>4</v>
      </c>
      <c r="B49" s="607" t="s">
        <v>1151</v>
      </c>
      <c r="C49" s="608"/>
      <c r="D49" s="608"/>
      <c r="E49" s="608"/>
      <c r="F49" s="608"/>
      <c r="G49" s="608"/>
      <c r="H49" s="608"/>
      <c r="I49" s="608"/>
      <c r="J49" s="608"/>
      <c r="K49" s="608"/>
      <c r="L49" s="608"/>
      <c r="M49" s="608"/>
      <c r="N49" s="608"/>
      <c r="O49" s="608"/>
      <c r="P49" s="608"/>
      <c r="Q49" s="608"/>
      <c r="R49" s="608"/>
      <c r="S49" s="608"/>
      <c r="T49" s="608"/>
      <c r="U49" s="608"/>
      <c r="V49" s="608"/>
      <c r="W49" s="608"/>
      <c r="X49" s="608"/>
      <c r="Y49" s="608"/>
      <c r="Z49" s="608"/>
      <c r="AA49" s="608"/>
      <c r="AB49" s="608"/>
      <c r="AC49" s="608"/>
      <c r="AD49" s="608"/>
      <c r="AE49" s="608"/>
      <c r="AF49" s="608"/>
      <c r="AG49" s="608"/>
      <c r="AH49" s="608"/>
      <c r="AI49" s="608"/>
      <c r="AJ49" s="608"/>
      <c r="AK49" s="608"/>
      <c r="AL49" s="608"/>
    </row>
    <row r="50" spans="1:41" x14ac:dyDescent="0.25">
      <c r="A50" s="326"/>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101" t="s">
        <v>633</v>
      </c>
    </row>
    <row r="51" spans="1:41" x14ac:dyDescent="0.25">
      <c r="A51" s="326" t="s">
        <v>6</v>
      </c>
      <c r="B51" s="444" t="s">
        <v>885</v>
      </c>
      <c r="C51" s="444"/>
      <c r="D51" s="444"/>
      <c r="E51" s="444"/>
      <c r="F51" s="444"/>
      <c r="G51" s="444"/>
      <c r="H51" s="444"/>
      <c r="I51" s="444"/>
      <c r="J51" s="444"/>
      <c r="K51" s="444"/>
      <c r="L51" s="444"/>
      <c r="M51" s="444"/>
      <c r="N51" s="444"/>
      <c r="O51" s="444"/>
      <c r="P51" s="444"/>
      <c r="Q51" s="444"/>
      <c r="R51" s="444"/>
      <c r="S51" s="444"/>
      <c r="T51" s="444"/>
      <c r="U51" s="444"/>
      <c r="V51" s="444"/>
      <c r="W51" s="444"/>
      <c r="X51" s="444"/>
      <c r="Y51" s="444"/>
      <c r="Z51" s="444"/>
      <c r="AA51" s="444"/>
      <c r="AB51" s="444"/>
      <c r="AC51" s="444"/>
      <c r="AD51" s="444"/>
      <c r="AE51" s="444"/>
      <c r="AF51" s="444"/>
      <c r="AG51" s="444"/>
      <c r="AH51" s="444"/>
      <c r="AI51" s="444"/>
      <c r="AJ51" s="444"/>
      <c r="AK51" s="444"/>
      <c r="AL51" s="444"/>
    </row>
    <row r="52" spans="1:41" x14ac:dyDescent="0.25">
      <c r="A52" s="326"/>
      <c r="B52" s="347"/>
      <c r="C52" s="347"/>
      <c r="D52" s="347"/>
      <c r="E52" s="347"/>
      <c r="F52" s="347"/>
      <c r="G52" s="347"/>
      <c r="H52" s="347"/>
      <c r="I52" s="347"/>
      <c r="J52" s="347"/>
      <c r="K52" s="347"/>
      <c r="L52" s="347"/>
      <c r="M52" s="347"/>
      <c r="N52" s="347"/>
      <c r="O52" s="347"/>
      <c r="P52" s="347"/>
      <c r="Q52" s="347"/>
      <c r="R52" s="347"/>
      <c r="S52" s="347"/>
      <c r="T52" s="347"/>
      <c r="U52" s="347"/>
      <c r="V52" s="347"/>
      <c r="W52" s="347"/>
      <c r="X52" s="347"/>
      <c r="Y52" s="347"/>
      <c r="Z52" s="347"/>
      <c r="AA52" s="347"/>
      <c r="AB52" s="347"/>
      <c r="AC52" s="347"/>
      <c r="AD52" s="347"/>
      <c r="AE52" s="347"/>
      <c r="AF52" s="347"/>
      <c r="AG52" s="347"/>
      <c r="AH52" s="347"/>
      <c r="AI52" s="347"/>
      <c r="AJ52" s="347"/>
      <c r="AK52" s="347"/>
      <c r="AL52" s="347"/>
      <c r="AM52" s="101" t="s">
        <v>209</v>
      </c>
    </row>
    <row r="53" spans="1:41" x14ac:dyDescent="0.25">
      <c r="A53" s="345" t="s">
        <v>9</v>
      </c>
      <c r="B53" s="419" t="s">
        <v>223</v>
      </c>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344"/>
      <c r="AH53" s="344"/>
      <c r="AI53" s="344"/>
      <c r="AJ53" s="344"/>
      <c r="AK53" s="344"/>
      <c r="AL53" s="344"/>
      <c r="AM53" s="590" t="s">
        <v>140</v>
      </c>
      <c r="AN53" s="590"/>
      <c r="AO53" s="590"/>
    </row>
    <row r="54" spans="1:41" ht="14.7" customHeight="1" x14ac:dyDescent="0.25">
      <c r="A54" s="344"/>
      <c r="B54" s="577" t="s">
        <v>700</v>
      </c>
      <c r="C54" s="577"/>
      <c r="D54" s="577"/>
      <c r="E54" s="577"/>
      <c r="F54" s="577"/>
      <c r="G54" s="577"/>
      <c r="H54" s="577"/>
      <c r="I54" s="577"/>
      <c r="J54" s="577"/>
      <c r="K54" s="577"/>
      <c r="L54" s="577"/>
      <c r="M54" s="577"/>
      <c r="N54" s="577"/>
      <c r="O54" s="577"/>
      <c r="P54" s="577"/>
      <c r="Q54" s="577"/>
      <c r="R54" s="577"/>
      <c r="S54" s="577"/>
      <c r="T54" s="577"/>
      <c r="U54" s="577"/>
      <c r="V54" s="577"/>
      <c r="W54" s="577"/>
      <c r="X54" s="577"/>
      <c r="Y54" s="578"/>
      <c r="Z54" s="426" t="s">
        <v>702</v>
      </c>
      <c r="AA54" s="427"/>
      <c r="AB54" s="427"/>
      <c r="AC54" s="427"/>
      <c r="AD54" s="427"/>
      <c r="AE54" s="427"/>
      <c r="AF54" s="427"/>
      <c r="AG54" s="427"/>
      <c r="AH54" s="427"/>
      <c r="AI54" s="427"/>
      <c r="AJ54" s="427"/>
      <c r="AK54" s="426" t="s">
        <v>701</v>
      </c>
      <c r="AL54" s="427"/>
      <c r="AM54" s="101" t="s">
        <v>637</v>
      </c>
    </row>
    <row r="55" spans="1:41" ht="14.7" customHeight="1" x14ac:dyDescent="0.3">
      <c r="A55" s="344"/>
      <c r="B55" s="656" t="s">
        <v>226</v>
      </c>
      <c r="C55" s="657"/>
      <c r="D55" s="657"/>
      <c r="E55" s="657"/>
      <c r="F55" s="657"/>
      <c r="G55" s="657"/>
      <c r="H55" s="657"/>
      <c r="I55" s="657"/>
      <c r="J55" s="657"/>
      <c r="K55" s="657"/>
      <c r="L55" s="657"/>
      <c r="M55" s="657"/>
      <c r="N55" s="657"/>
      <c r="O55" s="657"/>
      <c r="P55" s="657"/>
      <c r="Q55" s="657"/>
      <c r="R55" s="657"/>
      <c r="S55" s="657"/>
      <c r="T55" s="657"/>
      <c r="U55" s="657"/>
      <c r="V55" s="657"/>
      <c r="W55" s="657"/>
      <c r="X55" s="657"/>
      <c r="Y55" s="658"/>
      <c r="Z55" s="403"/>
      <c r="AA55" s="403"/>
      <c r="AB55" s="403"/>
      <c r="AC55" s="403"/>
      <c r="AD55" s="403"/>
      <c r="AE55" s="403"/>
      <c r="AF55" s="403"/>
      <c r="AG55" s="403"/>
      <c r="AH55" s="403"/>
      <c r="AI55" s="403"/>
      <c r="AJ55" s="403"/>
      <c r="AK55" s="582" t="e">
        <f>Z55/Z$60</f>
        <v>#DIV/0!</v>
      </c>
      <c r="AL55" s="583"/>
    </row>
    <row r="56" spans="1:41" ht="11.7" customHeight="1" x14ac:dyDescent="0.3">
      <c r="A56" s="344"/>
      <c r="B56" s="656" t="s">
        <v>222</v>
      </c>
      <c r="C56" s="657"/>
      <c r="D56" s="657"/>
      <c r="E56" s="657"/>
      <c r="F56" s="657"/>
      <c r="G56" s="657"/>
      <c r="H56" s="657"/>
      <c r="I56" s="657"/>
      <c r="J56" s="657"/>
      <c r="K56" s="657"/>
      <c r="L56" s="657"/>
      <c r="M56" s="657"/>
      <c r="N56" s="657"/>
      <c r="O56" s="657"/>
      <c r="P56" s="657"/>
      <c r="Q56" s="657"/>
      <c r="R56" s="657"/>
      <c r="S56" s="657"/>
      <c r="T56" s="657"/>
      <c r="U56" s="657"/>
      <c r="V56" s="657"/>
      <c r="W56" s="657"/>
      <c r="X56" s="657"/>
      <c r="Y56" s="658"/>
      <c r="Z56" s="403"/>
      <c r="AA56" s="403"/>
      <c r="AB56" s="403"/>
      <c r="AC56" s="403"/>
      <c r="AD56" s="403"/>
      <c r="AE56" s="403"/>
      <c r="AF56" s="403"/>
      <c r="AG56" s="403"/>
      <c r="AH56" s="403"/>
      <c r="AI56" s="403"/>
      <c r="AJ56" s="403"/>
      <c r="AK56" s="582" t="e">
        <f>Z56/Z$60</f>
        <v>#DIV/0!</v>
      </c>
      <c r="AL56" s="583"/>
      <c r="AM56" s="60"/>
    </row>
    <row r="57" spans="1:41" ht="15.45" customHeight="1" x14ac:dyDescent="0.3">
      <c r="A57" s="344"/>
      <c r="B57" s="656" t="s">
        <v>88</v>
      </c>
      <c r="C57" s="657"/>
      <c r="D57" s="657"/>
      <c r="E57" s="657"/>
      <c r="F57" s="657"/>
      <c r="G57" s="657"/>
      <c r="H57" s="657"/>
      <c r="I57" s="657"/>
      <c r="J57" s="657"/>
      <c r="K57" s="657"/>
      <c r="L57" s="657"/>
      <c r="M57" s="657"/>
      <c r="N57" s="657"/>
      <c r="O57" s="657"/>
      <c r="P57" s="657"/>
      <c r="Q57" s="657"/>
      <c r="R57" s="657"/>
      <c r="S57" s="657"/>
      <c r="T57" s="657"/>
      <c r="U57" s="657"/>
      <c r="V57" s="657"/>
      <c r="W57" s="657"/>
      <c r="X57" s="657"/>
      <c r="Y57" s="658"/>
      <c r="Z57" s="432" t="e">
        <f>B48</f>
        <v>#DIV/0!</v>
      </c>
      <c r="AA57" s="341"/>
      <c r="AB57" s="341"/>
      <c r="AC57" s="341"/>
      <c r="AD57" s="341"/>
      <c r="AE57" s="341"/>
      <c r="AF57" s="341"/>
      <c r="AG57" s="341"/>
      <c r="AH57" s="341"/>
      <c r="AI57" s="341"/>
      <c r="AJ57" s="341"/>
      <c r="AK57" s="582" t="e">
        <f>Z57/Z$60</f>
        <v>#DIV/0!</v>
      </c>
      <c r="AL57" s="583"/>
    </row>
    <row r="58" spans="1:41" ht="13.5" customHeight="1" x14ac:dyDescent="0.3">
      <c r="A58" s="344"/>
      <c r="B58" s="656" t="s">
        <v>682</v>
      </c>
      <c r="C58" s="657"/>
      <c r="D58" s="657"/>
      <c r="E58" s="657"/>
      <c r="F58" s="657"/>
      <c r="G58" s="657"/>
      <c r="H58" s="657"/>
      <c r="I58" s="657"/>
      <c r="J58" s="657"/>
      <c r="K58" s="657"/>
      <c r="L58" s="657"/>
      <c r="M58" s="657"/>
      <c r="N58" s="657"/>
      <c r="O58" s="657"/>
      <c r="P58" s="657"/>
      <c r="Q58" s="657"/>
      <c r="R58" s="657"/>
      <c r="S58" s="657"/>
      <c r="T58" s="657"/>
      <c r="U58" s="657"/>
      <c r="V58" s="657"/>
      <c r="W58" s="657"/>
      <c r="X58" s="657"/>
      <c r="Y58" s="658"/>
      <c r="Z58" s="403"/>
      <c r="AA58" s="403"/>
      <c r="AB58" s="403"/>
      <c r="AC58" s="403"/>
      <c r="AD58" s="403"/>
      <c r="AE58" s="403"/>
      <c r="AF58" s="403"/>
      <c r="AG58" s="403"/>
      <c r="AH58" s="403"/>
      <c r="AI58" s="403"/>
      <c r="AJ58" s="403"/>
      <c r="AK58" s="582" t="e">
        <f>Z58/Z$60</f>
        <v>#DIV/0!</v>
      </c>
      <c r="AL58" s="583"/>
      <c r="AM58" s="232" t="s">
        <v>1069</v>
      </c>
    </row>
    <row r="59" spans="1:41" ht="14.7" customHeight="1" x14ac:dyDescent="0.3">
      <c r="A59" s="344"/>
      <c r="B59" s="656" t="s">
        <v>92</v>
      </c>
      <c r="C59" s="657"/>
      <c r="D59" s="657"/>
      <c r="E59" s="657"/>
      <c r="F59" s="657"/>
      <c r="G59" s="657"/>
      <c r="H59" s="657"/>
      <c r="I59" s="657"/>
      <c r="J59" s="657"/>
      <c r="K59" s="657"/>
      <c r="L59" s="657"/>
      <c r="M59" s="657"/>
      <c r="N59" s="657"/>
      <c r="O59" s="657"/>
      <c r="P59" s="657"/>
      <c r="Q59" s="657"/>
      <c r="R59" s="657"/>
      <c r="S59" s="657"/>
      <c r="T59" s="657"/>
      <c r="U59" s="657"/>
      <c r="V59" s="657"/>
      <c r="W59" s="657"/>
      <c r="X59" s="657"/>
      <c r="Y59" s="658"/>
      <c r="Z59" s="403"/>
      <c r="AA59" s="403"/>
      <c r="AB59" s="403"/>
      <c r="AC59" s="403"/>
      <c r="AD59" s="403"/>
      <c r="AE59" s="403"/>
      <c r="AF59" s="403"/>
      <c r="AG59" s="403"/>
      <c r="AH59" s="403"/>
      <c r="AI59" s="403"/>
      <c r="AJ59" s="403"/>
      <c r="AK59" s="582" t="e">
        <f>Z59/Z$60</f>
        <v>#DIV/0!</v>
      </c>
      <c r="AL59" s="583"/>
    </row>
    <row r="60" spans="1:41" ht="14.7" customHeight="1" x14ac:dyDescent="0.3">
      <c r="A60" s="344"/>
      <c r="B60" s="656" t="s">
        <v>89</v>
      </c>
      <c r="C60" s="657"/>
      <c r="D60" s="657"/>
      <c r="E60" s="657"/>
      <c r="F60" s="657"/>
      <c r="G60" s="657"/>
      <c r="H60" s="657"/>
      <c r="I60" s="657"/>
      <c r="J60" s="657"/>
      <c r="K60" s="657"/>
      <c r="L60" s="657"/>
      <c r="M60" s="657"/>
      <c r="N60" s="657"/>
      <c r="O60" s="657"/>
      <c r="P60" s="657"/>
      <c r="Q60" s="657"/>
      <c r="R60" s="657"/>
      <c r="S60" s="657"/>
      <c r="T60" s="657"/>
      <c r="U60" s="657"/>
      <c r="V60" s="657"/>
      <c r="W60" s="657"/>
      <c r="X60" s="657"/>
      <c r="Y60" s="658"/>
      <c r="Z60" s="422" t="e">
        <f>SUM(Z55+Z56+Z57+Z58+Z59)</f>
        <v>#DIV/0!</v>
      </c>
      <c r="AA60" s="422"/>
      <c r="AB60" s="422"/>
      <c r="AC60" s="422"/>
      <c r="AD60" s="422"/>
      <c r="AE60" s="422"/>
      <c r="AF60" s="422"/>
      <c r="AG60" s="422"/>
      <c r="AH60" s="422"/>
      <c r="AI60" s="422"/>
      <c r="AJ60" s="422"/>
      <c r="AK60" s="341" t="e">
        <f>SUM(AK55+AK56+AK57+AK58+AK59)</f>
        <v>#DIV/0!</v>
      </c>
      <c r="AL60" s="341"/>
      <c r="AM60" s="77" t="s">
        <v>1150</v>
      </c>
    </row>
    <row r="61" spans="1:41" ht="50.7" customHeight="1" x14ac:dyDescent="0.25">
      <c r="A61" s="343" t="s">
        <v>11</v>
      </c>
      <c r="B61" s="374" t="s">
        <v>1070</v>
      </c>
      <c r="C61" s="374"/>
      <c r="D61" s="374"/>
      <c r="E61" s="374"/>
      <c r="F61" s="374"/>
      <c r="G61" s="374"/>
      <c r="H61" s="374"/>
      <c r="I61" s="374"/>
      <c r="J61" s="374"/>
      <c r="K61" s="374"/>
      <c r="L61" s="374"/>
      <c r="M61" s="374"/>
      <c r="N61" s="374"/>
      <c r="O61" s="374"/>
      <c r="P61" s="374"/>
      <c r="Q61" s="374"/>
      <c r="R61" s="374"/>
      <c r="S61" s="374"/>
      <c r="T61" s="374"/>
      <c r="U61" s="374"/>
      <c r="V61" s="374"/>
      <c r="W61" s="374"/>
      <c r="X61" s="374"/>
      <c r="Y61" s="374"/>
      <c r="Z61" s="374"/>
      <c r="AA61" s="374"/>
      <c r="AB61" s="374"/>
      <c r="AC61" s="374"/>
      <c r="AD61" s="374"/>
      <c r="AE61" s="374"/>
      <c r="AF61" s="374"/>
      <c r="AG61" s="374"/>
      <c r="AH61" s="374"/>
      <c r="AI61" s="374"/>
      <c r="AJ61" s="374"/>
      <c r="AK61" s="374"/>
      <c r="AL61" s="374"/>
    </row>
    <row r="62" spans="1:41" ht="56.7" customHeight="1" x14ac:dyDescent="0.3">
      <c r="A62" s="343"/>
      <c r="B62" s="388" t="s">
        <v>1072</v>
      </c>
      <c r="C62" s="389"/>
      <c r="D62" s="389"/>
      <c r="E62" s="389"/>
      <c r="F62" s="389"/>
      <c r="G62" s="389"/>
      <c r="H62" s="389"/>
      <c r="I62" s="389"/>
      <c r="J62" s="389"/>
      <c r="K62" s="389"/>
      <c r="L62" s="389"/>
      <c r="M62" s="389"/>
      <c r="N62" s="389"/>
      <c r="O62" s="389"/>
      <c r="P62" s="389"/>
      <c r="Q62" s="389"/>
      <c r="R62" s="389"/>
      <c r="S62" s="389"/>
      <c r="T62" s="389"/>
      <c r="U62" s="389"/>
      <c r="V62" s="389"/>
      <c r="W62" s="389"/>
      <c r="X62" s="389"/>
      <c r="Y62" s="389"/>
      <c r="Z62" s="389"/>
      <c r="AA62" s="389"/>
      <c r="AB62" s="389"/>
      <c r="AC62" s="389"/>
      <c r="AD62" s="389"/>
      <c r="AE62" s="389"/>
      <c r="AF62" s="389"/>
      <c r="AG62" s="389"/>
      <c r="AH62" s="389"/>
      <c r="AI62" s="389"/>
      <c r="AJ62" s="389"/>
      <c r="AK62" s="389"/>
      <c r="AL62" s="389"/>
    </row>
    <row r="63" spans="1:41" ht="14.7" customHeight="1" x14ac:dyDescent="0.3">
      <c r="A63" s="343"/>
      <c r="B63" s="390" t="s">
        <v>703</v>
      </c>
      <c r="C63" s="390"/>
      <c r="D63" s="390"/>
      <c r="E63" s="390"/>
      <c r="F63" s="390"/>
      <c r="G63" s="390"/>
      <c r="H63" s="390"/>
      <c r="I63" s="390"/>
      <c r="J63" s="390"/>
      <c r="K63" s="390"/>
      <c r="L63" s="390"/>
      <c r="M63" s="390"/>
      <c r="N63" s="390"/>
      <c r="O63" s="390"/>
      <c r="P63" s="390"/>
      <c r="Q63" s="390"/>
      <c r="R63" s="390"/>
      <c r="S63" s="386"/>
      <c r="T63" s="387"/>
      <c r="U63" s="387"/>
      <c r="V63" s="387"/>
      <c r="W63" s="387"/>
      <c r="X63" s="387"/>
      <c r="Y63" s="387"/>
      <c r="Z63" s="387"/>
      <c r="AA63" s="387"/>
      <c r="AB63" s="387"/>
      <c r="AC63" s="387"/>
      <c r="AD63" s="387"/>
      <c r="AE63" s="387"/>
      <c r="AF63" s="387"/>
      <c r="AG63" s="387"/>
      <c r="AH63" s="387"/>
      <c r="AI63" s="387"/>
      <c r="AJ63" s="387"/>
      <c r="AK63" s="387"/>
      <c r="AL63" s="387"/>
    </row>
    <row r="64" spans="1:41" ht="14.7" customHeight="1" x14ac:dyDescent="0.3">
      <c r="A64" s="343"/>
      <c r="B64" s="390" t="s">
        <v>704</v>
      </c>
      <c r="C64" s="390"/>
      <c r="D64" s="390"/>
      <c r="E64" s="390"/>
      <c r="F64" s="390"/>
      <c r="G64" s="390"/>
      <c r="H64" s="390"/>
      <c r="I64" s="390"/>
      <c r="J64" s="390"/>
      <c r="K64" s="390"/>
      <c r="L64" s="390"/>
      <c r="M64" s="390"/>
      <c r="N64" s="390"/>
      <c r="O64" s="390"/>
      <c r="P64" s="390"/>
      <c r="Q64" s="390"/>
      <c r="R64" s="390"/>
      <c r="S64" s="386"/>
      <c r="T64" s="387"/>
      <c r="U64" s="387"/>
      <c r="V64" s="387"/>
      <c r="W64" s="387"/>
      <c r="X64" s="387"/>
      <c r="Y64" s="387"/>
      <c r="Z64" s="387"/>
      <c r="AA64" s="387"/>
      <c r="AB64" s="387"/>
      <c r="AC64" s="387"/>
      <c r="AD64" s="387"/>
      <c r="AE64" s="387"/>
      <c r="AF64" s="387"/>
      <c r="AG64" s="387"/>
      <c r="AH64" s="387"/>
      <c r="AI64" s="387"/>
      <c r="AJ64" s="387"/>
      <c r="AK64" s="387"/>
      <c r="AL64" s="387"/>
    </row>
    <row r="65" spans="1:39" ht="14.7" customHeight="1" x14ac:dyDescent="0.3">
      <c r="A65" s="343"/>
      <c r="B65" s="390" t="s">
        <v>705</v>
      </c>
      <c r="C65" s="390"/>
      <c r="D65" s="390"/>
      <c r="E65" s="390"/>
      <c r="F65" s="390"/>
      <c r="G65" s="390"/>
      <c r="H65" s="390"/>
      <c r="I65" s="390"/>
      <c r="J65" s="390"/>
      <c r="K65" s="390"/>
      <c r="L65" s="390"/>
      <c r="M65" s="390"/>
      <c r="N65" s="390"/>
      <c r="O65" s="390"/>
      <c r="P65" s="390"/>
      <c r="Q65" s="390"/>
      <c r="R65" s="390"/>
      <c r="S65" s="386"/>
      <c r="T65" s="387"/>
      <c r="U65" s="387"/>
      <c r="V65" s="387"/>
      <c r="W65" s="387"/>
      <c r="X65" s="387"/>
      <c r="Y65" s="387"/>
      <c r="Z65" s="387"/>
      <c r="AA65" s="387"/>
      <c r="AB65" s="387"/>
      <c r="AC65" s="387"/>
      <c r="AD65" s="387"/>
      <c r="AE65" s="387"/>
      <c r="AF65" s="387"/>
      <c r="AG65" s="387"/>
      <c r="AH65" s="387"/>
      <c r="AI65" s="387"/>
      <c r="AJ65" s="387"/>
      <c r="AK65" s="387"/>
      <c r="AL65" s="387"/>
    </row>
    <row r="66" spans="1:39" ht="14.7" customHeight="1" x14ac:dyDescent="0.3">
      <c r="A66" s="343"/>
      <c r="B66" s="389" t="s">
        <v>706</v>
      </c>
      <c r="C66" s="389"/>
      <c r="D66" s="389"/>
      <c r="E66" s="389"/>
      <c r="F66" s="389"/>
      <c r="G66" s="389"/>
      <c r="H66" s="389"/>
      <c r="I66" s="389"/>
      <c r="J66" s="389"/>
      <c r="K66" s="389"/>
      <c r="L66" s="389"/>
      <c r="M66" s="389"/>
      <c r="N66" s="389"/>
      <c r="O66" s="389"/>
      <c r="P66" s="389"/>
      <c r="Q66" s="389"/>
      <c r="R66" s="389"/>
      <c r="S66" s="386"/>
      <c r="T66" s="387"/>
      <c r="U66" s="387"/>
      <c r="V66" s="387"/>
      <c r="W66" s="387"/>
      <c r="X66" s="387"/>
      <c r="Y66" s="387"/>
      <c r="Z66" s="387"/>
      <c r="AA66" s="387"/>
      <c r="AB66" s="387"/>
      <c r="AC66" s="387"/>
      <c r="AD66" s="387"/>
      <c r="AE66" s="387"/>
      <c r="AF66" s="387"/>
      <c r="AG66" s="387"/>
      <c r="AH66" s="387"/>
      <c r="AI66" s="387"/>
      <c r="AJ66" s="387"/>
      <c r="AK66" s="387"/>
      <c r="AL66" s="387"/>
    </row>
    <row r="67" spans="1:39" ht="31.95" customHeight="1" x14ac:dyDescent="0.3">
      <c r="A67" s="343"/>
      <c r="B67" s="436" t="s">
        <v>887</v>
      </c>
      <c r="C67" s="437"/>
      <c r="D67" s="437"/>
      <c r="E67" s="437"/>
      <c r="F67" s="437"/>
      <c r="G67" s="437"/>
      <c r="H67" s="437"/>
      <c r="I67" s="437"/>
      <c r="J67" s="437"/>
      <c r="K67" s="437"/>
      <c r="L67" s="437"/>
      <c r="M67" s="437"/>
      <c r="N67" s="437"/>
      <c r="O67" s="437"/>
      <c r="P67" s="437"/>
      <c r="Q67" s="437"/>
      <c r="R67" s="438"/>
      <c r="S67" s="428"/>
      <c r="T67" s="429"/>
      <c r="U67" s="429"/>
      <c r="V67" s="429"/>
      <c r="W67" s="429"/>
      <c r="X67" s="429"/>
      <c r="Y67" s="429"/>
      <c r="Z67" s="429"/>
      <c r="AA67" s="429"/>
      <c r="AB67" s="429"/>
      <c r="AC67" s="429"/>
      <c r="AD67" s="429"/>
      <c r="AE67" s="429"/>
      <c r="AF67" s="429"/>
      <c r="AG67" s="429"/>
      <c r="AH67" s="429"/>
      <c r="AI67" s="429"/>
      <c r="AJ67" s="429"/>
      <c r="AK67" s="429"/>
      <c r="AL67" s="430"/>
    </row>
    <row r="68" spans="1:39" ht="118.95" customHeight="1" x14ac:dyDescent="0.3">
      <c r="A68" s="343"/>
      <c r="B68" s="388" t="s">
        <v>1071</v>
      </c>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c r="AA68" s="389"/>
      <c r="AB68" s="389"/>
      <c r="AC68" s="389"/>
      <c r="AD68" s="389"/>
      <c r="AE68" s="389"/>
      <c r="AF68" s="389"/>
      <c r="AG68" s="389"/>
      <c r="AH68" s="389"/>
      <c r="AI68" s="389"/>
      <c r="AJ68" s="389"/>
      <c r="AK68" s="389"/>
      <c r="AL68" s="389"/>
    </row>
    <row r="69" spans="1:39" ht="14.7" customHeight="1" x14ac:dyDescent="0.3">
      <c r="A69" s="343"/>
      <c r="B69" s="390" t="s">
        <v>707</v>
      </c>
      <c r="C69" s="390"/>
      <c r="D69" s="390"/>
      <c r="E69" s="390"/>
      <c r="F69" s="390"/>
      <c r="G69" s="390"/>
      <c r="H69" s="390"/>
      <c r="I69" s="390"/>
      <c r="J69" s="390"/>
      <c r="K69" s="390"/>
      <c r="L69" s="390"/>
      <c r="M69" s="390"/>
      <c r="N69" s="390"/>
      <c r="O69" s="390"/>
      <c r="P69" s="390"/>
      <c r="Q69" s="390"/>
      <c r="R69" s="390"/>
      <c r="S69" s="386"/>
      <c r="T69" s="387"/>
      <c r="U69" s="387"/>
      <c r="V69" s="387"/>
      <c r="W69" s="387"/>
      <c r="X69" s="387"/>
      <c r="Y69" s="387"/>
      <c r="Z69" s="387"/>
      <c r="AA69" s="387"/>
      <c r="AB69" s="387"/>
      <c r="AC69" s="387"/>
      <c r="AD69" s="387"/>
      <c r="AE69" s="387"/>
      <c r="AF69" s="387"/>
      <c r="AG69" s="387"/>
      <c r="AH69" s="387"/>
      <c r="AI69" s="387"/>
      <c r="AJ69" s="387"/>
      <c r="AK69" s="387"/>
      <c r="AL69" s="387"/>
    </row>
    <row r="70" spans="1:39" ht="43.2" customHeight="1" x14ac:dyDescent="0.3">
      <c r="A70" s="343"/>
      <c r="B70" s="390" t="s">
        <v>710</v>
      </c>
      <c r="C70" s="390"/>
      <c r="D70" s="390"/>
      <c r="E70" s="390"/>
      <c r="F70" s="390"/>
      <c r="G70" s="390"/>
      <c r="H70" s="390"/>
      <c r="I70" s="390"/>
      <c r="J70" s="390"/>
      <c r="K70" s="390"/>
      <c r="L70" s="390"/>
      <c r="M70" s="390"/>
      <c r="N70" s="390"/>
      <c r="O70" s="390"/>
      <c r="P70" s="390"/>
      <c r="Q70" s="390"/>
      <c r="R70" s="390"/>
      <c r="S70" s="386"/>
      <c r="T70" s="387"/>
      <c r="U70" s="387"/>
      <c r="V70" s="387"/>
      <c r="W70" s="387"/>
      <c r="X70" s="387"/>
      <c r="Y70" s="387"/>
      <c r="Z70" s="387"/>
      <c r="AA70" s="387"/>
      <c r="AB70" s="387"/>
      <c r="AC70" s="387"/>
      <c r="AD70" s="387"/>
      <c r="AE70" s="387"/>
      <c r="AF70" s="387"/>
      <c r="AG70" s="387"/>
      <c r="AH70" s="387"/>
      <c r="AI70" s="387"/>
      <c r="AJ70" s="387"/>
      <c r="AK70" s="387"/>
      <c r="AL70" s="387"/>
    </row>
    <row r="71" spans="1:39" ht="58.5" customHeight="1" x14ac:dyDescent="0.3">
      <c r="A71" s="343"/>
      <c r="B71" s="390" t="s">
        <v>709</v>
      </c>
      <c r="C71" s="390"/>
      <c r="D71" s="390"/>
      <c r="E71" s="390"/>
      <c r="F71" s="390"/>
      <c r="G71" s="390"/>
      <c r="H71" s="390"/>
      <c r="I71" s="390"/>
      <c r="J71" s="390"/>
      <c r="K71" s="390"/>
      <c r="L71" s="390"/>
      <c r="M71" s="390"/>
      <c r="N71" s="390"/>
      <c r="O71" s="390"/>
      <c r="P71" s="390"/>
      <c r="Q71" s="390"/>
      <c r="R71" s="390"/>
      <c r="S71" s="386"/>
      <c r="T71" s="387"/>
      <c r="U71" s="387"/>
      <c r="V71" s="387"/>
      <c r="W71" s="387"/>
      <c r="X71" s="387"/>
      <c r="Y71" s="387"/>
      <c r="Z71" s="387"/>
      <c r="AA71" s="387"/>
      <c r="AB71" s="387"/>
      <c r="AC71" s="387"/>
      <c r="AD71" s="387"/>
      <c r="AE71" s="387"/>
      <c r="AF71" s="387"/>
      <c r="AG71" s="387"/>
      <c r="AH71" s="387"/>
      <c r="AI71" s="387"/>
      <c r="AJ71" s="387"/>
      <c r="AK71" s="387"/>
      <c r="AL71" s="387"/>
    </row>
    <row r="72" spans="1:39" ht="14.7" customHeight="1" x14ac:dyDescent="0.3">
      <c r="A72" s="343"/>
      <c r="B72" s="390" t="s">
        <v>708</v>
      </c>
      <c r="C72" s="390"/>
      <c r="D72" s="390"/>
      <c r="E72" s="390"/>
      <c r="F72" s="390"/>
      <c r="G72" s="390"/>
      <c r="H72" s="390"/>
      <c r="I72" s="390"/>
      <c r="J72" s="390"/>
      <c r="K72" s="390"/>
      <c r="L72" s="390"/>
      <c r="M72" s="390"/>
      <c r="N72" s="390"/>
      <c r="O72" s="390"/>
      <c r="P72" s="390"/>
      <c r="Q72" s="390"/>
      <c r="R72" s="390"/>
      <c r="S72" s="386"/>
      <c r="T72" s="387"/>
      <c r="U72" s="387"/>
      <c r="V72" s="387"/>
      <c r="W72" s="387"/>
      <c r="X72" s="387"/>
      <c r="Y72" s="387"/>
      <c r="Z72" s="387"/>
      <c r="AA72" s="387"/>
      <c r="AB72" s="387"/>
      <c r="AC72" s="387"/>
      <c r="AD72" s="387"/>
      <c r="AE72" s="387"/>
      <c r="AF72" s="387"/>
      <c r="AG72" s="387"/>
      <c r="AH72" s="387"/>
      <c r="AI72" s="387"/>
      <c r="AJ72" s="387"/>
      <c r="AK72" s="387"/>
      <c r="AL72" s="387"/>
    </row>
    <row r="73" spans="1:39" ht="39.450000000000003" customHeight="1" x14ac:dyDescent="0.3">
      <c r="A73" s="343"/>
      <c r="B73" s="436" t="s">
        <v>888</v>
      </c>
      <c r="C73" s="437"/>
      <c r="D73" s="437"/>
      <c r="E73" s="437"/>
      <c r="F73" s="437"/>
      <c r="G73" s="437"/>
      <c r="H73" s="437"/>
      <c r="I73" s="437"/>
      <c r="J73" s="437"/>
      <c r="K73" s="437"/>
      <c r="L73" s="437"/>
      <c r="M73" s="437"/>
      <c r="N73" s="437"/>
      <c r="O73" s="437"/>
      <c r="P73" s="437"/>
      <c r="Q73" s="437"/>
      <c r="R73" s="438"/>
      <c r="S73" s="428"/>
      <c r="T73" s="429"/>
      <c r="U73" s="429"/>
      <c r="V73" s="429"/>
      <c r="W73" s="429"/>
      <c r="X73" s="429"/>
      <c r="Y73" s="429"/>
      <c r="Z73" s="429"/>
      <c r="AA73" s="429"/>
      <c r="AB73" s="429"/>
      <c r="AC73" s="429"/>
      <c r="AD73" s="429"/>
      <c r="AE73" s="429"/>
      <c r="AF73" s="429"/>
      <c r="AG73" s="429"/>
      <c r="AH73" s="429"/>
      <c r="AI73" s="429"/>
      <c r="AJ73" s="429"/>
      <c r="AK73" s="429"/>
      <c r="AL73" s="430"/>
    </row>
    <row r="74" spans="1:39" ht="267" customHeight="1" x14ac:dyDescent="0.25">
      <c r="A74" s="250"/>
      <c r="B74" s="423" t="s">
        <v>1049</v>
      </c>
      <c r="C74" s="423"/>
      <c r="D74" s="423"/>
      <c r="E74" s="423"/>
      <c r="F74" s="423"/>
      <c r="G74" s="423"/>
      <c r="H74" s="423"/>
      <c r="I74" s="423"/>
      <c r="J74" s="423"/>
      <c r="K74" s="423"/>
      <c r="L74" s="423"/>
      <c r="M74" s="423"/>
      <c r="N74" s="423"/>
      <c r="O74" s="423"/>
      <c r="P74" s="423"/>
      <c r="Q74" s="423"/>
      <c r="R74" s="423"/>
      <c r="S74" s="423"/>
      <c r="T74" s="423"/>
      <c r="U74" s="423"/>
      <c r="V74" s="423"/>
      <c r="W74" s="423"/>
      <c r="X74" s="423"/>
      <c r="Y74" s="423"/>
      <c r="Z74" s="423"/>
      <c r="AA74" s="423"/>
      <c r="AB74" s="423"/>
      <c r="AC74" s="423"/>
      <c r="AD74" s="423"/>
      <c r="AE74" s="423"/>
      <c r="AF74" s="423"/>
      <c r="AG74" s="423"/>
      <c r="AH74" s="423"/>
      <c r="AI74" s="423"/>
      <c r="AJ74" s="423"/>
      <c r="AK74" s="423"/>
      <c r="AL74" s="423"/>
    </row>
    <row r="75" spans="1:39" ht="63.45" customHeight="1" x14ac:dyDescent="0.25">
      <c r="A75" s="250"/>
      <c r="B75" s="425" t="s">
        <v>1063</v>
      </c>
      <c r="C75" s="423"/>
      <c r="D75" s="423"/>
      <c r="E75" s="423"/>
      <c r="F75" s="423"/>
      <c r="G75" s="423"/>
      <c r="H75" s="423"/>
      <c r="I75" s="423"/>
      <c r="J75" s="423"/>
      <c r="K75" s="423"/>
      <c r="L75" s="423"/>
      <c r="M75" s="423"/>
      <c r="N75" s="423"/>
      <c r="O75" s="423"/>
      <c r="P75" s="423"/>
      <c r="Q75" s="423"/>
      <c r="R75" s="423"/>
      <c r="S75" s="423"/>
      <c r="T75" s="423"/>
      <c r="U75" s="423"/>
      <c r="V75" s="423"/>
      <c r="W75" s="423"/>
      <c r="X75" s="423"/>
      <c r="Y75" s="423"/>
      <c r="Z75" s="423"/>
      <c r="AA75" s="423"/>
      <c r="AB75" s="640"/>
      <c r="AC75" s="640"/>
      <c r="AD75" s="640"/>
      <c r="AE75" s="640"/>
      <c r="AF75" s="640"/>
      <c r="AG75" s="640"/>
      <c r="AH75" s="640"/>
      <c r="AI75" s="640"/>
      <c r="AJ75" s="640"/>
      <c r="AK75" s="640"/>
      <c r="AL75" s="640"/>
    </row>
    <row r="76" spans="1:39" ht="52.95" customHeight="1" x14ac:dyDescent="0.25">
      <c r="A76" s="250"/>
      <c r="B76" s="396" t="s">
        <v>1048</v>
      </c>
      <c r="C76" s="396"/>
      <c r="D76" s="396"/>
      <c r="E76" s="396"/>
      <c r="F76" s="396"/>
      <c r="G76" s="396"/>
      <c r="H76" s="396"/>
      <c r="I76" s="396"/>
      <c r="J76" s="396"/>
      <c r="K76" s="396"/>
      <c r="L76" s="396"/>
      <c r="M76" s="396"/>
      <c r="N76" s="396"/>
      <c r="O76" s="396"/>
      <c r="P76" s="396"/>
      <c r="Q76" s="396"/>
      <c r="R76" s="396"/>
      <c r="S76" s="396"/>
      <c r="T76" s="396"/>
      <c r="U76" s="396"/>
      <c r="V76" s="396"/>
      <c r="W76" s="396"/>
      <c r="X76" s="396"/>
      <c r="Y76" s="396"/>
      <c r="Z76" s="396"/>
      <c r="AA76" s="396"/>
      <c r="AB76" s="396"/>
      <c r="AC76" s="396"/>
      <c r="AD76" s="396"/>
      <c r="AE76" s="396"/>
      <c r="AF76" s="396"/>
      <c r="AG76" s="396"/>
      <c r="AH76" s="396"/>
      <c r="AI76" s="396"/>
      <c r="AJ76" s="396"/>
      <c r="AK76" s="396"/>
      <c r="AL76" s="396"/>
    </row>
    <row r="77" spans="1:39" ht="44.7" customHeight="1" x14ac:dyDescent="0.25">
      <c r="A77" s="250"/>
      <c r="B77" s="413"/>
      <c r="C77" s="413"/>
      <c r="D77" s="413"/>
      <c r="E77" s="413"/>
      <c r="F77" s="413"/>
      <c r="G77" s="413"/>
      <c r="H77" s="413"/>
      <c r="I77" s="413"/>
      <c r="J77" s="413"/>
      <c r="K77" s="413"/>
      <c r="L77" s="413"/>
      <c r="M77" s="413"/>
      <c r="N77" s="413"/>
      <c r="O77" s="413"/>
      <c r="P77" s="413"/>
      <c r="Q77" s="413"/>
      <c r="R77" s="413"/>
      <c r="S77" s="413"/>
      <c r="T77" s="413"/>
      <c r="U77" s="413"/>
      <c r="V77" s="413"/>
      <c r="W77" s="413"/>
      <c r="X77" s="413"/>
      <c r="Y77" s="413"/>
      <c r="Z77" s="413"/>
      <c r="AA77" s="413"/>
      <c r="AB77" s="413"/>
      <c r="AC77" s="413"/>
      <c r="AD77" s="413"/>
      <c r="AE77" s="413"/>
      <c r="AF77" s="413"/>
      <c r="AG77" s="413"/>
      <c r="AH77" s="413"/>
      <c r="AI77" s="413"/>
      <c r="AJ77" s="413"/>
      <c r="AK77" s="413"/>
      <c r="AL77" s="413"/>
    </row>
    <row r="78" spans="1:39" x14ac:dyDescent="0.3">
      <c r="A78" s="150" t="s">
        <v>69</v>
      </c>
      <c r="B78" s="328" t="s">
        <v>70</v>
      </c>
      <c r="C78" s="328"/>
      <c r="D78" s="328"/>
      <c r="E78" s="328"/>
      <c r="F78" s="328"/>
      <c r="G78" s="328"/>
      <c r="H78" s="328"/>
      <c r="I78" s="328"/>
      <c r="J78" s="328"/>
      <c r="K78" s="328"/>
      <c r="L78" s="328"/>
      <c r="M78" s="328"/>
      <c r="N78" s="328"/>
      <c r="O78" s="328"/>
      <c r="P78" s="328"/>
      <c r="Q78" s="328"/>
      <c r="R78" s="328"/>
      <c r="S78" s="328"/>
      <c r="T78" s="328"/>
      <c r="U78" s="328"/>
      <c r="V78" s="328"/>
      <c r="W78" s="328"/>
      <c r="X78" s="328"/>
      <c r="Y78" s="328"/>
      <c r="Z78" s="328"/>
      <c r="AA78" s="328"/>
      <c r="AB78" s="328"/>
      <c r="AC78" s="328"/>
      <c r="AD78" s="328"/>
      <c r="AE78" s="328"/>
      <c r="AF78" s="328"/>
      <c r="AG78" s="328"/>
      <c r="AH78" s="328"/>
      <c r="AI78" s="328"/>
      <c r="AJ78" s="328"/>
      <c r="AK78" s="328"/>
      <c r="AL78" s="328"/>
    </row>
    <row r="79" spans="1:39" ht="27.45" customHeight="1" x14ac:dyDescent="0.25">
      <c r="A79" s="653" t="s">
        <v>889</v>
      </c>
      <c r="B79" s="654"/>
      <c r="C79" s="654"/>
      <c r="D79" s="654"/>
      <c r="E79" s="654"/>
      <c r="F79" s="654"/>
      <c r="G79" s="654"/>
      <c r="H79" s="654"/>
      <c r="I79" s="654"/>
      <c r="J79" s="654"/>
      <c r="K79" s="654"/>
      <c r="L79" s="654"/>
      <c r="M79" s="654"/>
      <c r="N79" s="654"/>
      <c r="O79" s="654"/>
      <c r="P79" s="654"/>
      <c r="Q79" s="654"/>
      <c r="R79" s="654"/>
      <c r="S79" s="654"/>
      <c r="T79" s="654"/>
      <c r="U79" s="654"/>
      <c r="V79" s="654"/>
      <c r="W79" s="654"/>
      <c r="X79" s="654"/>
      <c r="Y79" s="654"/>
      <c r="Z79" s="654"/>
      <c r="AA79" s="654"/>
      <c r="AB79" s="654"/>
      <c r="AC79" s="654"/>
      <c r="AD79" s="654"/>
      <c r="AE79" s="654"/>
      <c r="AF79" s="654"/>
      <c r="AG79" s="654"/>
      <c r="AH79" s="654"/>
      <c r="AI79" s="654"/>
      <c r="AJ79" s="654"/>
      <c r="AK79" s="654"/>
      <c r="AL79" s="654"/>
    </row>
    <row r="80" spans="1:39" ht="27.45" customHeight="1" x14ac:dyDescent="0.25">
      <c r="A80" s="545"/>
      <c r="B80" s="545"/>
      <c r="C80" s="545"/>
      <c r="D80" s="545"/>
      <c r="E80" s="545"/>
      <c r="F80" s="545"/>
      <c r="G80" s="545"/>
      <c r="H80" s="545"/>
      <c r="I80" s="545"/>
      <c r="J80" s="545"/>
      <c r="K80" s="545"/>
      <c r="L80" s="545"/>
      <c r="M80" s="545"/>
      <c r="N80" s="545"/>
      <c r="O80" s="545"/>
      <c r="P80" s="545"/>
      <c r="Q80" s="545"/>
      <c r="R80" s="545"/>
      <c r="S80" s="545"/>
      <c r="T80" s="545"/>
      <c r="U80" s="545"/>
      <c r="V80" s="545"/>
      <c r="W80" s="545"/>
      <c r="X80" s="545"/>
      <c r="Y80" s="545"/>
      <c r="Z80" s="545"/>
      <c r="AA80" s="545"/>
      <c r="AB80" s="545"/>
      <c r="AC80" s="545"/>
      <c r="AD80" s="545"/>
      <c r="AE80" s="545"/>
      <c r="AF80" s="545"/>
      <c r="AG80" s="545"/>
      <c r="AH80" s="545"/>
      <c r="AI80" s="545"/>
      <c r="AJ80" s="545"/>
      <c r="AK80" s="545"/>
      <c r="AL80" s="545"/>
      <c r="AM80" s="101" t="s">
        <v>953</v>
      </c>
    </row>
    <row r="81" spans="1:47" s="64" customFormat="1" x14ac:dyDescent="0.3">
      <c r="A81" s="150" t="s">
        <v>90</v>
      </c>
      <c r="B81" s="328" t="s">
        <v>674</v>
      </c>
      <c r="C81" s="328"/>
      <c r="D81" s="328"/>
      <c r="E81" s="328"/>
      <c r="F81" s="328"/>
      <c r="G81" s="328"/>
      <c r="H81" s="328"/>
      <c r="I81" s="328"/>
      <c r="J81" s="328"/>
      <c r="K81" s="328"/>
      <c r="L81" s="328"/>
      <c r="M81" s="328"/>
      <c r="N81" s="328"/>
      <c r="O81" s="328"/>
      <c r="P81" s="328"/>
      <c r="Q81" s="328"/>
      <c r="R81" s="328"/>
      <c r="S81" s="328"/>
      <c r="T81" s="328"/>
      <c r="U81" s="328"/>
      <c r="V81" s="328"/>
      <c r="W81" s="328"/>
      <c r="X81" s="328"/>
      <c r="Y81" s="328"/>
      <c r="Z81" s="328"/>
      <c r="AA81" s="328"/>
      <c r="AB81" s="328"/>
      <c r="AC81" s="328"/>
      <c r="AD81" s="328"/>
      <c r="AE81" s="328"/>
      <c r="AF81" s="328"/>
      <c r="AG81" s="328"/>
      <c r="AH81" s="328"/>
      <c r="AI81" s="328"/>
      <c r="AJ81" s="328"/>
      <c r="AK81" s="328"/>
      <c r="AL81" s="328"/>
      <c r="AM81" s="102"/>
    </row>
    <row r="82" spans="1:47" ht="74.7" customHeight="1" x14ac:dyDescent="0.25">
      <c r="A82" s="662" t="s">
        <v>992</v>
      </c>
      <c r="B82" s="662"/>
      <c r="C82" s="662"/>
      <c r="D82" s="662"/>
      <c r="E82" s="662"/>
      <c r="F82" s="662"/>
      <c r="G82" s="662"/>
      <c r="H82" s="662"/>
      <c r="I82" s="662"/>
      <c r="J82" s="662"/>
      <c r="K82" s="662"/>
      <c r="L82" s="662"/>
      <c r="M82" s="662"/>
      <c r="N82" s="662"/>
      <c r="O82" s="662"/>
      <c r="P82" s="662"/>
      <c r="Q82" s="662"/>
      <c r="R82" s="662"/>
      <c r="S82" s="662"/>
      <c r="T82" s="662"/>
      <c r="U82" s="662"/>
      <c r="V82" s="662"/>
      <c r="W82" s="662"/>
      <c r="X82" s="662"/>
      <c r="Y82" s="662"/>
      <c r="Z82" s="662"/>
      <c r="AA82" s="662"/>
      <c r="AB82" s="662"/>
      <c r="AC82" s="662"/>
      <c r="AD82" s="662"/>
      <c r="AE82" s="662"/>
      <c r="AF82" s="662"/>
      <c r="AG82" s="662"/>
      <c r="AH82" s="662"/>
      <c r="AI82" s="662"/>
      <c r="AJ82" s="662"/>
      <c r="AK82" s="662"/>
      <c r="AL82" s="662"/>
      <c r="AM82" s="245" t="s">
        <v>999</v>
      </c>
    </row>
    <row r="83" spans="1:47" ht="16.2" customHeight="1" x14ac:dyDescent="0.25">
      <c r="A83" s="415"/>
      <c r="B83" s="416"/>
      <c r="C83" s="416"/>
      <c r="D83" s="416"/>
      <c r="E83" s="416"/>
      <c r="F83" s="416"/>
      <c r="G83" s="416"/>
      <c r="H83" s="416"/>
      <c r="I83" s="416"/>
      <c r="J83" s="416"/>
      <c r="K83" s="416"/>
      <c r="L83" s="416"/>
      <c r="M83" s="416"/>
      <c r="N83" s="416"/>
      <c r="O83" s="416"/>
      <c r="P83" s="416"/>
      <c r="Q83" s="416"/>
      <c r="R83" s="416"/>
      <c r="S83" s="416"/>
      <c r="T83" s="416"/>
      <c r="U83" s="416"/>
      <c r="V83" s="416"/>
      <c r="W83" s="416"/>
      <c r="X83" s="416"/>
      <c r="Y83" s="416"/>
      <c r="Z83" s="416"/>
      <c r="AA83" s="416"/>
      <c r="AB83" s="416"/>
      <c r="AC83" s="416"/>
      <c r="AD83" s="416"/>
      <c r="AE83" s="416"/>
      <c r="AF83" s="416"/>
      <c r="AG83" s="416"/>
      <c r="AH83" s="416"/>
      <c r="AI83" s="416"/>
      <c r="AJ83" s="416"/>
      <c r="AK83" s="416"/>
      <c r="AL83" s="417"/>
      <c r="AM83" s="245"/>
    </row>
    <row r="84" spans="1:47" x14ac:dyDescent="0.25">
      <c r="A84" s="661" t="s">
        <v>906</v>
      </c>
      <c r="B84" s="441"/>
      <c r="C84" s="441"/>
      <c r="D84" s="441"/>
      <c r="E84" s="441"/>
      <c r="F84" s="441"/>
      <c r="G84" s="441"/>
      <c r="H84" s="441"/>
      <c r="I84" s="441"/>
      <c r="J84" s="441"/>
      <c r="K84" s="441"/>
      <c r="L84" s="441"/>
      <c r="M84" s="441"/>
      <c r="N84" s="441"/>
      <c r="O84" s="441"/>
      <c r="P84" s="441"/>
      <c r="Q84" s="441"/>
      <c r="R84" s="441"/>
      <c r="S84" s="442"/>
      <c r="T84" s="666" t="s">
        <v>907</v>
      </c>
      <c r="U84" s="362"/>
      <c r="V84" s="362"/>
      <c r="W84" s="362"/>
      <c r="X84" s="362"/>
      <c r="Y84" s="362"/>
      <c r="Z84" s="362"/>
      <c r="AA84" s="362"/>
      <c r="AB84" s="362"/>
      <c r="AC84" s="362"/>
      <c r="AD84" s="362"/>
      <c r="AE84" s="362"/>
      <c r="AF84" s="362"/>
      <c r="AG84" s="362"/>
      <c r="AH84" s="362"/>
      <c r="AI84" s="362"/>
      <c r="AJ84" s="362"/>
      <c r="AK84" s="362"/>
      <c r="AL84" s="363"/>
      <c r="AM84" s="245"/>
    </row>
    <row r="85" spans="1:47" x14ac:dyDescent="0.3">
      <c r="A85" s="410"/>
      <c r="B85" s="411"/>
      <c r="C85" s="411"/>
      <c r="D85" s="411"/>
      <c r="E85" s="411"/>
      <c r="F85" s="411"/>
      <c r="G85" s="411"/>
      <c r="H85" s="411"/>
      <c r="I85" s="411"/>
      <c r="J85" s="411"/>
      <c r="K85" s="411"/>
      <c r="L85" s="411"/>
      <c r="M85" s="411"/>
      <c r="N85" s="411"/>
      <c r="O85" s="411"/>
      <c r="P85" s="411"/>
      <c r="Q85" s="411"/>
      <c r="R85" s="411"/>
      <c r="S85" s="412"/>
      <c r="T85" s="410"/>
      <c r="U85" s="411"/>
      <c r="V85" s="411"/>
      <c r="W85" s="411"/>
      <c r="X85" s="411"/>
      <c r="Y85" s="411"/>
      <c r="Z85" s="411"/>
      <c r="AA85" s="411"/>
      <c r="AB85" s="411"/>
      <c r="AC85" s="411"/>
      <c r="AD85" s="411"/>
      <c r="AE85" s="411"/>
      <c r="AF85" s="411"/>
      <c r="AG85" s="411"/>
      <c r="AH85" s="411"/>
      <c r="AI85" s="411"/>
      <c r="AJ85" s="411"/>
      <c r="AK85" s="411"/>
      <c r="AL85" s="412"/>
      <c r="AM85" s="245"/>
    </row>
    <row r="86" spans="1:47" ht="39" customHeight="1" x14ac:dyDescent="0.25">
      <c r="A86" s="439" t="s">
        <v>997</v>
      </c>
      <c r="B86" s="439"/>
      <c r="C86" s="439"/>
      <c r="D86" s="439"/>
      <c r="E86" s="439"/>
      <c r="F86" s="439"/>
      <c r="G86" s="439"/>
      <c r="H86" s="439"/>
      <c r="I86" s="439"/>
      <c r="J86" s="439"/>
      <c r="K86" s="439"/>
      <c r="L86" s="439"/>
      <c r="M86" s="439"/>
      <c r="N86" s="439"/>
      <c r="O86" s="439"/>
      <c r="P86" s="439"/>
      <c r="Q86" s="439"/>
      <c r="R86" s="439"/>
      <c r="S86" s="439"/>
      <c r="T86" s="439"/>
      <c r="U86" s="439"/>
      <c r="V86" s="439"/>
      <c r="W86" s="439"/>
      <c r="X86" s="439"/>
      <c r="Y86" s="439"/>
      <c r="Z86" s="439"/>
      <c r="AA86" s="439"/>
      <c r="AB86" s="439"/>
      <c r="AC86" s="439"/>
      <c r="AD86" s="439"/>
      <c r="AE86" s="439"/>
      <c r="AF86" s="439"/>
      <c r="AG86" s="439"/>
      <c r="AH86" s="439"/>
      <c r="AI86" s="439"/>
      <c r="AJ86" s="439"/>
      <c r="AK86" s="439"/>
      <c r="AL86" s="439"/>
      <c r="AM86" s="290" t="s">
        <v>996</v>
      </c>
    </row>
    <row r="87" spans="1:47" ht="15.45" customHeight="1" x14ac:dyDescent="0.3">
      <c r="A87" s="663">
        <f>A83+A85+T85</f>
        <v>0</v>
      </c>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664"/>
      <c r="AJ87" s="664"/>
      <c r="AK87" s="664"/>
      <c r="AL87" s="664"/>
      <c r="AM87" s="290"/>
    </row>
    <row r="88" spans="1:47" x14ac:dyDescent="0.25">
      <c r="A88" s="376" t="s">
        <v>899</v>
      </c>
      <c r="B88" s="376"/>
      <c r="C88" s="376"/>
      <c r="D88" s="376"/>
      <c r="E88" s="376"/>
      <c r="F88" s="376"/>
      <c r="G88" s="376"/>
      <c r="H88" s="376"/>
      <c r="I88" s="376"/>
      <c r="J88" s="376"/>
      <c r="K88" s="376"/>
      <c r="L88" s="376"/>
      <c r="M88" s="376"/>
      <c r="N88" s="376"/>
      <c r="O88" s="376"/>
      <c r="P88" s="376"/>
      <c r="Q88" s="376"/>
      <c r="R88" s="376"/>
      <c r="S88" s="376"/>
      <c r="T88" s="376"/>
      <c r="U88" s="376"/>
      <c r="V88" s="376"/>
      <c r="W88" s="376"/>
      <c r="X88" s="376"/>
      <c r="Y88" s="376"/>
      <c r="Z88" s="376"/>
      <c r="AA88" s="376"/>
      <c r="AB88" s="376"/>
      <c r="AC88" s="376"/>
      <c r="AD88" s="376"/>
      <c r="AE88" s="376"/>
      <c r="AF88" s="376"/>
      <c r="AG88" s="376"/>
      <c r="AH88" s="376"/>
      <c r="AI88" s="376"/>
      <c r="AJ88" s="376"/>
      <c r="AK88" s="376"/>
      <c r="AL88" s="376"/>
    </row>
    <row r="89" spans="1:47" x14ac:dyDescent="0.25">
      <c r="A89" s="355"/>
      <c r="B89" s="355"/>
      <c r="C89" s="355"/>
      <c r="D89" s="355"/>
      <c r="E89" s="355"/>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row>
    <row r="90" spans="1:47" x14ac:dyDescent="0.25">
      <c r="A90" s="376" t="s">
        <v>900</v>
      </c>
      <c r="B90" s="376"/>
      <c r="C90" s="376"/>
      <c r="D90" s="376"/>
      <c r="E90" s="376"/>
      <c r="F90" s="376"/>
      <c r="G90" s="376"/>
      <c r="H90" s="376"/>
      <c r="I90" s="376"/>
      <c r="J90" s="376"/>
      <c r="K90" s="376"/>
      <c r="L90" s="376"/>
      <c r="M90" s="376"/>
      <c r="N90" s="376"/>
      <c r="O90" s="376"/>
      <c r="P90" s="376"/>
      <c r="Q90" s="376"/>
      <c r="R90" s="376"/>
      <c r="S90" s="376"/>
      <c r="T90" s="376"/>
      <c r="U90" s="376"/>
      <c r="V90" s="376"/>
      <c r="W90" s="376"/>
      <c r="X90" s="376"/>
      <c r="Y90" s="376"/>
      <c r="Z90" s="376"/>
      <c r="AA90" s="376"/>
      <c r="AB90" s="376"/>
      <c r="AC90" s="376"/>
      <c r="AD90" s="376"/>
      <c r="AE90" s="376"/>
      <c r="AF90" s="376"/>
      <c r="AG90" s="376"/>
      <c r="AH90" s="376"/>
      <c r="AI90" s="376"/>
      <c r="AJ90" s="376"/>
      <c r="AK90" s="376"/>
      <c r="AL90" s="376"/>
    </row>
    <row r="91" spans="1:47" x14ac:dyDescent="0.25">
      <c r="A91" s="355"/>
      <c r="B91" s="355"/>
      <c r="C91" s="355"/>
      <c r="D91" s="355"/>
      <c r="E91" s="355"/>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c r="AH91" s="355"/>
      <c r="AI91" s="355"/>
      <c r="AJ91" s="355"/>
      <c r="AK91" s="355"/>
      <c r="AL91" s="355"/>
    </row>
    <row r="92" spans="1:47" ht="14.7" customHeight="1" x14ac:dyDescent="0.25">
      <c r="A92" s="149" t="s">
        <v>91</v>
      </c>
      <c r="B92" s="351" t="s">
        <v>177</v>
      </c>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35"/>
      <c r="AN92" s="335"/>
      <c r="AO92" s="335"/>
      <c r="AP92" s="335"/>
      <c r="AQ92" s="335"/>
      <c r="AR92" s="335"/>
      <c r="AS92" s="335"/>
      <c r="AT92" s="335"/>
      <c r="AU92" s="335"/>
    </row>
    <row r="93" spans="1:47" ht="38.700000000000003" customHeight="1" x14ac:dyDescent="0.25">
      <c r="A93" s="665" t="s">
        <v>911</v>
      </c>
      <c r="B93" s="505"/>
      <c r="C93" s="505"/>
      <c r="D93" s="505"/>
      <c r="E93" s="505"/>
      <c r="F93" s="505"/>
      <c r="G93" s="505"/>
      <c r="H93" s="505"/>
      <c r="I93" s="505"/>
      <c r="J93" s="505"/>
      <c r="K93" s="505"/>
      <c r="L93" s="505"/>
      <c r="M93" s="505"/>
      <c r="N93" s="505"/>
      <c r="O93" s="505"/>
      <c r="P93" s="505"/>
      <c r="Q93" s="505"/>
      <c r="R93" s="505"/>
      <c r="S93" s="505"/>
      <c r="T93" s="505"/>
      <c r="U93" s="505"/>
      <c r="V93" s="505"/>
      <c r="W93" s="505"/>
      <c r="X93" s="505"/>
      <c r="Y93" s="505"/>
      <c r="Z93" s="505"/>
      <c r="AA93" s="505"/>
      <c r="AB93" s="505"/>
      <c r="AC93" s="505"/>
      <c r="AD93" s="505"/>
      <c r="AE93" s="505"/>
      <c r="AF93" s="505"/>
      <c r="AG93" s="505"/>
      <c r="AH93" s="505"/>
      <c r="AI93" s="505"/>
      <c r="AJ93" s="505"/>
      <c r="AK93" s="505"/>
      <c r="AL93" s="505"/>
      <c r="AM93" s="335"/>
      <c r="AN93" s="335"/>
      <c r="AO93" s="335"/>
      <c r="AP93" s="335"/>
      <c r="AQ93" s="335"/>
      <c r="AR93" s="335"/>
      <c r="AS93" s="335"/>
      <c r="AT93" s="335"/>
      <c r="AU93" s="335"/>
    </row>
    <row r="94" spans="1:47" ht="115.2" customHeight="1" x14ac:dyDescent="0.25">
      <c r="A94" s="308" t="s">
        <v>877</v>
      </c>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08"/>
      <c r="AH94" s="308"/>
      <c r="AI94" s="308"/>
      <c r="AJ94" s="308"/>
      <c r="AK94" s="308"/>
      <c r="AL94" s="308"/>
      <c r="AM94" s="335"/>
      <c r="AN94" s="335"/>
      <c r="AO94" s="335"/>
      <c r="AP94" s="335"/>
      <c r="AQ94" s="335"/>
      <c r="AR94" s="335"/>
      <c r="AS94" s="335"/>
      <c r="AT94" s="335"/>
      <c r="AU94" s="335"/>
    </row>
    <row r="95" spans="1:47" ht="124.95" customHeight="1" x14ac:dyDescent="0.25">
      <c r="A95" s="357" t="s">
        <v>125</v>
      </c>
      <c r="B95" s="357"/>
      <c r="C95" s="357"/>
      <c r="D95" s="357"/>
      <c r="E95" s="357"/>
      <c r="F95" s="357"/>
      <c r="G95" s="357"/>
      <c r="H95" s="357"/>
      <c r="I95" s="358" t="s">
        <v>872</v>
      </c>
      <c r="J95" s="358"/>
      <c r="K95" s="358"/>
      <c r="L95" s="358"/>
      <c r="M95" s="358"/>
      <c r="N95" s="358"/>
      <c r="O95" s="358"/>
      <c r="P95" s="358"/>
      <c r="Q95" s="358"/>
      <c r="R95" s="358"/>
      <c r="S95" s="358"/>
      <c r="T95" s="358" t="s">
        <v>873</v>
      </c>
      <c r="U95" s="358"/>
      <c r="V95" s="358"/>
      <c r="W95" s="358"/>
      <c r="X95" s="358"/>
      <c r="Y95" s="358"/>
      <c r="Z95" s="358"/>
      <c r="AA95" s="358"/>
      <c r="AB95" s="358"/>
      <c r="AC95" s="358"/>
      <c r="AD95" s="358"/>
      <c r="AE95" s="358" t="s">
        <v>874</v>
      </c>
      <c r="AF95" s="358"/>
      <c r="AG95" s="358"/>
      <c r="AH95" s="358"/>
      <c r="AI95" s="358"/>
      <c r="AJ95" s="358"/>
      <c r="AK95" s="358" t="s">
        <v>875</v>
      </c>
      <c r="AL95" s="358"/>
    </row>
    <row r="96" spans="1:47" ht="28.5" customHeight="1" x14ac:dyDescent="0.25">
      <c r="A96" s="443"/>
      <c r="B96" s="443"/>
      <c r="C96" s="443"/>
      <c r="D96" s="443"/>
      <c r="E96" s="443"/>
      <c r="F96" s="443"/>
      <c r="G96" s="443"/>
      <c r="H96" s="443"/>
      <c r="I96" s="415"/>
      <c r="J96" s="416"/>
      <c r="K96" s="416"/>
      <c r="L96" s="416"/>
      <c r="M96" s="416"/>
      <c r="N96" s="416"/>
      <c r="O96" s="416"/>
      <c r="P96" s="416"/>
      <c r="Q96" s="416"/>
      <c r="R96" s="416"/>
      <c r="S96" s="417"/>
      <c r="T96" s="415"/>
      <c r="U96" s="416"/>
      <c r="V96" s="416"/>
      <c r="W96" s="416"/>
      <c r="X96" s="416"/>
      <c r="Y96" s="416"/>
      <c r="Z96" s="416"/>
      <c r="AA96" s="416"/>
      <c r="AB96" s="416"/>
      <c r="AC96" s="416"/>
      <c r="AD96" s="417"/>
      <c r="AE96" s="415"/>
      <c r="AF96" s="416"/>
      <c r="AG96" s="416"/>
      <c r="AH96" s="416"/>
      <c r="AI96" s="416"/>
      <c r="AJ96" s="416"/>
      <c r="AK96" s="415"/>
      <c r="AL96" s="416"/>
      <c r="AM96" s="77" t="s">
        <v>876</v>
      </c>
    </row>
    <row r="97" spans="1:48" ht="28.95" customHeight="1" x14ac:dyDescent="0.25">
      <c r="A97" s="332" t="s">
        <v>225</v>
      </c>
      <c r="B97" s="332"/>
      <c r="C97" s="332"/>
      <c r="D97" s="332"/>
      <c r="E97" s="332"/>
      <c r="F97" s="332"/>
      <c r="G97" s="332"/>
      <c r="H97" s="332"/>
      <c r="I97" s="332"/>
      <c r="J97" s="332"/>
      <c r="K97" s="332"/>
      <c r="L97" s="332"/>
      <c r="M97" s="332"/>
      <c r="N97" s="332"/>
      <c r="O97" s="332"/>
      <c r="P97" s="332"/>
      <c r="Q97" s="332"/>
      <c r="R97" s="332"/>
      <c r="S97" s="332"/>
      <c r="T97" s="332"/>
      <c r="U97" s="332"/>
      <c r="V97" s="332"/>
      <c r="W97" s="332"/>
      <c r="X97" s="332"/>
      <c r="Y97" s="332"/>
      <c r="Z97" s="332"/>
      <c r="AA97" s="332"/>
      <c r="AB97" s="332"/>
      <c r="AC97" s="332"/>
      <c r="AD97" s="332"/>
      <c r="AE97" s="332"/>
      <c r="AF97" s="332"/>
      <c r="AG97" s="332"/>
      <c r="AH97" s="332"/>
      <c r="AI97" s="332"/>
      <c r="AJ97" s="332"/>
      <c r="AK97" s="332"/>
      <c r="AL97" s="332"/>
      <c r="AM97" s="119"/>
    </row>
    <row r="98" spans="1:48" ht="19.5" customHeight="1" x14ac:dyDescent="0.25">
      <c r="A98" s="621">
        <f>A83</f>
        <v>0</v>
      </c>
      <c r="B98" s="622"/>
      <c r="C98" s="622"/>
      <c r="D98" s="622"/>
      <c r="E98" s="622"/>
      <c r="F98" s="622"/>
      <c r="G98" s="622"/>
      <c r="H98" s="622"/>
      <c r="I98" s="622"/>
      <c r="J98" s="622"/>
      <c r="K98" s="622"/>
      <c r="L98" s="622"/>
      <c r="M98" s="622"/>
      <c r="N98" s="622"/>
      <c r="O98" s="622"/>
      <c r="P98" s="622"/>
      <c r="Q98" s="622"/>
      <c r="R98" s="622"/>
      <c r="S98" s="622"/>
      <c r="T98" s="622"/>
      <c r="U98" s="622"/>
      <c r="V98" s="622"/>
      <c r="W98" s="622"/>
      <c r="X98" s="622"/>
      <c r="Y98" s="622"/>
      <c r="Z98" s="622"/>
      <c r="AA98" s="622"/>
      <c r="AB98" s="622"/>
      <c r="AC98" s="622"/>
      <c r="AD98" s="622"/>
      <c r="AE98" s="622"/>
      <c r="AF98" s="622"/>
      <c r="AG98" s="622"/>
      <c r="AH98" s="622"/>
      <c r="AI98" s="622"/>
      <c r="AJ98" s="622"/>
      <c r="AK98" s="622"/>
      <c r="AL98" s="623"/>
    </row>
    <row r="99" spans="1:48" x14ac:dyDescent="0.25">
      <c r="A99" s="332" t="s">
        <v>918</v>
      </c>
      <c r="B99" s="332"/>
      <c r="C99" s="332"/>
      <c r="D99" s="332"/>
      <c r="E99" s="332"/>
      <c r="F99" s="332"/>
      <c r="G99" s="332"/>
      <c r="H99" s="332"/>
      <c r="I99" s="332"/>
      <c r="J99" s="332"/>
      <c r="K99" s="332"/>
      <c r="L99" s="332"/>
      <c r="M99" s="332"/>
      <c r="N99" s="332"/>
      <c r="O99" s="332"/>
      <c r="P99" s="332"/>
      <c r="Q99" s="332"/>
      <c r="R99" s="332"/>
      <c r="S99" s="332"/>
      <c r="T99" s="332"/>
      <c r="U99" s="332"/>
      <c r="V99" s="332"/>
      <c r="W99" s="332"/>
      <c r="X99" s="332"/>
      <c r="Y99" s="332"/>
      <c r="Z99" s="332"/>
      <c r="AA99" s="332"/>
      <c r="AB99" s="332"/>
      <c r="AC99" s="332"/>
      <c r="AD99" s="332"/>
      <c r="AE99" s="332"/>
      <c r="AF99" s="332"/>
      <c r="AG99" s="332"/>
      <c r="AH99" s="332"/>
      <c r="AI99" s="332"/>
      <c r="AJ99" s="332"/>
      <c r="AK99" s="332"/>
      <c r="AL99" s="332"/>
    </row>
    <row r="100" spans="1:48" ht="18.75" customHeight="1" x14ac:dyDescent="0.25">
      <c r="A100" s="621">
        <f>SUM(A85:AL85)</f>
        <v>0</v>
      </c>
      <c r="B100" s="622"/>
      <c r="C100" s="622"/>
      <c r="D100" s="622"/>
      <c r="E100" s="622"/>
      <c r="F100" s="622"/>
      <c r="G100" s="622"/>
      <c r="H100" s="622"/>
      <c r="I100" s="622"/>
      <c r="J100" s="622"/>
      <c r="K100" s="622"/>
      <c r="L100" s="622"/>
      <c r="M100" s="622"/>
      <c r="N100" s="622"/>
      <c r="O100" s="622"/>
      <c r="P100" s="622"/>
      <c r="Q100" s="622"/>
      <c r="R100" s="622"/>
      <c r="S100" s="622"/>
      <c r="T100" s="622"/>
      <c r="U100" s="622"/>
      <c r="V100" s="622"/>
      <c r="W100" s="622"/>
      <c r="X100" s="622"/>
      <c r="Y100" s="622"/>
      <c r="Z100" s="622"/>
      <c r="AA100" s="622"/>
      <c r="AB100" s="622"/>
      <c r="AC100" s="622"/>
      <c r="AD100" s="622"/>
      <c r="AE100" s="622"/>
      <c r="AF100" s="622"/>
      <c r="AG100" s="622"/>
      <c r="AH100" s="622"/>
      <c r="AI100" s="622"/>
      <c r="AJ100" s="622"/>
      <c r="AK100" s="622"/>
      <c r="AL100" s="623"/>
    </row>
    <row r="101" spans="1:48" x14ac:dyDescent="0.25">
      <c r="A101" s="332" t="s">
        <v>173</v>
      </c>
      <c r="B101" s="332"/>
      <c r="C101" s="332"/>
      <c r="D101" s="332"/>
      <c r="E101" s="332"/>
      <c r="F101" s="332"/>
      <c r="G101" s="332"/>
      <c r="H101" s="332"/>
      <c r="I101" s="332"/>
      <c r="J101" s="332"/>
      <c r="K101" s="332"/>
      <c r="L101" s="332"/>
      <c r="M101" s="332"/>
      <c r="N101" s="332"/>
      <c r="O101" s="332"/>
      <c r="P101" s="332"/>
      <c r="Q101" s="332"/>
      <c r="R101" s="332"/>
      <c r="S101" s="332"/>
      <c r="T101" s="332"/>
      <c r="U101" s="332"/>
      <c r="V101" s="332"/>
      <c r="W101" s="332"/>
      <c r="X101" s="332"/>
      <c r="Y101" s="332"/>
      <c r="Z101" s="332"/>
      <c r="AA101" s="332"/>
      <c r="AB101" s="332"/>
      <c r="AC101" s="332"/>
      <c r="AD101" s="332"/>
      <c r="AE101" s="332"/>
      <c r="AF101" s="332"/>
      <c r="AG101" s="332"/>
      <c r="AH101" s="332"/>
      <c r="AI101" s="332"/>
      <c r="AJ101" s="332"/>
      <c r="AK101" s="332"/>
      <c r="AL101" s="332"/>
      <c r="AM101" s="119"/>
    </row>
    <row r="102" spans="1:48" ht="18" customHeight="1" x14ac:dyDescent="0.25">
      <c r="A102" s="632"/>
      <c r="B102" s="633"/>
      <c r="C102" s="633"/>
      <c r="D102" s="633"/>
      <c r="E102" s="633"/>
      <c r="F102" s="633"/>
      <c r="G102" s="633"/>
      <c r="H102" s="633"/>
      <c r="I102" s="633"/>
      <c r="J102" s="633"/>
      <c r="K102" s="633"/>
      <c r="L102" s="633"/>
      <c r="M102" s="633"/>
      <c r="N102" s="633"/>
      <c r="O102" s="633"/>
      <c r="P102" s="633"/>
      <c r="Q102" s="633"/>
      <c r="R102" s="633"/>
      <c r="S102" s="633"/>
      <c r="T102" s="633"/>
      <c r="U102" s="633"/>
      <c r="V102" s="633"/>
      <c r="W102" s="633"/>
      <c r="X102" s="633"/>
      <c r="Y102" s="633"/>
      <c r="Z102" s="633"/>
      <c r="AA102" s="633"/>
      <c r="AB102" s="633"/>
      <c r="AC102" s="633"/>
      <c r="AD102" s="633"/>
      <c r="AE102" s="633"/>
      <c r="AF102" s="633"/>
      <c r="AG102" s="633"/>
      <c r="AH102" s="633"/>
      <c r="AI102" s="633"/>
      <c r="AJ102" s="633"/>
      <c r="AK102" s="633"/>
      <c r="AL102" s="634"/>
    </row>
    <row r="103" spans="1:48" ht="14.7" customHeight="1" x14ac:dyDescent="0.25">
      <c r="A103" s="308" t="s">
        <v>791</v>
      </c>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8"/>
      <c r="AH103" s="308"/>
      <c r="AI103" s="308"/>
      <c r="AJ103" s="308"/>
      <c r="AK103" s="308"/>
      <c r="AL103" s="308"/>
      <c r="AM103" s="335" t="s">
        <v>914</v>
      </c>
      <c r="AN103" s="335"/>
      <c r="AO103" s="335"/>
      <c r="AP103" s="335"/>
      <c r="AQ103" s="335"/>
      <c r="AR103" s="335"/>
      <c r="AS103" s="335"/>
      <c r="AT103" s="335"/>
      <c r="AU103" s="335"/>
      <c r="AV103" s="335"/>
    </row>
    <row r="104" spans="1:48" x14ac:dyDescent="0.25">
      <c r="A104" s="635"/>
      <c r="B104" s="636"/>
      <c r="C104" s="636"/>
      <c r="D104" s="636"/>
      <c r="E104" s="636"/>
      <c r="F104" s="636"/>
      <c r="G104" s="636"/>
      <c r="H104" s="636"/>
      <c r="I104" s="636"/>
      <c r="J104" s="636"/>
      <c r="K104" s="636"/>
      <c r="L104" s="636"/>
      <c r="M104" s="636"/>
      <c r="N104" s="636"/>
      <c r="O104" s="636"/>
      <c r="P104" s="636"/>
      <c r="Q104" s="636"/>
      <c r="R104" s="636"/>
      <c r="S104" s="636"/>
      <c r="T104" s="636"/>
      <c r="U104" s="636"/>
      <c r="V104" s="636"/>
      <c r="W104" s="636"/>
      <c r="X104" s="636"/>
      <c r="Y104" s="636"/>
      <c r="Z104" s="636"/>
      <c r="AA104" s="636"/>
      <c r="AB104" s="636"/>
      <c r="AC104" s="636"/>
      <c r="AD104" s="636"/>
      <c r="AE104" s="636"/>
      <c r="AF104" s="636"/>
      <c r="AG104" s="636"/>
      <c r="AH104" s="636"/>
      <c r="AI104" s="636"/>
      <c r="AJ104" s="636"/>
      <c r="AK104" s="636"/>
      <c r="AL104" s="637"/>
    </row>
    <row r="105" spans="1:48" ht="34.200000000000003" customHeight="1" x14ac:dyDescent="0.25">
      <c r="A105" s="308" t="s">
        <v>696</v>
      </c>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c r="AH105" s="308"/>
      <c r="AI105" s="308"/>
      <c r="AJ105" s="308"/>
      <c r="AK105" s="308"/>
      <c r="AL105" s="308"/>
      <c r="AM105" s="335" t="s">
        <v>914</v>
      </c>
      <c r="AN105" s="335"/>
      <c r="AO105" s="335"/>
      <c r="AP105" s="335"/>
      <c r="AQ105" s="335"/>
      <c r="AR105" s="335"/>
      <c r="AS105" s="335"/>
      <c r="AT105" s="335"/>
      <c r="AU105" s="335"/>
      <c r="AV105" s="335"/>
    </row>
    <row r="106" spans="1:48" x14ac:dyDescent="0.25">
      <c r="A106" s="635"/>
      <c r="B106" s="636"/>
      <c r="C106" s="636"/>
      <c r="D106" s="636"/>
      <c r="E106" s="636"/>
      <c r="F106" s="636"/>
      <c r="G106" s="636"/>
      <c r="H106" s="636"/>
      <c r="I106" s="636"/>
      <c r="J106" s="636"/>
      <c r="K106" s="636"/>
      <c r="L106" s="636"/>
      <c r="M106" s="636"/>
      <c r="N106" s="636"/>
      <c r="O106" s="636"/>
      <c r="P106" s="636"/>
      <c r="Q106" s="636"/>
      <c r="R106" s="636"/>
      <c r="S106" s="636"/>
      <c r="T106" s="636"/>
      <c r="U106" s="636"/>
      <c r="V106" s="636"/>
      <c r="W106" s="636"/>
      <c r="X106" s="636"/>
      <c r="Y106" s="636"/>
      <c r="Z106" s="636"/>
      <c r="AA106" s="636"/>
      <c r="AB106" s="636"/>
      <c r="AC106" s="636"/>
      <c r="AD106" s="636"/>
      <c r="AE106" s="636"/>
      <c r="AF106" s="636"/>
      <c r="AG106" s="636"/>
      <c r="AH106" s="636"/>
      <c r="AI106" s="636"/>
      <c r="AJ106" s="636"/>
      <c r="AK106" s="636"/>
      <c r="AL106" s="637"/>
    </row>
    <row r="107" spans="1:48" ht="27" customHeight="1" x14ac:dyDescent="0.25">
      <c r="A107" s="308" t="s">
        <v>792</v>
      </c>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c r="AH107" s="308"/>
      <c r="AI107" s="308"/>
      <c r="AJ107" s="308"/>
      <c r="AK107" s="308"/>
      <c r="AL107" s="308"/>
    </row>
    <row r="108" spans="1:48" ht="15" customHeight="1" x14ac:dyDescent="0.25">
      <c r="A108" s="635"/>
      <c r="B108" s="636"/>
      <c r="C108" s="636"/>
      <c r="D108" s="636"/>
      <c r="E108" s="636"/>
      <c r="F108" s="636"/>
      <c r="G108" s="636"/>
      <c r="H108" s="636"/>
      <c r="I108" s="636"/>
      <c r="J108" s="636"/>
      <c r="K108" s="636"/>
      <c r="L108" s="636"/>
      <c r="M108" s="636"/>
      <c r="N108" s="636"/>
      <c r="O108" s="636"/>
      <c r="P108" s="636"/>
      <c r="Q108" s="636"/>
      <c r="R108" s="636"/>
      <c r="S108" s="636"/>
      <c r="T108" s="636"/>
      <c r="U108" s="636"/>
      <c r="V108" s="636"/>
      <c r="W108" s="636"/>
      <c r="X108" s="636"/>
      <c r="Y108" s="636"/>
      <c r="Z108" s="636"/>
      <c r="AA108" s="636"/>
      <c r="AB108" s="636"/>
      <c r="AC108" s="636"/>
      <c r="AD108" s="636"/>
      <c r="AE108" s="636"/>
      <c r="AF108" s="636"/>
      <c r="AG108" s="636"/>
      <c r="AH108" s="636"/>
      <c r="AI108" s="636"/>
      <c r="AJ108" s="636"/>
      <c r="AK108" s="636"/>
      <c r="AL108" s="637"/>
    </row>
    <row r="109" spans="1:48" x14ac:dyDescent="0.25">
      <c r="A109" s="328" t="s">
        <v>687</v>
      </c>
      <c r="B109" s="328"/>
      <c r="C109" s="328"/>
      <c r="D109" s="328"/>
      <c r="E109" s="328"/>
      <c r="F109" s="328"/>
      <c r="G109" s="328"/>
      <c r="H109" s="328"/>
      <c r="I109" s="328"/>
      <c r="J109" s="328"/>
      <c r="K109" s="328"/>
      <c r="L109" s="328"/>
      <c r="M109" s="328"/>
      <c r="N109" s="328"/>
      <c r="O109" s="328"/>
      <c r="P109" s="328"/>
      <c r="Q109" s="328"/>
      <c r="R109" s="328"/>
      <c r="S109" s="328"/>
      <c r="T109" s="328"/>
      <c r="U109" s="328"/>
      <c r="V109" s="328"/>
      <c r="W109" s="328"/>
      <c r="X109" s="328"/>
      <c r="Y109" s="328"/>
      <c r="Z109" s="328"/>
      <c r="AA109" s="328"/>
      <c r="AB109" s="328"/>
      <c r="AC109" s="328"/>
      <c r="AD109" s="328"/>
      <c r="AE109" s="328"/>
      <c r="AF109" s="328"/>
      <c r="AG109" s="328"/>
      <c r="AH109" s="328"/>
      <c r="AI109" s="328"/>
      <c r="AJ109" s="328"/>
      <c r="AK109" s="328"/>
      <c r="AL109" s="328"/>
      <c r="AM109" s="119"/>
    </row>
    <row r="110" spans="1:48" ht="28.5" customHeight="1" x14ac:dyDescent="0.25">
      <c r="A110" s="405" t="s">
        <v>735</v>
      </c>
      <c r="B110" s="668"/>
      <c r="C110" s="668"/>
      <c r="D110" s="668"/>
      <c r="E110" s="668"/>
      <c r="F110" s="668"/>
      <c r="G110" s="668"/>
      <c r="H110" s="668"/>
      <c r="I110" s="668"/>
      <c r="J110" s="668"/>
      <c r="K110" s="668"/>
      <c r="L110" s="668"/>
      <c r="M110" s="668"/>
      <c r="N110" s="668"/>
      <c r="O110" s="668"/>
      <c r="P110" s="668"/>
      <c r="Q110" s="668"/>
      <c r="R110" s="668"/>
      <c r="S110" s="668"/>
      <c r="T110" s="668"/>
      <c r="U110" s="668"/>
      <c r="V110" s="668"/>
      <c r="W110" s="668"/>
      <c r="X110" s="668"/>
      <c r="Y110" s="668"/>
      <c r="Z110" s="668"/>
      <c r="AA110" s="668"/>
      <c r="AB110" s="668"/>
      <c r="AC110" s="668"/>
      <c r="AD110" s="668"/>
      <c r="AE110" s="668"/>
      <c r="AF110" s="668"/>
      <c r="AG110" s="668"/>
      <c r="AH110" s="668"/>
      <c r="AI110" s="668"/>
      <c r="AJ110" s="668"/>
      <c r="AK110" s="668"/>
      <c r="AL110" s="669"/>
      <c r="AM110" s="119"/>
    </row>
    <row r="111" spans="1:48" ht="45" customHeight="1" x14ac:dyDescent="0.25">
      <c r="A111" s="670" t="s">
        <v>736</v>
      </c>
      <c r="B111" s="671"/>
      <c r="C111" s="671"/>
      <c r="D111" s="671"/>
      <c r="E111" s="671"/>
      <c r="F111" s="671"/>
      <c r="G111" s="671"/>
      <c r="H111" s="671"/>
      <c r="I111" s="671"/>
      <c r="J111" s="671"/>
      <c r="K111" s="671"/>
      <c r="L111" s="671"/>
      <c r="M111" s="671"/>
      <c r="N111" s="671"/>
      <c r="O111" s="671"/>
      <c r="P111" s="671"/>
      <c r="Q111" s="671"/>
      <c r="R111" s="671"/>
      <c r="S111" s="671"/>
      <c r="T111" s="671"/>
      <c r="U111" s="671"/>
      <c r="V111" s="671"/>
      <c r="W111" s="671"/>
      <c r="X111" s="671"/>
      <c r="Y111" s="671"/>
      <c r="Z111" s="671"/>
      <c r="AA111" s="671"/>
      <c r="AB111" s="671"/>
      <c r="AC111" s="671"/>
      <c r="AD111" s="671"/>
      <c r="AE111" s="671"/>
      <c r="AF111" s="671"/>
      <c r="AG111" s="671"/>
      <c r="AH111" s="671"/>
      <c r="AI111" s="671"/>
      <c r="AJ111" s="671"/>
      <c r="AK111" s="671"/>
      <c r="AL111" s="672"/>
      <c r="AM111" s="119"/>
    </row>
    <row r="112" spans="1:48" ht="60.45" customHeight="1" x14ac:dyDescent="0.25">
      <c r="A112" s="405" t="s">
        <v>924</v>
      </c>
      <c r="B112" s="668"/>
      <c r="C112" s="668"/>
      <c r="D112" s="668"/>
      <c r="E112" s="668"/>
      <c r="F112" s="668"/>
      <c r="G112" s="668"/>
      <c r="H112" s="668"/>
      <c r="I112" s="668"/>
      <c r="J112" s="668"/>
      <c r="K112" s="668"/>
      <c r="L112" s="668"/>
      <c r="M112" s="668"/>
      <c r="N112" s="668"/>
      <c r="O112" s="668"/>
      <c r="P112" s="668"/>
      <c r="Q112" s="668"/>
      <c r="R112" s="668"/>
      <c r="S112" s="668"/>
      <c r="T112" s="668"/>
      <c r="U112" s="668"/>
      <c r="V112" s="668"/>
      <c r="W112" s="668"/>
      <c r="X112" s="668"/>
      <c r="Y112" s="668"/>
      <c r="Z112" s="668"/>
      <c r="AA112" s="668"/>
      <c r="AB112" s="668"/>
      <c r="AC112" s="668"/>
      <c r="AD112" s="668"/>
      <c r="AE112" s="668"/>
      <c r="AF112" s="668"/>
      <c r="AG112" s="668"/>
      <c r="AH112" s="668"/>
      <c r="AI112" s="668"/>
      <c r="AJ112" s="668"/>
      <c r="AK112" s="668"/>
      <c r="AL112" s="669"/>
      <c r="AM112" s="119"/>
    </row>
    <row r="113" spans="1:39" ht="41.7" customHeight="1" x14ac:dyDescent="0.25">
      <c r="A113" s="618" t="s">
        <v>793</v>
      </c>
      <c r="B113" s="619"/>
      <c r="C113" s="619"/>
      <c r="D113" s="619"/>
      <c r="E113" s="619"/>
      <c r="F113" s="619"/>
      <c r="G113" s="619"/>
      <c r="H113" s="619"/>
      <c r="I113" s="619"/>
      <c r="J113" s="619"/>
      <c r="K113" s="619"/>
      <c r="L113" s="619"/>
      <c r="M113" s="619"/>
      <c r="N113" s="619"/>
      <c r="O113" s="619"/>
      <c r="P113" s="619"/>
      <c r="Q113" s="619"/>
      <c r="R113" s="619"/>
      <c r="S113" s="619"/>
      <c r="T113" s="619"/>
      <c r="U113" s="619"/>
      <c r="V113" s="619"/>
      <c r="W113" s="619"/>
      <c r="X113" s="619"/>
      <c r="Y113" s="619"/>
      <c r="Z113" s="619"/>
      <c r="AA113" s="619"/>
      <c r="AB113" s="619"/>
      <c r="AC113" s="619"/>
      <c r="AD113" s="619"/>
      <c r="AE113" s="619"/>
      <c r="AF113" s="619"/>
      <c r="AG113" s="619"/>
      <c r="AH113" s="619"/>
      <c r="AI113" s="619"/>
      <c r="AJ113" s="619"/>
      <c r="AK113" s="619"/>
      <c r="AL113" s="620"/>
      <c r="AM113" s="119"/>
    </row>
    <row r="114" spans="1:39" ht="58.5" customHeight="1" x14ac:dyDescent="0.25">
      <c r="A114" s="315" t="s">
        <v>738</v>
      </c>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c r="AA114" s="315"/>
      <c r="AB114" s="315"/>
      <c r="AC114" s="315"/>
      <c r="AD114" s="315"/>
      <c r="AE114" s="315"/>
      <c r="AF114" s="315"/>
      <c r="AG114" s="315"/>
      <c r="AH114" s="315"/>
      <c r="AI114" s="315"/>
      <c r="AJ114" s="315"/>
      <c r="AK114" s="315"/>
      <c r="AL114" s="315"/>
    </row>
    <row r="115" spans="1:39" ht="45" customHeight="1" x14ac:dyDescent="0.25">
      <c r="A115" s="333" t="s">
        <v>739</v>
      </c>
      <c r="B115" s="333"/>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row>
    <row r="116" spans="1:39" ht="45" customHeight="1" x14ac:dyDescent="0.25">
      <c r="A116" s="308" t="s">
        <v>1109</v>
      </c>
      <c r="B116" s="332"/>
      <c r="C116" s="332"/>
      <c r="D116" s="332"/>
      <c r="E116" s="332"/>
      <c r="F116" s="332"/>
      <c r="G116" s="332"/>
      <c r="H116" s="332"/>
      <c r="I116" s="332"/>
      <c r="J116" s="332"/>
      <c r="K116" s="332"/>
      <c r="L116" s="332"/>
      <c r="M116" s="332"/>
      <c r="N116" s="332"/>
      <c r="O116" s="332"/>
      <c r="P116" s="332"/>
      <c r="Q116" s="332"/>
      <c r="R116" s="332"/>
      <c r="S116" s="332"/>
      <c r="T116" s="332"/>
      <c r="U116" s="332"/>
      <c r="V116" s="332"/>
      <c r="W116" s="332"/>
      <c r="X116" s="332"/>
      <c r="Y116" s="332"/>
      <c r="Z116" s="332"/>
      <c r="AA116" s="332"/>
      <c r="AB116" s="332"/>
      <c r="AC116" s="332"/>
      <c r="AD116" s="332"/>
      <c r="AE116" s="332"/>
      <c r="AF116" s="332"/>
      <c r="AG116" s="332"/>
      <c r="AH116" s="332"/>
      <c r="AI116" s="332"/>
      <c r="AJ116" s="332"/>
      <c r="AK116" s="332"/>
      <c r="AL116" s="332"/>
    </row>
    <row r="117" spans="1:39" ht="45" customHeight="1" x14ac:dyDescent="0.25">
      <c r="A117" s="333" t="s">
        <v>742</v>
      </c>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row>
    <row r="118" spans="1:39" ht="45" customHeight="1" x14ac:dyDescent="0.25">
      <c r="A118" s="405" t="s">
        <v>1131</v>
      </c>
      <c r="B118" s="382"/>
      <c r="C118" s="382"/>
      <c r="D118" s="382"/>
      <c r="E118" s="382"/>
      <c r="F118" s="382"/>
      <c r="G118" s="382"/>
      <c r="H118" s="382"/>
      <c r="I118" s="382"/>
      <c r="J118" s="382"/>
      <c r="K118" s="382"/>
      <c r="L118" s="382"/>
      <c r="M118" s="382"/>
      <c r="N118" s="382"/>
      <c r="O118" s="382"/>
      <c r="P118" s="382"/>
      <c r="Q118" s="382"/>
      <c r="R118" s="382"/>
      <c r="S118" s="382"/>
      <c r="T118" s="382"/>
      <c r="U118" s="382"/>
      <c r="V118" s="382"/>
      <c r="W118" s="382"/>
      <c r="X118" s="382"/>
      <c r="Y118" s="382"/>
      <c r="Z118" s="382"/>
      <c r="AA118" s="382"/>
      <c r="AB118" s="382"/>
      <c r="AC118" s="382"/>
      <c r="AD118" s="382"/>
      <c r="AE118" s="382"/>
      <c r="AF118" s="382"/>
      <c r="AG118" s="382"/>
      <c r="AH118" s="382"/>
      <c r="AI118" s="382"/>
      <c r="AJ118" s="382"/>
      <c r="AK118" s="382"/>
      <c r="AL118" s="383"/>
    </row>
    <row r="119" spans="1:39" ht="45" customHeight="1" x14ac:dyDescent="0.3">
      <c r="A119" s="406" t="s">
        <v>749</v>
      </c>
      <c r="B119" s="406"/>
      <c r="C119" s="406"/>
      <c r="D119" s="406"/>
      <c r="E119" s="406"/>
      <c r="F119" s="406"/>
      <c r="G119" s="406"/>
      <c r="H119" s="406"/>
      <c r="I119" s="406"/>
      <c r="J119" s="406"/>
      <c r="K119" s="406"/>
      <c r="L119" s="406"/>
      <c r="M119" s="406"/>
      <c r="N119" s="406"/>
      <c r="O119" s="406"/>
      <c r="P119" s="406"/>
      <c r="Q119" s="406"/>
      <c r="R119" s="406"/>
      <c r="S119" s="406"/>
      <c r="T119" s="406"/>
      <c r="U119" s="406"/>
      <c r="V119" s="406"/>
      <c r="W119" s="406"/>
      <c r="X119" s="406"/>
      <c r="Y119" s="406"/>
      <c r="Z119" s="406"/>
      <c r="AA119" s="401"/>
      <c r="AB119" s="402"/>
      <c r="AC119" s="402"/>
      <c r="AD119" s="402"/>
      <c r="AE119" s="402"/>
      <c r="AF119" s="402"/>
      <c r="AG119" s="402"/>
      <c r="AH119" s="402"/>
      <c r="AI119" s="402"/>
      <c r="AJ119" s="402"/>
      <c r="AK119" s="402"/>
      <c r="AL119" s="402"/>
    </row>
    <row r="120" spans="1:39" ht="34.950000000000003" customHeight="1" x14ac:dyDescent="0.3">
      <c r="A120" s="381" t="s">
        <v>750</v>
      </c>
      <c r="B120" s="382"/>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c r="Z120" s="383"/>
      <c r="AA120" s="407"/>
      <c r="AB120" s="408"/>
      <c r="AC120" s="408"/>
      <c r="AD120" s="408"/>
      <c r="AE120" s="408"/>
      <c r="AF120" s="408"/>
      <c r="AG120" s="408"/>
      <c r="AH120" s="408"/>
      <c r="AI120" s="408"/>
      <c r="AJ120" s="408"/>
      <c r="AK120" s="408"/>
      <c r="AL120" s="408"/>
    </row>
    <row r="121" spans="1:39" ht="45" customHeight="1" x14ac:dyDescent="0.3">
      <c r="A121" s="314" t="s">
        <v>931</v>
      </c>
      <c r="B121" s="315"/>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c r="Y121" s="315"/>
      <c r="Z121" s="315"/>
      <c r="AA121" s="398" t="s">
        <v>865</v>
      </c>
      <c r="AB121" s="399"/>
      <c r="AC121" s="399"/>
      <c r="AD121" s="399"/>
      <c r="AE121" s="399"/>
      <c r="AF121" s="399"/>
      <c r="AG121" s="399"/>
      <c r="AH121" s="399"/>
      <c r="AI121" s="400"/>
      <c r="AJ121" s="401"/>
      <c r="AK121" s="402"/>
      <c r="AL121" s="402"/>
    </row>
    <row r="122" spans="1:39" ht="45" customHeight="1" x14ac:dyDescent="0.3">
      <c r="A122" s="409"/>
      <c r="B122" s="397"/>
      <c r="C122" s="397"/>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c r="AA122" s="398" t="s">
        <v>866</v>
      </c>
      <c r="AB122" s="399"/>
      <c r="AC122" s="399"/>
      <c r="AD122" s="399"/>
      <c r="AE122" s="399"/>
      <c r="AF122" s="399"/>
      <c r="AG122" s="399"/>
      <c r="AH122" s="399"/>
      <c r="AI122" s="400"/>
      <c r="AJ122" s="401"/>
      <c r="AK122" s="402"/>
      <c r="AL122" s="402"/>
    </row>
    <row r="123" spans="1:39" ht="85.2" customHeight="1" x14ac:dyDescent="0.25">
      <c r="A123" s="381" t="s">
        <v>932</v>
      </c>
      <c r="B123" s="382"/>
      <c r="C123" s="382"/>
      <c r="D123" s="382"/>
      <c r="E123" s="382"/>
      <c r="F123" s="382"/>
      <c r="G123" s="382"/>
      <c r="H123" s="382"/>
      <c r="I123" s="382"/>
      <c r="J123" s="382"/>
      <c r="K123" s="382"/>
      <c r="L123" s="382"/>
      <c r="M123" s="382"/>
      <c r="N123" s="382"/>
      <c r="O123" s="382"/>
      <c r="P123" s="382"/>
      <c r="Q123" s="382"/>
      <c r="R123" s="382"/>
      <c r="S123" s="382"/>
      <c r="T123" s="382"/>
      <c r="U123" s="382"/>
      <c r="V123" s="382"/>
      <c r="W123" s="382"/>
      <c r="X123" s="382"/>
      <c r="Y123" s="382"/>
      <c r="Z123" s="383"/>
      <c r="AA123" s="384"/>
      <c r="AB123" s="385"/>
      <c r="AC123" s="385"/>
      <c r="AD123" s="385"/>
      <c r="AE123" s="385"/>
      <c r="AF123" s="385"/>
      <c r="AG123" s="385"/>
      <c r="AH123" s="385"/>
      <c r="AI123" s="385"/>
      <c r="AJ123" s="385"/>
      <c r="AK123" s="385"/>
      <c r="AL123" s="385"/>
    </row>
    <row r="124" spans="1:39" ht="45" customHeight="1" x14ac:dyDescent="0.3">
      <c r="A124" s="377" t="s">
        <v>1132</v>
      </c>
      <c r="B124" s="377"/>
      <c r="C124" s="377"/>
      <c r="D124" s="377"/>
      <c r="E124" s="377"/>
      <c r="F124" s="377"/>
      <c r="G124" s="377"/>
      <c r="H124" s="377"/>
      <c r="I124" s="377"/>
      <c r="J124" s="377"/>
      <c r="K124" s="377"/>
      <c r="L124" s="377"/>
      <c r="M124" s="377"/>
      <c r="N124" s="377"/>
      <c r="O124" s="377"/>
      <c r="P124" s="377"/>
      <c r="Q124" s="377"/>
      <c r="R124" s="377"/>
      <c r="S124" s="377"/>
      <c r="T124" s="377"/>
      <c r="U124" s="377"/>
      <c r="V124" s="377"/>
      <c r="W124" s="377"/>
      <c r="X124" s="377"/>
      <c r="Y124" s="377"/>
      <c r="Z124" s="378"/>
      <c r="AA124" s="398" t="s">
        <v>956</v>
      </c>
      <c r="AB124" s="399"/>
      <c r="AC124" s="399"/>
      <c r="AD124" s="399"/>
      <c r="AE124" s="399"/>
      <c r="AF124" s="399"/>
      <c r="AG124" s="399"/>
      <c r="AH124" s="399"/>
      <c r="AI124" s="400"/>
      <c r="AJ124" s="401"/>
      <c r="AK124" s="402"/>
      <c r="AL124" s="402"/>
    </row>
    <row r="125" spans="1:39" ht="43.95" customHeight="1" x14ac:dyDescent="0.3">
      <c r="A125" s="379"/>
      <c r="B125" s="379"/>
      <c r="C125" s="379"/>
      <c r="D125" s="379"/>
      <c r="E125" s="379"/>
      <c r="F125" s="379"/>
      <c r="G125" s="379"/>
      <c r="H125" s="379"/>
      <c r="I125" s="379"/>
      <c r="J125" s="379"/>
      <c r="K125" s="379"/>
      <c r="L125" s="379"/>
      <c r="M125" s="379"/>
      <c r="N125" s="379"/>
      <c r="O125" s="379"/>
      <c r="P125" s="379"/>
      <c r="Q125" s="379"/>
      <c r="R125" s="379"/>
      <c r="S125" s="379"/>
      <c r="T125" s="379"/>
      <c r="U125" s="379"/>
      <c r="V125" s="379"/>
      <c r="W125" s="379"/>
      <c r="X125" s="379"/>
      <c r="Y125" s="379"/>
      <c r="Z125" s="380"/>
      <c r="AA125" s="398" t="s">
        <v>955</v>
      </c>
      <c r="AB125" s="399"/>
      <c r="AC125" s="399"/>
      <c r="AD125" s="399"/>
      <c r="AE125" s="399"/>
      <c r="AF125" s="399"/>
      <c r="AG125" s="399"/>
      <c r="AH125" s="399"/>
      <c r="AI125" s="400"/>
      <c r="AJ125" s="407"/>
      <c r="AK125" s="408"/>
      <c r="AL125" s="408"/>
    </row>
    <row r="126" spans="1:39" ht="45" customHeight="1" x14ac:dyDescent="0.3">
      <c r="A126" s="315" t="s">
        <v>933</v>
      </c>
      <c r="B126" s="315"/>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c r="Y126" s="315"/>
      <c r="Z126" s="315"/>
      <c r="AA126" s="398" t="s">
        <v>956</v>
      </c>
      <c r="AB126" s="399"/>
      <c r="AC126" s="399"/>
      <c r="AD126" s="399"/>
      <c r="AE126" s="399"/>
      <c r="AF126" s="399"/>
      <c r="AG126" s="399"/>
      <c r="AH126" s="399"/>
      <c r="AI126" s="400"/>
      <c r="AJ126" s="401"/>
      <c r="AK126" s="402"/>
      <c r="AL126" s="402"/>
    </row>
    <row r="127" spans="1:39" ht="45" customHeight="1" x14ac:dyDescent="0.3">
      <c r="A127" s="397"/>
      <c r="B127" s="397"/>
      <c r="C127" s="397"/>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c r="AA127" s="398" t="s">
        <v>955</v>
      </c>
      <c r="AB127" s="399"/>
      <c r="AC127" s="399"/>
      <c r="AD127" s="399"/>
      <c r="AE127" s="399"/>
      <c r="AF127" s="399"/>
      <c r="AG127" s="399"/>
      <c r="AH127" s="399"/>
      <c r="AI127" s="400"/>
      <c r="AJ127" s="401"/>
      <c r="AK127" s="402"/>
      <c r="AL127" s="402"/>
    </row>
    <row r="128" spans="1:39" ht="45" customHeight="1" x14ac:dyDescent="0.25">
      <c r="A128" s="404" t="s">
        <v>929</v>
      </c>
      <c r="B128" s="404"/>
      <c r="C128" s="404"/>
      <c r="D128" s="404"/>
      <c r="E128" s="404"/>
      <c r="F128" s="404"/>
      <c r="G128" s="404"/>
      <c r="H128" s="404"/>
      <c r="I128" s="404"/>
      <c r="J128" s="404"/>
      <c r="K128" s="404"/>
      <c r="L128" s="404"/>
      <c r="M128" s="404"/>
      <c r="N128" s="404"/>
      <c r="O128" s="404"/>
      <c r="P128" s="404"/>
      <c r="Q128" s="404"/>
      <c r="R128" s="404"/>
      <c r="S128" s="404"/>
      <c r="T128" s="404"/>
      <c r="U128" s="404"/>
      <c r="V128" s="404"/>
      <c r="W128" s="404"/>
      <c r="X128" s="404"/>
      <c r="Y128" s="404"/>
      <c r="Z128" s="404"/>
      <c r="AA128" s="404"/>
      <c r="AB128" s="404"/>
      <c r="AC128" s="404"/>
      <c r="AD128" s="404"/>
      <c r="AE128" s="404"/>
      <c r="AF128" s="404"/>
      <c r="AG128" s="404"/>
      <c r="AH128" s="404"/>
      <c r="AI128" s="404"/>
      <c r="AJ128" s="404"/>
      <c r="AK128" s="404"/>
      <c r="AL128" s="404"/>
    </row>
    <row r="129" spans="1:41" ht="164.7" customHeight="1" x14ac:dyDescent="0.3">
      <c r="A129" s="318" t="s">
        <v>1015</v>
      </c>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c r="AI129" s="320"/>
      <c r="AJ129" s="321" t="e">
        <f>ROUNDDOWN(A104/(A104+A108),4)</f>
        <v>#DIV/0!</v>
      </c>
      <c r="AK129" s="322"/>
      <c r="AL129" s="322"/>
    </row>
    <row r="130" spans="1:41" ht="301.2" customHeight="1" x14ac:dyDescent="0.3">
      <c r="A130" s="318" t="s">
        <v>1152</v>
      </c>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20"/>
      <c r="AJ130" s="323" t="e">
        <f>ROUNDDOWN(AJ127/AJ124,4)</f>
        <v>#DIV/0!</v>
      </c>
      <c r="AK130" s="324"/>
      <c r="AL130" s="324"/>
    </row>
    <row r="131" spans="1:41" ht="70.95" customHeight="1" x14ac:dyDescent="0.25">
      <c r="A131" s="314" t="s">
        <v>1030</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315"/>
      <c r="AD131" s="315"/>
      <c r="AE131" s="315"/>
      <c r="AF131" s="315"/>
      <c r="AG131" s="315"/>
      <c r="AH131" s="315"/>
      <c r="AI131" s="315"/>
      <c r="AJ131" s="315"/>
      <c r="AK131" s="315"/>
      <c r="AL131" s="315"/>
    </row>
    <row r="132" spans="1:41" ht="109.2" customHeight="1" x14ac:dyDescent="0.25">
      <c r="A132" s="316"/>
      <c r="B132" s="317"/>
      <c r="C132" s="317"/>
      <c r="D132" s="317"/>
      <c r="E132" s="317"/>
      <c r="F132" s="317"/>
      <c r="G132" s="317"/>
      <c r="H132" s="317"/>
      <c r="I132" s="317"/>
      <c r="J132" s="317"/>
      <c r="K132" s="317"/>
      <c r="L132" s="317"/>
      <c r="M132" s="317"/>
      <c r="N132" s="317"/>
      <c r="O132" s="317"/>
      <c r="P132" s="317"/>
      <c r="Q132" s="317"/>
      <c r="R132" s="317"/>
      <c r="S132" s="317"/>
      <c r="T132" s="317"/>
      <c r="U132" s="317"/>
      <c r="V132" s="317"/>
      <c r="W132" s="317"/>
      <c r="X132" s="317"/>
      <c r="Y132" s="317"/>
      <c r="Z132" s="317"/>
      <c r="AA132" s="317"/>
      <c r="AB132" s="317"/>
      <c r="AC132" s="317"/>
      <c r="AD132" s="317"/>
      <c r="AE132" s="317"/>
      <c r="AF132" s="317"/>
      <c r="AG132" s="317"/>
      <c r="AH132" s="317"/>
      <c r="AI132" s="317"/>
      <c r="AJ132" s="317"/>
      <c r="AK132" s="317"/>
      <c r="AL132" s="317"/>
    </row>
    <row r="133" spans="1:41" ht="142.94999999999999" customHeight="1" x14ac:dyDescent="0.25">
      <c r="A133" s="308" t="s">
        <v>1110</v>
      </c>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c r="AJ133" s="308"/>
      <c r="AK133" s="308"/>
      <c r="AL133" s="308"/>
    </row>
    <row r="134" spans="1:41" ht="81.45" customHeight="1" x14ac:dyDescent="0.25">
      <c r="A134" s="135" t="s">
        <v>127</v>
      </c>
      <c r="B134" s="311" t="s">
        <v>812</v>
      </c>
      <c r="C134" s="312"/>
      <c r="D134" s="312"/>
      <c r="E134" s="312"/>
      <c r="F134" s="313"/>
      <c r="G134" s="325" t="s">
        <v>813</v>
      </c>
      <c r="H134" s="325"/>
      <c r="I134" s="325"/>
      <c r="J134" s="325"/>
      <c r="K134" s="325"/>
      <c r="L134" s="325" t="s">
        <v>185</v>
      </c>
      <c r="M134" s="325"/>
      <c r="N134" s="325"/>
      <c r="O134" s="325"/>
      <c r="P134" s="325" t="s">
        <v>184</v>
      </c>
      <c r="Q134" s="325"/>
      <c r="R134" s="325"/>
      <c r="S134" s="325"/>
      <c r="T134" s="325" t="s">
        <v>665</v>
      </c>
      <c r="U134" s="325"/>
      <c r="V134" s="325"/>
      <c r="W134" s="325"/>
      <c r="X134" s="325"/>
      <c r="Y134" s="325"/>
      <c r="Z134" s="325"/>
      <c r="AA134" s="325" t="s">
        <v>664</v>
      </c>
      <c r="AB134" s="325"/>
      <c r="AC134" s="325"/>
      <c r="AD134" s="325"/>
      <c r="AE134" s="325"/>
      <c r="AF134" s="325"/>
      <c r="AG134" s="325"/>
      <c r="AH134" s="325" t="s">
        <v>179</v>
      </c>
      <c r="AI134" s="325"/>
      <c r="AJ134" s="325"/>
      <c r="AK134" s="325" t="s">
        <v>186</v>
      </c>
      <c r="AL134" s="325"/>
      <c r="AM134" s="137" t="s">
        <v>221</v>
      </c>
    </row>
    <row r="135" spans="1:41" ht="16.5" customHeight="1" x14ac:dyDescent="0.25">
      <c r="A135" s="135">
        <v>1</v>
      </c>
      <c r="B135" s="311">
        <v>2</v>
      </c>
      <c r="C135" s="312"/>
      <c r="D135" s="312"/>
      <c r="E135" s="312"/>
      <c r="F135" s="312"/>
      <c r="G135" s="311">
        <v>3</v>
      </c>
      <c r="H135" s="312"/>
      <c r="I135" s="312"/>
      <c r="J135" s="312"/>
      <c r="K135" s="313"/>
      <c r="L135" s="311">
        <v>4</v>
      </c>
      <c r="M135" s="312"/>
      <c r="N135" s="312"/>
      <c r="O135" s="313"/>
      <c r="P135" s="311">
        <v>5</v>
      </c>
      <c r="Q135" s="312"/>
      <c r="R135" s="312"/>
      <c r="S135" s="313"/>
      <c r="T135" s="311">
        <v>6</v>
      </c>
      <c r="U135" s="312"/>
      <c r="V135" s="312"/>
      <c r="W135" s="312"/>
      <c r="X135" s="312"/>
      <c r="Y135" s="312"/>
      <c r="Z135" s="313"/>
      <c r="AA135" s="311" t="s">
        <v>821</v>
      </c>
      <c r="AB135" s="312"/>
      <c r="AC135" s="312"/>
      <c r="AD135" s="312"/>
      <c r="AE135" s="312"/>
      <c r="AF135" s="312"/>
      <c r="AG135" s="313"/>
      <c r="AH135" s="311">
        <v>8</v>
      </c>
      <c r="AI135" s="312"/>
      <c r="AJ135" s="313"/>
      <c r="AK135" s="311" t="s">
        <v>666</v>
      </c>
      <c r="AL135" s="313"/>
      <c r="AM135" s="137"/>
    </row>
    <row r="136" spans="1:41" s="223" customFormat="1" ht="36" customHeight="1" x14ac:dyDescent="0.25">
      <c r="A136" s="128">
        <v>1</v>
      </c>
      <c r="B136" s="303"/>
      <c r="C136" s="304"/>
      <c r="D136" s="304"/>
      <c r="E136" s="304"/>
      <c r="F136" s="305"/>
      <c r="G136" s="300"/>
      <c r="H136" s="301"/>
      <c r="I136" s="301"/>
      <c r="J136" s="301"/>
      <c r="K136" s="302"/>
      <c r="L136" s="306"/>
      <c r="M136" s="307"/>
      <c r="N136" s="307"/>
      <c r="O136" s="307"/>
      <c r="P136" s="294">
        <f>IF(OR(B136=Słowniki!A$46,B136=Słowniki!A$56,B136=Słowniki!A$58,B136=Słowniki!A$59),0.08,0.23)</f>
        <v>0.23</v>
      </c>
      <c r="Q136" s="295"/>
      <c r="R136" s="295"/>
      <c r="S136" s="295"/>
      <c r="T136" s="528">
        <v>1</v>
      </c>
      <c r="U136" s="528"/>
      <c r="V136" s="528"/>
      <c r="W136" s="528"/>
      <c r="X136" s="528"/>
      <c r="Y136" s="528"/>
      <c r="Z136" s="529"/>
      <c r="AA136" s="526">
        <f>L136+ROUND(L136*P136*T136,2)</f>
        <v>0</v>
      </c>
      <c r="AB136" s="530"/>
      <c r="AC136" s="530"/>
      <c r="AD136" s="530"/>
      <c r="AE136" s="530"/>
      <c r="AF136" s="530"/>
      <c r="AG136" s="527"/>
      <c r="AH136" s="531" t="e">
        <f>IF(OR(B136=Słowniki!A$57,B136=Słowniki!A$58),(AJ$129*AJ$130),AJ$129)</f>
        <v>#DIV/0!</v>
      </c>
      <c r="AI136" s="532"/>
      <c r="AJ136" s="533"/>
      <c r="AK136" s="526" t="e">
        <f>ROUND(AA136*AH136,2)</f>
        <v>#DIV/0!</v>
      </c>
      <c r="AL136" s="527"/>
      <c r="AM136" s="221"/>
    </row>
    <row r="137" spans="1:41" s="223" customFormat="1" ht="36" customHeight="1" x14ac:dyDescent="0.25">
      <c r="A137" s="128">
        <v>2</v>
      </c>
      <c r="B137" s="303"/>
      <c r="C137" s="304"/>
      <c r="D137" s="304"/>
      <c r="E137" s="304"/>
      <c r="F137" s="305"/>
      <c r="G137" s="300"/>
      <c r="H137" s="301"/>
      <c r="I137" s="301"/>
      <c r="J137" s="301"/>
      <c r="K137" s="302"/>
      <c r="L137" s="306"/>
      <c r="M137" s="307"/>
      <c r="N137" s="307"/>
      <c r="O137" s="307"/>
      <c r="P137" s="294">
        <f>IF(OR(B137=Słowniki!A$46,B137=Słowniki!A$56,B137=Słowniki!A$58,B137=Słowniki!A$59),0.08,0.23)</f>
        <v>0.23</v>
      </c>
      <c r="Q137" s="295"/>
      <c r="R137" s="295"/>
      <c r="S137" s="295"/>
      <c r="T137" s="528">
        <v>1</v>
      </c>
      <c r="U137" s="528"/>
      <c r="V137" s="528"/>
      <c r="W137" s="528"/>
      <c r="X137" s="528"/>
      <c r="Y137" s="528"/>
      <c r="Z137" s="529"/>
      <c r="AA137" s="526">
        <f t="shared" ref="AA137:AA157" si="0">L137+ROUND(L137*P137*T137,2)</f>
        <v>0</v>
      </c>
      <c r="AB137" s="530"/>
      <c r="AC137" s="530"/>
      <c r="AD137" s="530"/>
      <c r="AE137" s="530"/>
      <c r="AF137" s="530"/>
      <c r="AG137" s="527"/>
      <c r="AH137" s="531" t="e">
        <f>IF(OR(B137=Słowniki!A$57,B137=Słowniki!A$58),(AJ$129*AJ$130),AJ$129)</f>
        <v>#DIV/0!</v>
      </c>
      <c r="AI137" s="532"/>
      <c r="AJ137" s="533"/>
      <c r="AK137" s="526" t="e">
        <f t="shared" ref="AK137:AK157" si="1">ROUND(AA137*AH137,2)</f>
        <v>#DIV/0!</v>
      </c>
      <c r="AL137" s="527"/>
      <c r="AM137" s="221"/>
      <c r="AN137" s="222"/>
      <c r="AO137" s="222"/>
    </row>
    <row r="138" spans="1:41" s="223" customFormat="1" ht="36" customHeight="1" x14ac:dyDescent="0.25">
      <c r="A138" s="128">
        <v>3</v>
      </c>
      <c r="B138" s="303"/>
      <c r="C138" s="304"/>
      <c r="D138" s="304"/>
      <c r="E138" s="304"/>
      <c r="F138" s="305"/>
      <c r="G138" s="300"/>
      <c r="H138" s="301"/>
      <c r="I138" s="301"/>
      <c r="J138" s="301"/>
      <c r="K138" s="302"/>
      <c r="L138" s="306"/>
      <c r="M138" s="307"/>
      <c r="N138" s="307"/>
      <c r="O138" s="307"/>
      <c r="P138" s="294">
        <f>IF(OR(B138=Słowniki!A$46,B138=Słowniki!A$56,B138=Słowniki!A$58,B138=Słowniki!A$59),0.08,0.23)</f>
        <v>0.23</v>
      </c>
      <c r="Q138" s="295"/>
      <c r="R138" s="295"/>
      <c r="S138" s="295"/>
      <c r="T138" s="528">
        <v>1</v>
      </c>
      <c r="U138" s="528"/>
      <c r="V138" s="528"/>
      <c r="W138" s="528"/>
      <c r="X138" s="528"/>
      <c r="Y138" s="528"/>
      <c r="Z138" s="529"/>
      <c r="AA138" s="526">
        <f t="shared" si="0"/>
        <v>0</v>
      </c>
      <c r="AB138" s="530"/>
      <c r="AC138" s="530"/>
      <c r="AD138" s="530"/>
      <c r="AE138" s="530"/>
      <c r="AF138" s="530"/>
      <c r="AG138" s="527"/>
      <c r="AH138" s="531" t="e">
        <f>IF(OR(B138=Słowniki!A$57,B138=Słowniki!A$58),(AJ$129*AJ$130),AJ$129)</f>
        <v>#DIV/0!</v>
      </c>
      <c r="AI138" s="532"/>
      <c r="AJ138" s="533"/>
      <c r="AK138" s="526" t="e">
        <f t="shared" si="1"/>
        <v>#DIV/0!</v>
      </c>
      <c r="AL138" s="527"/>
      <c r="AM138" s="221"/>
      <c r="AN138" s="222"/>
      <c r="AO138" s="222"/>
    </row>
    <row r="139" spans="1:41" s="223" customFormat="1" ht="36" customHeight="1" x14ac:dyDescent="0.25">
      <c r="A139" s="128">
        <v>4</v>
      </c>
      <c r="B139" s="303"/>
      <c r="C139" s="304"/>
      <c r="D139" s="304"/>
      <c r="E139" s="304"/>
      <c r="F139" s="305"/>
      <c r="G139" s="300"/>
      <c r="H139" s="301"/>
      <c r="I139" s="301"/>
      <c r="J139" s="301"/>
      <c r="K139" s="302"/>
      <c r="L139" s="306"/>
      <c r="M139" s="307"/>
      <c r="N139" s="307"/>
      <c r="O139" s="307"/>
      <c r="P139" s="294">
        <f>IF(OR(B139=Słowniki!A$46,B139=Słowniki!A$56,B139=Słowniki!A$58,B139=Słowniki!A$59),0.08,0.23)</f>
        <v>0.23</v>
      </c>
      <c r="Q139" s="295"/>
      <c r="R139" s="295"/>
      <c r="S139" s="295"/>
      <c r="T139" s="528">
        <v>1</v>
      </c>
      <c r="U139" s="528"/>
      <c r="V139" s="528"/>
      <c r="W139" s="528"/>
      <c r="X139" s="528"/>
      <c r="Y139" s="528"/>
      <c r="Z139" s="529"/>
      <c r="AA139" s="526">
        <f t="shared" si="0"/>
        <v>0</v>
      </c>
      <c r="AB139" s="530"/>
      <c r="AC139" s="530"/>
      <c r="AD139" s="530"/>
      <c r="AE139" s="530"/>
      <c r="AF139" s="530"/>
      <c r="AG139" s="527"/>
      <c r="AH139" s="531" t="e">
        <f>IF(OR(B139=Słowniki!A$57,B139=Słowniki!A$58),(AJ$129*AJ$130),AJ$129)</f>
        <v>#DIV/0!</v>
      </c>
      <c r="AI139" s="532"/>
      <c r="AJ139" s="533"/>
      <c r="AK139" s="526" t="e">
        <f t="shared" si="1"/>
        <v>#DIV/0!</v>
      </c>
      <c r="AL139" s="527"/>
      <c r="AM139" s="221"/>
      <c r="AN139" s="221"/>
      <c r="AO139" s="222"/>
    </row>
    <row r="140" spans="1:41" s="223" customFormat="1" ht="36" customHeight="1" x14ac:dyDescent="0.25">
      <c r="A140" s="128">
        <v>5</v>
      </c>
      <c r="B140" s="303"/>
      <c r="C140" s="304"/>
      <c r="D140" s="304"/>
      <c r="E140" s="304"/>
      <c r="F140" s="305"/>
      <c r="G140" s="300"/>
      <c r="H140" s="301"/>
      <c r="I140" s="301"/>
      <c r="J140" s="301"/>
      <c r="K140" s="302"/>
      <c r="L140" s="306"/>
      <c r="M140" s="307"/>
      <c r="N140" s="307"/>
      <c r="O140" s="307"/>
      <c r="P140" s="294">
        <f>IF(OR(B140=Słowniki!A$46,B140=Słowniki!A$56,B140=Słowniki!A$58,B140=Słowniki!A$59),0.08,0.23)</f>
        <v>0.23</v>
      </c>
      <c r="Q140" s="295"/>
      <c r="R140" s="295"/>
      <c r="S140" s="295"/>
      <c r="T140" s="528">
        <v>1</v>
      </c>
      <c r="U140" s="528"/>
      <c r="V140" s="528"/>
      <c r="W140" s="528"/>
      <c r="X140" s="528"/>
      <c r="Y140" s="528"/>
      <c r="Z140" s="529"/>
      <c r="AA140" s="526">
        <f t="shared" si="0"/>
        <v>0</v>
      </c>
      <c r="AB140" s="530"/>
      <c r="AC140" s="530"/>
      <c r="AD140" s="530"/>
      <c r="AE140" s="530"/>
      <c r="AF140" s="530"/>
      <c r="AG140" s="527"/>
      <c r="AH140" s="531" t="e">
        <f>IF(OR(B140=Słowniki!A$57,B140=Słowniki!A$58),(AJ$129*AJ$130),AJ$129)</f>
        <v>#DIV/0!</v>
      </c>
      <c r="AI140" s="532"/>
      <c r="AJ140" s="533"/>
      <c r="AK140" s="526" t="e">
        <f t="shared" si="1"/>
        <v>#DIV/0!</v>
      </c>
      <c r="AL140" s="527"/>
      <c r="AM140" s="221"/>
      <c r="AN140" s="221"/>
      <c r="AO140" s="222"/>
    </row>
    <row r="141" spans="1:41" s="223" customFormat="1" ht="36" customHeight="1" x14ac:dyDescent="0.25">
      <c r="A141" s="128">
        <v>6</v>
      </c>
      <c r="B141" s="303"/>
      <c r="C141" s="304"/>
      <c r="D141" s="304"/>
      <c r="E141" s="304"/>
      <c r="F141" s="305"/>
      <c r="G141" s="300"/>
      <c r="H141" s="301"/>
      <c r="I141" s="301"/>
      <c r="J141" s="301"/>
      <c r="K141" s="302"/>
      <c r="L141" s="306"/>
      <c r="M141" s="307"/>
      <c r="N141" s="307"/>
      <c r="O141" s="307"/>
      <c r="P141" s="294">
        <f>IF(OR(B141=Słowniki!A$46,B141=Słowniki!A$56,B141=Słowniki!A$58,B141=Słowniki!A$59),0.08,0.23)</f>
        <v>0.23</v>
      </c>
      <c r="Q141" s="295"/>
      <c r="R141" s="295"/>
      <c r="S141" s="295"/>
      <c r="T141" s="528">
        <v>1</v>
      </c>
      <c r="U141" s="528"/>
      <c r="V141" s="528"/>
      <c r="W141" s="528"/>
      <c r="X141" s="528"/>
      <c r="Y141" s="528"/>
      <c r="Z141" s="529"/>
      <c r="AA141" s="526">
        <f t="shared" si="0"/>
        <v>0</v>
      </c>
      <c r="AB141" s="530"/>
      <c r="AC141" s="530"/>
      <c r="AD141" s="530"/>
      <c r="AE141" s="530"/>
      <c r="AF141" s="530"/>
      <c r="AG141" s="527"/>
      <c r="AH141" s="531" t="e">
        <f>IF(OR(B141=Słowniki!A$57,B141=Słowniki!A$58),(AJ$129*AJ$130),AJ$129)</f>
        <v>#DIV/0!</v>
      </c>
      <c r="AI141" s="532"/>
      <c r="AJ141" s="533"/>
      <c r="AK141" s="526" t="e">
        <f t="shared" si="1"/>
        <v>#DIV/0!</v>
      </c>
      <c r="AL141" s="527"/>
      <c r="AM141" s="221"/>
      <c r="AN141" s="221"/>
      <c r="AO141" s="222"/>
    </row>
    <row r="142" spans="1:41" s="223" customFormat="1" ht="36" customHeight="1" x14ac:dyDescent="0.25">
      <c r="A142" s="128">
        <v>7</v>
      </c>
      <c r="B142" s="303"/>
      <c r="C142" s="304"/>
      <c r="D142" s="304"/>
      <c r="E142" s="304"/>
      <c r="F142" s="305"/>
      <c r="G142" s="300"/>
      <c r="H142" s="301"/>
      <c r="I142" s="301"/>
      <c r="J142" s="301"/>
      <c r="K142" s="302"/>
      <c r="L142" s="306"/>
      <c r="M142" s="307"/>
      <c r="N142" s="307"/>
      <c r="O142" s="307"/>
      <c r="P142" s="294">
        <f>IF(OR(B142=Słowniki!A$46,B142=Słowniki!A$56,B142=Słowniki!A$58,B142=Słowniki!A$59),0.08,0.23)</f>
        <v>0.23</v>
      </c>
      <c r="Q142" s="295"/>
      <c r="R142" s="295"/>
      <c r="S142" s="295"/>
      <c r="T142" s="528">
        <v>1</v>
      </c>
      <c r="U142" s="528"/>
      <c r="V142" s="528"/>
      <c r="W142" s="528"/>
      <c r="X142" s="528"/>
      <c r="Y142" s="528"/>
      <c r="Z142" s="529"/>
      <c r="AA142" s="526">
        <f t="shared" si="0"/>
        <v>0</v>
      </c>
      <c r="AB142" s="530"/>
      <c r="AC142" s="530"/>
      <c r="AD142" s="530"/>
      <c r="AE142" s="530"/>
      <c r="AF142" s="530"/>
      <c r="AG142" s="527"/>
      <c r="AH142" s="531" t="e">
        <f>IF(OR(B142=Słowniki!A$57,B142=Słowniki!A$58),(AJ$129*AJ$130),AJ$129)</f>
        <v>#DIV/0!</v>
      </c>
      <c r="AI142" s="532"/>
      <c r="AJ142" s="533"/>
      <c r="AK142" s="526" t="e">
        <f t="shared" si="1"/>
        <v>#DIV/0!</v>
      </c>
      <c r="AL142" s="527"/>
      <c r="AM142" s="221"/>
      <c r="AN142" s="221"/>
      <c r="AO142" s="222"/>
    </row>
    <row r="143" spans="1:41" s="223" customFormat="1" ht="36" customHeight="1" x14ac:dyDescent="0.25">
      <c r="A143" s="128">
        <v>8</v>
      </c>
      <c r="B143" s="303"/>
      <c r="C143" s="304"/>
      <c r="D143" s="304"/>
      <c r="E143" s="304"/>
      <c r="F143" s="305"/>
      <c r="G143" s="300"/>
      <c r="H143" s="301"/>
      <c r="I143" s="301"/>
      <c r="J143" s="301"/>
      <c r="K143" s="302"/>
      <c r="L143" s="306"/>
      <c r="M143" s="307"/>
      <c r="N143" s="307"/>
      <c r="O143" s="307"/>
      <c r="P143" s="294">
        <f>IF(OR(B143=Słowniki!A$46,B143=Słowniki!A$56,B143=Słowniki!A$58,B143=Słowniki!A$59),0.08,0.23)</f>
        <v>0.23</v>
      </c>
      <c r="Q143" s="295"/>
      <c r="R143" s="295"/>
      <c r="S143" s="295"/>
      <c r="T143" s="528">
        <v>1</v>
      </c>
      <c r="U143" s="528"/>
      <c r="V143" s="528"/>
      <c r="W143" s="528"/>
      <c r="X143" s="528"/>
      <c r="Y143" s="528"/>
      <c r="Z143" s="529"/>
      <c r="AA143" s="526">
        <f t="shared" si="0"/>
        <v>0</v>
      </c>
      <c r="AB143" s="530"/>
      <c r="AC143" s="530"/>
      <c r="AD143" s="530"/>
      <c r="AE143" s="530"/>
      <c r="AF143" s="530"/>
      <c r="AG143" s="527"/>
      <c r="AH143" s="531" t="e">
        <f>IF(OR(B143=Słowniki!A$57,B143=Słowniki!A$58),(AJ$129*AJ$130),AJ$129)</f>
        <v>#DIV/0!</v>
      </c>
      <c r="AI143" s="532"/>
      <c r="AJ143" s="533"/>
      <c r="AK143" s="526" t="e">
        <f t="shared" si="1"/>
        <v>#DIV/0!</v>
      </c>
      <c r="AL143" s="527"/>
      <c r="AM143" s="221"/>
      <c r="AN143" s="221"/>
      <c r="AO143" s="222"/>
    </row>
    <row r="144" spans="1:41" s="223" customFormat="1" ht="36" customHeight="1" x14ac:dyDescent="0.25">
      <c r="A144" s="128">
        <v>9</v>
      </c>
      <c r="B144" s="303"/>
      <c r="C144" s="304"/>
      <c r="D144" s="304"/>
      <c r="E144" s="304"/>
      <c r="F144" s="305"/>
      <c r="G144" s="300"/>
      <c r="H144" s="301"/>
      <c r="I144" s="301"/>
      <c r="J144" s="301"/>
      <c r="K144" s="302"/>
      <c r="L144" s="306"/>
      <c r="M144" s="307"/>
      <c r="N144" s="307"/>
      <c r="O144" s="307"/>
      <c r="P144" s="294">
        <f>IF(OR(B144=Słowniki!A$46,B144=Słowniki!A$56,B144=Słowniki!A$58,B144=Słowniki!A$59),0.08,0.23)</f>
        <v>0.23</v>
      </c>
      <c r="Q144" s="295"/>
      <c r="R144" s="295"/>
      <c r="S144" s="295"/>
      <c r="T144" s="528">
        <v>1</v>
      </c>
      <c r="U144" s="528"/>
      <c r="V144" s="528"/>
      <c r="W144" s="528"/>
      <c r="X144" s="528"/>
      <c r="Y144" s="528"/>
      <c r="Z144" s="529"/>
      <c r="AA144" s="526">
        <f t="shared" si="0"/>
        <v>0</v>
      </c>
      <c r="AB144" s="530"/>
      <c r="AC144" s="530"/>
      <c r="AD144" s="530"/>
      <c r="AE144" s="530"/>
      <c r="AF144" s="530"/>
      <c r="AG144" s="527"/>
      <c r="AH144" s="531" t="e">
        <f>IF(OR(B144=Słowniki!A$57,B144=Słowniki!A$58),(AJ$129*AJ$130),AJ$129)</f>
        <v>#DIV/0!</v>
      </c>
      <c r="AI144" s="532"/>
      <c r="AJ144" s="533"/>
      <c r="AK144" s="526" t="e">
        <f t="shared" si="1"/>
        <v>#DIV/0!</v>
      </c>
      <c r="AL144" s="527"/>
      <c r="AM144" s="221"/>
      <c r="AN144" s="221"/>
      <c r="AO144" s="222"/>
    </row>
    <row r="145" spans="1:41" s="223" customFormat="1" ht="36" customHeight="1" x14ac:dyDescent="0.25">
      <c r="A145" s="128">
        <v>10</v>
      </c>
      <c r="B145" s="303"/>
      <c r="C145" s="304"/>
      <c r="D145" s="304"/>
      <c r="E145" s="304"/>
      <c r="F145" s="305"/>
      <c r="G145" s="300"/>
      <c r="H145" s="301"/>
      <c r="I145" s="301"/>
      <c r="J145" s="301"/>
      <c r="K145" s="302"/>
      <c r="L145" s="306"/>
      <c r="M145" s="307"/>
      <c r="N145" s="307"/>
      <c r="O145" s="307"/>
      <c r="P145" s="294">
        <f>IF(OR(B145=Słowniki!A$46,B145=Słowniki!A$56,B145=Słowniki!A$58,B145=Słowniki!A$59),0.08,0.23)</f>
        <v>0.23</v>
      </c>
      <c r="Q145" s="295"/>
      <c r="R145" s="295"/>
      <c r="S145" s="295"/>
      <c r="T145" s="528">
        <v>1</v>
      </c>
      <c r="U145" s="528"/>
      <c r="V145" s="528"/>
      <c r="W145" s="528"/>
      <c r="X145" s="528"/>
      <c r="Y145" s="528"/>
      <c r="Z145" s="529"/>
      <c r="AA145" s="526">
        <f>L145+ROUND(L145*P145*T145,2)</f>
        <v>0</v>
      </c>
      <c r="AB145" s="530"/>
      <c r="AC145" s="530"/>
      <c r="AD145" s="530"/>
      <c r="AE145" s="530"/>
      <c r="AF145" s="530"/>
      <c r="AG145" s="527"/>
      <c r="AH145" s="531" t="e">
        <f>IF(OR(B145=Słowniki!A$57,B145=Słowniki!A$58),(AJ$129*AJ$130),AJ$129)</f>
        <v>#DIV/0!</v>
      </c>
      <c r="AI145" s="532"/>
      <c r="AJ145" s="533"/>
      <c r="AK145" s="526" t="e">
        <f t="shared" si="1"/>
        <v>#DIV/0!</v>
      </c>
      <c r="AL145" s="527"/>
      <c r="AM145" s="221"/>
      <c r="AN145" s="221"/>
      <c r="AO145" s="222"/>
    </row>
    <row r="146" spans="1:41" s="223" customFormat="1" ht="36" customHeight="1" x14ac:dyDescent="0.25">
      <c r="A146" s="128">
        <v>11</v>
      </c>
      <c r="B146" s="303"/>
      <c r="C146" s="304"/>
      <c r="D146" s="304"/>
      <c r="E146" s="304"/>
      <c r="F146" s="305"/>
      <c r="G146" s="300"/>
      <c r="H146" s="301"/>
      <c r="I146" s="301"/>
      <c r="J146" s="301"/>
      <c r="K146" s="302"/>
      <c r="L146" s="306"/>
      <c r="M146" s="307"/>
      <c r="N146" s="307"/>
      <c r="O146" s="307"/>
      <c r="P146" s="294">
        <f>IF(OR(B146=Słowniki!A$46,B146=Słowniki!A$56,B146=Słowniki!A$58,B146=Słowniki!A$59),0.08,0.23)</f>
        <v>0.23</v>
      </c>
      <c r="Q146" s="295"/>
      <c r="R146" s="295"/>
      <c r="S146" s="295"/>
      <c r="T146" s="528">
        <v>1</v>
      </c>
      <c r="U146" s="528"/>
      <c r="V146" s="528"/>
      <c r="W146" s="528"/>
      <c r="X146" s="528"/>
      <c r="Y146" s="528"/>
      <c r="Z146" s="529"/>
      <c r="AA146" s="526">
        <f t="shared" si="0"/>
        <v>0</v>
      </c>
      <c r="AB146" s="530"/>
      <c r="AC146" s="530"/>
      <c r="AD146" s="530"/>
      <c r="AE146" s="530"/>
      <c r="AF146" s="530"/>
      <c r="AG146" s="527"/>
      <c r="AH146" s="531" t="e">
        <f>IF(OR(B146=Słowniki!A$57,B146=Słowniki!A$58),(AJ$129*AJ$130),AJ$129)</f>
        <v>#DIV/0!</v>
      </c>
      <c r="AI146" s="532"/>
      <c r="AJ146" s="533"/>
      <c r="AK146" s="526" t="e">
        <f t="shared" si="1"/>
        <v>#DIV/0!</v>
      </c>
      <c r="AL146" s="527"/>
      <c r="AM146" s="221"/>
      <c r="AN146" s="221"/>
      <c r="AO146" s="222"/>
    </row>
    <row r="147" spans="1:41" s="223" customFormat="1" ht="36" customHeight="1" x14ac:dyDescent="0.25">
      <c r="A147" s="128">
        <v>12</v>
      </c>
      <c r="B147" s="303"/>
      <c r="C147" s="304"/>
      <c r="D147" s="304"/>
      <c r="E147" s="304"/>
      <c r="F147" s="305"/>
      <c r="G147" s="300"/>
      <c r="H147" s="301"/>
      <c r="I147" s="301"/>
      <c r="J147" s="301"/>
      <c r="K147" s="302"/>
      <c r="L147" s="306"/>
      <c r="M147" s="307"/>
      <c r="N147" s="307"/>
      <c r="O147" s="307"/>
      <c r="P147" s="294">
        <f>IF(OR(B147=Słowniki!A$46,B147=Słowniki!A$56,B147=Słowniki!A$58,B147=Słowniki!A$59),0.08,0.23)</f>
        <v>0.23</v>
      </c>
      <c r="Q147" s="295"/>
      <c r="R147" s="295"/>
      <c r="S147" s="295"/>
      <c r="T147" s="528">
        <v>1</v>
      </c>
      <c r="U147" s="528"/>
      <c r="V147" s="528"/>
      <c r="W147" s="528"/>
      <c r="X147" s="528"/>
      <c r="Y147" s="528"/>
      <c r="Z147" s="529"/>
      <c r="AA147" s="526">
        <f t="shared" si="0"/>
        <v>0</v>
      </c>
      <c r="AB147" s="530"/>
      <c r="AC147" s="530"/>
      <c r="AD147" s="530"/>
      <c r="AE147" s="530"/>
      <c r="AF147" s="530"/>
      <c r="AG147" s="527"/>
      <c r="AH147" s="531" t="e">
        <f>IF(OR(B147=Słowniki!A$57,B147=Słowniki!A$58),(AJ$129*AJ$130),AJ$129)</f>
        <v>#DIV/0!</v>
      </c>
      <c r="AI147" s="532"/>
      <c r="AJ147" s="533"/>
      <c r="AK147" s="526" t="e">
        <f t="shared" si="1"/>
        <v>#DIV/0!</v>
      </c>
      <c r="AL147" s="527"/>
      <c r="AM147" s="221"/>
      <c r="AN147" s="221"/>
      <c r="AO147" s="222"/>
    </row>
    <row r="148" spans="1:41" s="223" customFormat="1" ht="36" customHeight="1" x14ac:dyDescent="0.25">
      <c r="A148" s="128">
        <v>13</v>
      </c>
      <c r="B148" s="303"/>
      <c r="C148" s="304"/>
      <c r="D148" s="304"/>
      <c r="E148" s="304"/>
      <c r="F148" s="305"/>
      <c r="G148" s="300"/>
      <c r="H148" s="301"/>
      <c r="I148" s="301"/>
      <c r="J148" s="301"/>
      <c r="K148" s="302"/>
      <c r="L148" s="306"/>
      <c r="M148" s="307"/>
      <c r="N148" s="307"/>
      <c r="O148" s="307"/>
      <c r="P148" s="294">
        <f>IF(OR(B148=Słowniki!A$46,B148=Słowniki!A$56,B148=Słowniki!A$58,B148=Słowniki!A$59),0.08,0.23)</f>
        <v>0.23</v>
      </c>
      <c r="Q148" s="295"/>
      <c r="R148" s="295"/>
      <c r="S148" s="295"/>
      <c r="T148" s="528">
        <v>1</v>
      </c>
      <c r="U148" s="528"/>
      <c r="V148" s="528"/>
      <c r="W148" s="528"/>
      <c r="X148" s="528"/>
      <c r="Y148" s="528"/>
      <c r="Z148" s="529"/>
      <c r="AA148" s="526">
        <f t="shared" si="0"/>
        <v>0</v>
      </c>
      <c r="AB148" s="530"/>
      <c r="AC148" s="530"/>
      <c r="AD148" s="530"/>
      <c r="AE148" s="530"/>
      <c r="AF148" s="530"/>
      <c r="AG148" s="527"/>
      <c r="AH148" s="531" t="e">
        <f>IF(OR(B148=Słowniki!A$57,B148=Słowniki!A$58),(AJ$129*AJ$130),AJ$129)</f>
        <v>#DIV/0!</v>
      </c>
      <c r="AI148" s="532"/>
      <c r="AJ148" s="533"/>
      <c r="AK148" s="526" t="e">
        <f t="shared" si="1"/>
        <v>#DIV/0!</v>
      </c>
      <c r="AL148" s="527"/>
      <c r="AM148" s="221"/>
      <c r="AN148" s="221"/>
      <c r="AO148" s="222"/>
    </row>
    <row r="149" spans="1:41" s="223" customFormat="1" ht="36" customHeight="1" x14ac:dyDescent="0.25">
      <c r="A149" s="128">
        <v>14</v>
      </c>
      <c r="B149" s="303"/>
      <c r="C149" s="304"/>
      <c r="D149" s="304"/>
      <c r="E149" s="304"/>
      <c r="F149" s="305"/>
      <c r="G149" s="300"/>
      <c r="H149" s="301"/>
      <c r="I149" s="301"/>
      <c r="J149" s="301"/>
      <c r="K149" s="302"/>
      <c r="L149" s="306"/>
      <c r="M149" s="307"/>
      <c r="N149" s="307"/>
      <c r="O149" s="307"/>
      <c r="P149" s="294">
        <f>IF(OR(B149=Słowniki!A$46,B149=Słowniki!A$56,B149=Słowniki!A$58,B149=Słowniki!A$59),0.08,0.23)</f>
        <v>0.23</v>
      </c>
      <c r="Q149" s="295"/>
      <c r="R149" s="295"/>
      <c r="S149" s="295"/>
      <c r="T149" s="528">
        <v>1</v>
      </c>
      <c r="U149" s="528"/>
      <c r="V149" s="528"/>
      <c r="W149" s="528"/>
      <c r="X149" s="528"/>
      <c r="Y149" s="528"/>
      <c r="Z149" s="529"/>
      <c r="AA149" s="526">
        <f t="shared" si="0"/>
        <v>0</v>
      </c>
      <c r="AB149" s="530"/>
      <c r="AC149" s="530"/>
      <c r="AD149" s="530"/>
      <c r="AE149" s="530"/>
      <c r="AF149" s="530"/>
      <c r="AG149" s="527"/>
      <c r="AH149" s="531" t="e">
        <f>IF(OR(B149=Słowniki!A$57,B149=Słowniki!A$58),(AJ$129*AJ$130),AJ$129)</f>
        <v>#DIV/0!</v>
      </c>
      <c r="AI149" s="532"/>
      <c r="AJ149" s="533"/>
      <c r="AK149" s="526" t="e">
        <f t="shared" si="1"/>
        <v>#DIV/0!</v>
      </c>
      <c r="AL149" s="527"/>
      <c r="AM149" s="221"/>
      <c r="AN149" s="221"/>
      <c r="AO149" s="222"/>
    </row>
    <row r="150" spans="1:41" s="223" customFormat="1" ht="36" customHeight="1" x14ac:dyDescent="0.25">
      <c r="A150" s="128">
        <v>15</v>
      </c>
      <c r="B150" s="303"/>
      <c r="C150" s="304"/>
      <c r="D150" s="304"/>
      <c r="E150" s="304"/>
      <c r="F150" s="305"/>
      <c r="G150" s="300"/>
      <c r="H150" s="301"/>
      <c r="I150" s="301"/>
      <c r="J150" s="301"/>
      <c r="K150" s="302"/>
      <c r="L150" s="306"/>
      <c r="M150" s="307"/>
      <c r="N150" s="307"/>
      <c r="O150" s="307"/>
      <c r="P150" s="294">
        <f>IF(OR(B150=Słowniki!A$46,B150=Słowniki!A$56,B150=Słowniki!A$58,B150=Słowniki!A$59),0.08,0.23)</f>
        <v>0.23</v>
      </c>
      <c r="Q150" s="295"/>
      <c r="R150" s="295"/>
      <c r="S150" s="295"/>
      <c r="T150" s="528">
        <v>1</v>
      </c>
      <c r="U150" s="528"/>
      <c r="V150" s="528"/>
      <c r="W150" s="528"/>
      <c r="X150" s="528"/>
      <c r="Y150" s="528"/>
      <c r="Z150" s="529"/>
      <c r="AA150" s="526">
        <f t="shared" si="0"/>
        <v>0</v>
      </c>
      <c r="AB150" s="530"/>
      <c r="AC150" s="530"/>
      <c r="AD150" s="530"/>
      <c r="AE150" s="530"/>
      <c r="AF150" s="530"/>
      <c r="AG150" s="527"/>
      <c r="AH150" s="531" t="e">
        <f>IF(OR(B150=Słowniki!A$57,B150=Słowniki!A$58),(AJ$129*AJ$130),AJ$129)</f>
        <v>#DIV/0!</v>
      </c>
      <c r="AI150" s="532"/>
      <c r="AJ150" s="533"/>
      <c r="AK150" s="526" t="e">
        <f t="shared" si="1"/>
        <v>#DIV/0!</v>
      </c>
      <c r="AL150" s="527"/>
      <c r="AM150" s="221"/>
      <c r="AN150" s="221"/>
      <c r="AO150" s="222"/>
    </row>
    <row r="151" spans="1:41" s="223" customFormat="1" ht="36" customHeight="1" x14ac:dyDescent="0.25">
      <c r="A151" s="128">
        <v>16</v>
      </c>
      <c r="B151" s="303"/>
      <c r="C151" s="304"/>
      <c r="D151" s="304"/>
      <c r="E151" s="304"/>
      <c r="F151" s="305"/>
      <c r="G151" s="300"/>
      <c r="H151" s="301"/>
      <c r="I151" s="301"/>
      <c r="J151" s="301"/>
      <c r="K151" s="302"/>
      <c r="L151" s="306"/>
      <c r="M151" s="307"/>
      <c r="N151" s="307"/>
      <c r="O151" s="307"/>
      <c r="P151" s="294">
        <f>IF(OR(B151=Słowniki!A$46,B151=Słowniki!A$56,B151=Słowniki!A$58,B151=Słowniki!A$59),0.08,0.23)</f>
        <v>0.23</v>
      </c>
      <c r="Q151" s="295"/>
      <c r="R151" s="295"/>
      <c r="S151" s="295"/>
      <c r="T151" s="528">
        <v>1</v>
      </c>
      <c r="U151" s="528"/>
      <c r="V151" s="528"/>
      <c r="W151" s="528"/>
      <c r="X151" s="528"/>
      <c r="Y151" s="528"/>
      <c r="Z151" s="529"/>
      <c r="AA151" s="526">
        <f t="shared" si="0"/>
        <v>0</v>
      </c>
      <c r="AB151" s="530"/>
      <c r="AC151" s="530"/>
      <c r="AD151" s="530"/>
      <c r="AE151" s="530"/>
      <c r="AF151" s="530"/>
      <c r="AG151" s="527"/>
      <c r="AH151" s="531" t="e">
        <f>IF(OR(B151=Słowniki!A$57,B151=Słowniki!A$58),(AJ$129*AJ$130),AJ$129)</f>
        <v>#DIV/0!</v>
      </c>
      <c r="AI151" s="532"/>
      <c r="AJ151" s="533"/>
      <c r="AK151" s="526" t="e">
        <f t="shared" si="1"/>
        <v>#DIV/0!</v>
      </c>
      <c r="AL151" s="527"/>
      <c r="AM151" s="221"/>
      <c r="AN151" s="221"/>
      <c r="AO151" s="222"/>
    </row>
    <row r="152" spans="1:41" s="223" customFormat="1" ht="36" customHeight="1" x14ac:dyDescent="0.25">
      <c r="A152" s="128">
        <v>17</v>
      </c>
      <c r="B152" s="303"/>
      <c r="C152" s="304"/>
      <c r="D152" s="304"/>
      <c r="E152" s="304"/>
      <c r="F152" s="305"/>
      <c r="G152" s="300"/>
      <c r="H152" s="301"/>
      <c r="I152" s="301"/>
      <c r="J152" s="301"/>
      <c r="K152" s="302"/>
      <c r="L152" s="306"/>
      <c r="M152" s="307"/>
      <c r="N152" s="307"/>
      <c r="O152" s="307"/>
      <c r="P152" s="294">
        <f>IF(OR(B152=Słowniki!A$46,B152=Słowniki!A$56,B152=Słowniki!A$58,B152=Słowniki!A$59),0.08,0.23)</f>
        <v>0.23</v>
      </c>
      <c r="Q152" s="295"/>
      <c r="R152" s="295"/>
      <c r="S152" s="295"/>
      <c r="T152" s="528">
        <v>1</v>
      </c>
      <c r="U152" s="528"/>
      <c r="V152" s="528"/>
      <c r="W152" s="528"/>
      <c r="X152" s="528"/>
      <c r="Y152" s="528"/>
      <c r="Z152" s="529"/>
      <c r="AA152" s="526">
        <f t="shared" si="0"/>
        <v>0</v>
      </c>
      <c r="AB152" s="530"/>
      <c r="AC152" s="530"/>
      <c r="AD152" s="530"/>
      <c r="AE152" s="530"/>
      <c r="AF152" s="530"/>
      <c r="AG152" s="527"/>
      <c r="AH152" s="531" t="e">
        <f>IF(OR(B152=Słowniki!A$57,B152=Słowniki!A$58),(AJ$129*AJ$130),AJ$129)</f>
        <v>#DIV/0!</v>
      </c>
      <c r="AI152" s="532"/>
      <c r="AJ152" s="533"/>
      <c r="AK152" s="526" t="e">
        <f t="shared" si="1"/>
        <v>#DIV/0!</v>
      </c>
      <c r="AL152" s="527"/>
      <c r="AM152" s="221"/>
      <c r="AN152" s="221"/>
      <c r="AO152" s="222"/>
    </row>
    <row r="153" spans="1:41" s="223" customFormat="1" ht="36" customHeight="1" x14ac:dyDescent="0.25">
      <c r="A153" s="128">
        <v>18</v>
      </c>
      <c r="B153" s="303"/>
      <c r="C153" s="304"/>
      <c r="D153" s="304"/>
      <c r="E153" s="304"/>
      <c r="F153" s="305"/>
      <c r="G153" s="300"/>
      <c r="H153" s="301"/>
      <c r="I153" s="301"/>
      <c r="J153" s="301"/>
      <c r="K153" s="302"/>
      <c r="L153" s="306"/>
      <c r="M153" s="307"/>
      <c r="N153" s="307"/>
      <c r="O153" s="307"/>
      <c r="P153" s="294">
        <f>IF(OR(B153=Słowniki!A$46,B153=Słowniki!A$56,B153=Słowniki!A$58,B153=Słowniki!A$59),0.08,0.23)</f>
        <v>0.23</v>
      </c>
      <c r="Q153" s="295"/>
      <c r="R153" s="295"/>
      <c r="S153" s="295"/>
      <c r="T153" s="528">
        <v>1</v>
      </c>
      <c r="U153" s="528"/>
      <c r="V153" s="528"/>
      <c r="W153" s="528"/>
      <c r="X153" s="528"/>
      <c r="Y153" s="528"/>
      <c r="Z153" s="529"/>
      <c r="AA153" s="526">
        <f t="shared" si="0"/>
        <v>0</v>
      </c>
      <c r="AB153" s="530"/>
      <c r="AC153" s="530"/>
      <c r="AD153" s="530"/>
      <c r="AE153" s="530"/>
      <c r="AF153" s="530"/>
      <c r="AG153" s="527"/>
      <c r="AH153" s="531" t="e">
        <f>IF(OR(B153=Słowniki!A$57,B153=Słowniki!A$58),(AJ$129*AJ$130),AJ$129)</f>
        <v>#DIV/0!</v>
      </c>
      <c r="AI153" s="532"/>
      <c r="AJ153" s="533"/>
      <c r="AK153" s="526" t="e">
        <f t="shared" si="1"/>
        <v>#DIV/0!</v>
      </c>
      <c r="AL153" s="527"/>
      <c r="AM153" s="221"/>
      <c r="AN153" s="221"/>
      <c r="AO153" s="222"/>
    </row>
    <row r="154" spans="1:41" s="223" customFormat="1" ht="36" customHeight="1" x14ac:dyDescent="0.25">
      <c r="A154" s="128">
        <v>19</v>
      </c>
      <c r="B154" s="303"/>
      <c r="C154" s="304"/>
      <c r="D154" s="304"/>
      <c r="E154" s="304"/>
      <c r="F154" s="305"/>
      <c r="G154" s="300"/>
      <c r="H154" s="301"/>
      <c r="I154" s="301"/>
      <c r="J154" s="301"/>
      <c r="K154" s="302"/>
      <c r="L154" s="306"/>
      <c r="M154" s="307"/>
      <c r="N154" s="307"/>
      <c r="O154" s="307"/>
      <c r="P154" s="294">
        <f>IF(OR(B154=Słowniki!A$46,B154=Słowniki!A$56,B154=Słowniki!A$58,B154=Słowniki!A$59),0.08,0.23)</f>
        <v>0.23</v>
      </c>
      <c r="Q154" s="295"/>
      <c r="R154" s="295"/>
      <c r="S154" s="295"/>
      <c r="T154" s="528">
        <v>1</v>
      </c>
      <c r="U154" s="528"/>
      <c r="V154" s="528"/>
      <c r="W154" s="528"/>
      <c r="X154" s="528"/>
      <c r="Y154" s="528"/>
      <c r="Z154" s="529"/>
      <c r="AA154" s="526">
        <f t="shared" si="0"/>
        <v>0</v>
      </c>
      <c r="AB154" s="530"/>
      <c r="AC154" s="530"/>
      <c r="AD154" s="530"/>
      <c r="AE154" s="530"/>
      <c r="AF154" s="530"/>
      <c r="AG154" s="527"/>
      <c r="AH154" s="531" t="e">
        <f>IF(OR(B154=Słowniki!A$57,B154=Słowniki!A$58),(AJ$129*AJ$130),AJ$129)</f>
        <v>#DIV/0!</v>
      </c>
      <c r="AI154" s="532"/>
      <c r="AJ154" s="533"/>
      <c r="AK154" s="526" t="e">
        <f t="shared" si="1"/>
        <v>#DIV/0!</v>
      </c>
      <c r="AL154" s="527"/>
      <c r="AM154" s="221"/>
      <c r="AN154" s="221"/>
      <c r="AO154" s="222"/>
    </row>
    <row r="155" spans="1:41" s="223" customFormat="1" ht="36" customHeight="1" x14ac:dyDescent="0.25">
      <c r="A155" s="128">
        <v>20</v>
      </c>
      <c r="B155" s="303"/>
      <c r="C155" s="304"/>
      <c r="D155" s="304"/>
      <c r="E155" s="304"/>
      <c r="F155" s="305"/>
      <c r="G155" s="300"/>
      <c r="H155" s="301"/>
      <c r="I155" s="301"/>
      <c r="J155" s="301"/>
      <c r="K155" s="302"/>
      <c r="L155" s="306"/>
      <c r="M155" s="307"/>
      <c r="N155" s="307"/>
      <c r="O155" s="307"/>
      <c r="P155" s="294">
        <f>IF(OR(B155=Słowniki!A$46,B155=Słowniki!A$56,B155=Słowniki!A$58,B155=Słowniki!A$59),0.08,0.23)</f>
        <v>0.23</v>
      </c>
      <c r="Q155" s="295"/>
      <c r="R155" s="295"/>
      <c r="S155" s="295"/>
      <c r="T155" s="528">
        <v>1</v>
      </c>
      <c r="U155" s="528"/>
      <c r="V155" s="528"/>
      <c r="W155" s="528"/>
      <c r="X155" s="528"/>
      <c r="Y155" s="528"/>
      <c r="Z155" s="529"/>
      <c r="AA155" s="526">
        <f t="shared" si="0"/>
        <v>0</v>
      </c>
      <c r="AB155" s="530"/>
      <c r="AC155" s="530"/>
      <c r="AD155" s="530"/>
      <c r="AE155" s="530"/>
      <c r="AF155" s="530"/>
      <c r="AG155" s="527"/>
      <c r="AH155" s="531" t="e">
        <f>IF(OR(B155=Słowniki!A$57,B155=Słowniki!A$58),(AJ$129*AJ$130),AJ$129)</f>
        <v>#DIV/0!</v>
      </c>
      <c r="AI155" s="532"/>
      <c r="AJ155" s="533"/>
      <c r="AK155" s="526" t="e">
        <f t="shared" si="1"/>
        <v>#DIV/0!</v>
      </c>
      <c r="AL155" s="527"/>
      <c r="AM155" s="221"/>
      <c r="AN155" s="221"/>
      <c r="AO155" s="222"/>
    </row>
    <row r="156" spans="1:41" s="223" customFormat="1" ht="36" customHeight="1" x14ac:dyDescent="0.25">
      <c r="A156" s="128">
        <v>21</v>
      </c>
      <c r="B156" s="303"/>
      <c r="C156" s="304"/>
      <c r="D156" s="304"/>
      <c r="E156" s="304"/>
      <c r="F156" s="305"/>
      <c r="G156" s="300"/>
      <c r="H156" s="301"/>
      <c r="I156" s="301"/>
      <c r="J156" s="301"/>
      <c r="K156" s="302"/>
      <c r="L156" s="306"/>
      <c r="M156" s="307"/>
      <c r="N156" s="307"/>
      <c r="O156" s="307"/>
      <c r="P156" s="294">
        <f>IF(OR(B156=Słowniki!A$46,B156=Słowniki!A$56,B156=Słowniki!A$58,B156=Słowniki!A$59),0.08,0.23)</f>
        <v>0.23</v>
      </c>
      <c r="Q156" s="295"/>
      <c r="R156" s="295"/>
      <c r="S156" s="295"/>
      <c r="T156" s="528">
        <v>1</v>
      </c>
      <c r="U156" s="528"/>
      <c r="V156" s="528"/>
      <c r="W156" s="528"/>
      <c r="X156" s="528"/>
      <c r="Y156" s="528"/>
      <c r="Z156" s="529"/>
      <c r="AA156" s="526">
        <f t="shared" si="0"/>
        <v>0</v>
      </c>
      <c r="AB156" s="530"/>
      <c r="AC156" s="530"/>
      <c r="AD156" s="530"/>
      <c r="AE156" s="530"/>
      <c r="AF156" s="530"/>
      <c r="AG156" s="527"/>
      <c r="AH156" s="531" t="e">
        <f>IF(OR(B156=Słowniki!A$57,B156=Słowniki!A$58),(AJ$129*AJ$130),AJ$129)</f>
        <v>#DIV/0!</v>
      </c>
      <c r="AI156" s="532"/>
      <c r="AJ156" s="533"/>
      <c r="AK156" s="526" t="e">
        <f t="shared" si="1"/>
        <v>#DIV/0!</v>
      </c>
      <c r="AL156" s="527"/>
      <c r="AM156" s="221"/>
      <c r="AN156" s="221"/>
      <c r="AO156" s="222"/>
    </row>
    <row r="157" spans="1:41" s="223" customFormat="1" ht="36" customHeight="1" x14ac:dyDescent="0.25">
      <c r="A157" s="128">
        <v>22</v>
      </c>
      <c r="B157" s="303"/>
      <c r="C157" s="304"/>
      <c r="D157" s="304"/>
      <c r="E157" s="304"/>
      <c r="F157" s="305"/>
      <c r="G157" s="300"/>
      <c r="H157" s="301"/>
      <c r="I157" s="301"/>
      <c r="J157" s="301"/>
      <c r="K157" s="302"/>
      <c r="L157" s="306"/>
      <c r="M157" s="307"/>
      <c r="N157" s="307"/>
      <c r="O157" s="307"/>
      <c r="P157" s="294">
        <f>IF(OR(B157=Słowniki!A$46,B157=Słowniki!A$56,B157=Słowniki!A$58,B157=Słowniki!A$59),0.08,0.23)</f>
        <v>0.23</v>
      </c>
      <c r="Q157" s="295"/>
      <c r="R157" s="295"/>
      <c r="S157" s="295"/>
      <c r="T157" s="528">
        <v>1</v>
      </c>
      <c r="U157" s="528"/>
      <c r="V157" s="528"/>
      <c r="W157" s="528"/>
      <c r="X157" s="528"/>
      <c r="Y157" s="528"/>
      <c r="Z157" s="529"/>
      <c r="AA157" s="526">
        <f t="shared" si="0"/>
        <v>0</v>
      </c>
      <c r="AB157" s="530"/>
      <c r="AC157" s="530"/>
      <c r="AD157" s="530"/>
      <c r="AE157" s="530"/>
      <c r="AF157" s="530"/>
      <c r="AG157" s="527"/>
      <c r="AH157" s="531" t="e">
        <f>IF(OR(B157=Słowniki!A$57,B157=Słowniki!A$58),(AJ$129*AJ$130),AJ$129)</f>
        <v>#DIV/0!</v>
      </c>
      <c r="AI157" s="532"/>
      <c r="AJ157" s="533"/>
      <c r="AK157" s="526" t="e">
        <f t="shared" si="1"/>
        <v>#DIV/0!</v>
      </c>
      <c r="AL157" s="527"/>
      <c r="AM157" s="221"/>
      <c r="AN157" s="221"/>
      <c r="AO157" s="222"/>
    </row>
    <row r="158" spans="1:41" ht="13.95" customHeight="1" x14ac:dyDescent="0.25">
      <c r="A158" s="220">
        <v>23</v>
      </c>
      <c r="B158" s="673" t="s">
        <v>128</v>
      </c>
      <c r="C158" s="674"/>
      <c r="D158" s="674"/>
      <c r="E158" s="674"/>
      <c r="F158" s="674"/>
      <c r="G158" s="674"/>
      <c r="H158" s="674"/>
      <c r="I158" s="674"/>
      <c r="J158" s="674"/>
      <c r="K158" s="674"/>
      <c r="L158" s="296">
        <f>SUM(L136:O157)</f>
        <v>0</v>
      </c>
      <c r="M158" s="296"/>
      <c r="N158" s="296"/>
      <c r="O158" s="297"/>
      <c r="P158" s="463" t="s">
        <v>129</v>
      </c>
      <c r="Q158" s="463"/>
      <c r="R158" s="463"/>
      <c r="S158" s="463"/>
      <c r="T158" s="462" t="s">
        <v>129</v>
      </c>
      <c r="U158" s="462"/>
      <c r="V158" s="462"/>
      <c r="W158" s="462"/>
      <c r="X158" s="462"/>
      <c r="Y158" s="462"/>
      <c r="Z158" s="462"/>
      <c r="AA158" s="457">
        <f>SUM(AA136:AG157)</f>
        <v>0</v>
      </c>
      <c r="AB158" s="457"/>
      <c r="AC158" s="457"/>
      <c r="AD158" s="457"/>
      <c r="AE158" s="457"/>
      <c r="AF158" s="457"/>
      <c r="AG158" s="457"/>
      <c r="AH158" s="461" t="s">
        <v>129</v>
      </c>
      <c r="AI158" s="461"/>
      <c r="AJ158" s="461"/>
      <c r="AK158" s="457" t="e">
        <f>ROUND(SUM(AK136:AL157),2)</f>
        <v>#DIV/0!</v>
      </c>
      <c r="AL158" s="457"/>
      <c r="AM158" s="77"/>
      <c r="AN158" s="77"/>
      <c r="AO158" s="61"/>
    </row>
    <row r="159" spans="1:41" ht="121.5" customHeight="1" x14ac:dyDescent="0.25">
      <c r="A159" s="334" t="s">
        <v>1111</v>
      </c>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c r="AI159" s="334"/>
      <c r="AJ159" s="334"/>
      <c r="AK159" s="334"/>
      <c r="AL159" s="334"/>
      <c r="AM159" s="77"/>
      <c r="AN159" s="77"/>
      <c r="AO159" s="61"/>
    </row>
    <row r="160" spans="1:41" ht="13.95" customHeight="1" x14ac:dyDescent="0.25">
      <c r="A160" s="129"/>
      <c r="B160" s="676" t="s">
        <v>181</v>
      </c>
      <c r="C160" s="676"/>
      <c r="D160" s="676"/>
      <c r="E160" s="676"/>
      <c r="F160" s="676"/>
      <c r="G160" s="676"/>
      <c r="H160" s="676"/>
      <c r="I160" s="676"/>
      <c r="J160" s="676"/>
      <c r="K160" s="676"/>
      <c r="L160" s="676"/>
      <c r="M160" s="676"/>
      <c r="N160" s="676"/>
      <c r="O160" s="676"/>
      <c r="P160" s="676"/>
      <c r="Q160" s="676"/>
      <c r="R160" s="676"/>
      <c r="S160" s="676"/>
      <c r="T160" s="652">
        <v>0.8</v>
      </c>
      <c r="U160" s="652"/>
      <c r="V160" s="652"/>
      <c r="W160" s="652"/>
      <c r="X160" s="652"/>
      <c r="Y160" s="652"/>
      <c r="Z160" s="652"/>
      <c r="AA160" s="652"/>
      <c r="AB160" s="652"/>
      <c r="AC160" s="652"/>
      <c r="AD160" s="652"/>
      <c r="AE160" s="652"/>
      <c r="AF160" s="652"/>
      <c r="AG160" s="652"/>
      <c r="AH160" s="652"/>
      <c r="AI160" s="652"/>
      <c r="AJ160" s="652"/>
      <c r="AK160" s="130"/>
      <c r="AL160" s="131"/>
      <c r="AM160" s="77"/>
      <c r="AN160" s="77"/>
      <c r="AO160" s="61"/>
    </row>
    <row r="161" spans="1:41" ht="14.1" customHeight="1" x14ac:dyDescent="0.25">
      <c r="A161" s="129"/>
      <c r="B161" s="453" t="s">
        <v>183</v>
      </c>
      <c r="C161" s="453"/>
      <c r="D161" s="453"/>
      <c r="E161" s="453"/>
      <c r="F161" s="453"/>
      <c r="G161" s="453"/>
      <c r="H161" s="453"/>
      <c r="I161" s="453"/>
      <c r="J161" s="453"/>
      <c r="K161" s="453"/>
      <c r="L161" s="453"/>
      <c r="M161" s="453"/>
      <c r="N161" s="453"/>
      <c r="O161" s="453"/>
      <c r="P161" s="453"/>
      <c r="Q161" s="453"/>
      <c r="R161" s="453"/>
      <c r="S161" s="453"/>
      <c r="T161" s="459"/>
      <c r="U161" s="459"/>
      <c r="V161" s="459"/>
      <c r="W161" s="459"/>
      <c r="X161" s="459"/>
      <c r="Y161" s="459"/>
      <c r="Z161" s="459"/>
      <c r="AA161" s="459"/>
      <c r="AB161" s="459"/>
      <c r="AC161" s="459"/>
      <c r="AD161" s="459"/>
      <c r="AE161" s="459"/>
      <c r="AF161" s="459"/>
      <c r="AG161" s="459"/>
      <c r="AH161" s="459"/>
      <c r="AI161" s="459"/>
      <c r="AJ161" s="459"/>
      <c r="AK161" s="130"/>
      <c r="AL161" s="131"/>
      <c r="AM161" s="77"/>
      <c r="AN161" s="61"/>
      <c r="AO161" s="61"/>
    </row>
    <row r="162" spans="1:41" ht="13.95" customHeight="1" x14ac:dyDescent="0.3">
      <c r="A162" s="129"/>
      <c r="B162" s="453" t="s">
        <v>182</v>
      </c>
      <c r="C162" s="453"/>
      <c r="D162" s="453"/>
      <c r="E162" s="453"/>
      <c r="F162" s="453"/>
      <c r="G162" s="453"/>
      <c r="H162" s="453"/>
      <c r="I162" s="453"/>
      <c r="J162" s="453"/>
      <c r="K162" s="453"/>
      <c r="L162" s="453"/>
      <c r="M162" s="453"/>
      <c r="N162" s="453"/>
      <c r="O162" s="453"/>
      <c r="P162" s="453"/>
      <c r="Q162" s="453"/>
      <c r="R162" s="453"/>
      <c r="S162" s="453"/>
      <c r="T162" s="466" t="e">
        <f>ROUNDDOWN(AK158*(T160+T161),2)</f>
        <v>#DIV/0!</v>
      </c>
      <c r="U162" s="466"/>
      <c r="V162" s="466"/>
      <c r="W162" s="466"/>
      <c r="X162" s="466"/>
      <c r="Y162" s="466"/>
      <c r="Z162" s="466"/>
      <c r="AA162" s="466"/>
      <c r="AB162" s="466"/>
      <c r="AC162" s="466"/>
      <c r="AD162" s="466"/>
      <c r="AE162" s="466"/>
      <c r="AF162" s="466"/>
      <c r="AG162" s="466"/>
      <c r="AH162" s="466"/>
      <c r="AI162" s="466"/>
      <c r="AJ162" s="466"/>
      <c r="AK162" s="130"/>
      <c r="AL162" s="131"/>
      <c r="AM162" s="100" t="s">
        <v>215</v>
      </c>
      <c r="AN162" s="61"/>
      <c r="AO162" s="61"/>
    </row>
    <row r="163" spans="1:41" ht="55.95" customHeight="1" x14ac:dyDescent="0.25">
      <c r="A163" s="332" t="s">
        <v>790</v>
      </c>
      <c r="B163" s="332"/>
      <c r="C163" s="332"/>
      <c r="D163" s="332"/>
      <c r="E163" s="332"/>
      <c r="F163" s="332"/>
      <c r="G163" s="332"/>
      <c r="H163" s="332"/>
      <c r="I163" s="332"/>
      <c r="J163" s="332"/>
      <c r="K163" s="332"/>
      <c r="L163" s="332"/>
      <c r="M163" s="332"/>
      <c r="N163" s="332"/>
      <c r="O163" s="332"/>
      <c r="P163" s="332"/>
      <c r="Q163" s="332"/>
      <c r="R163" s="332"/>
      <c r="S163" s="332"/>
      <c r="T163" s="332"/>
      <c r="U163" s="332"/>
      <c r="V163" s="332"/>
      <c r="W163" s="332"/>
      <c r="X163" s="332"/>
      <c r="Y163" s="332"/>
      <c r="Z163" s="332"/>
      <c r="AA163" s="332"/>
      <c r="AB163" s="332"/>
      <c r="AC163" s="332"/>
      <c r="AD163" s="332"/>
      <c r="AE163" s="332"/>
      <c r="AF163" s="332"/>
      <c r="AG163" s="332"/>
      <c r="AH163" s="332"/>
      <c r="AI163" s="332"/>
      <c r="AJ163" s="332"/>
      <c r="AK163" s="332"/>
      <c r="AL163" s="332"/>
      <c r="AM163" s="77"/>
    </row>
    <row r="164" spans="1:41" ht="34.950000000000003" customHeight="1" x14ac:dyDescent="0.25">
      <c r="A164" s="333"/>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120"/>
    </row>
    <row r="165" spans="1:41" ht="42.45" customHeight="1" x14ac:dyDescent="0.25">
      <c r="A165" s="332" t="s">
        <v>831</v>
      </c>
      <c r="B165" s="332"/>
      <c r="C165" s="332"/>
      <c r="D165" s="332"/>
      <c r="E165" s="332"/>
      <c r="F165" s="332"/>
      <c r="G165" s="332"/>
      <c r="H165" s="332"/>
      <c r="I165" s="332"/>
      <c r="J165" s="332"/>
      <c r="K165" s="332"/>
      <c r="L165" s="332"/>
      <c r="M165" s="332"/>
      <c r="N165" s="332"/>
      <c r="O165" s="332"/>
      <c r="P165" s="332"/>
      <c r="Q165" s="332"/>
      <c r="R165" s="332"/>
      <c r="S165" s="332"/>
      <c r="T165" s="332"/>
      <c r="U165" s="332"/>
      <c r="V165" s="332"/>
      <c r="W165" s="332"/>
      <c r="X165" s="332"/>
      <c r="Y165" s="332"/>
      <c r="Z165" s="332"/>
      <c r="AA165" s="332"/>
      <c r="AB165" s="332"/>
      <c r="AC165" s="332"/>
      <c r="AD165" s="332"/>
      <c r="AE165" s="332"/>
      <c r="AF165" s="332"/>
      <c r="AG165" s="332"/>
      <c r="AH165" s="332"/>
      <c r="AI165" s="332"/>
      <c r="AJ165" s="332"/>
      <c r="AK165" s="332"/>
      <c r="AL165" s="332"/>
      <c r="AM165" s="120"/>
    </row>
    <row r="166" spans="1:41" ht="34.950000000000003" customHeight="1" x14ac:dyDescent="0.25">
      <c r="A166" s="333"/>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120"/>
    </row>
    <row r="167" spans="1:41" ht="34.950000000000003" customHeight="1" x14ac:dyDescent="0.25">
      <c r="A167" s="332" t="s">
        <v>1115</v>
      </c>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row>
    <row r="168" spans="1:41" s="116" customFormat="1" ht="45" customHeight="1" x14ac:dyDescent="0.2">
      <c r="A168" s="333" t="s">
        <v>961</v>
      </c>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675"/>
      <c r="AM168" s="117"/>
    </row>
    <row r="169" spans="1:41" ht="47.25" customHeight="1" x14ac:dyDescent="0.25">
      <c r="A169" s="308" t="s">
        <v>1120</v>
      </c>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row>
    <row r="170" spans="1:41" ht="45" customHeight="1" x14ac:dyDescent="0.25">
      <c r="A170" s="333" t="str">
        <f>IF(A89=Słowniki!AA3,Słowniki!W6,Słowniki!W5)</f>
        <v>Żaden lokal nie będzie przeznaczony dla rodzin z dziećmi posiadającymi zaświadczenie, o którym mowa w art. 4 ust. 3 ustawy z dnia 4 listopada 2016 r. o wsparciu kobiet w ciąży i rodzin „Za życiem” (Dz. U. z 2024 r. poz. 1829).</v>
      </c>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row>
    <row r="171" spans="1:41" ht="121.2" customHeight="1" x14ac:dyDescent="0.25">
      <c r="A171" s="308" t="s">
        <v>1123</v>
      </c>
      <c r="B171" s="332"/>
      <c r="C171" s="332"/>
      <c r="D171" s="332"/>
      <c r="E171" s="332"/>
      <c r="F171" s="332"/>
      <c r="G171" s="332"/>
      <c r="H171" s="332"/>
      <c r="I171" s="332"/>
      <c r="J171" s="332"/>
      <c r="K171" s="332"/>
      <c r="L171" s="332"/>
      <c r="M171" s="332"/>
      <c r="N171" s="332"/>
      <c r="O171" s="332"/>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c r="AM171" s="117"/>
    </row>
    <row r="172" spans="1:41" ht="73.5" customHeight="1" x14ac:dyDescent="0.25">
      <c r="A172" s="333" t="s">
        <v>784</v>
      </c>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row>
    <row r="173" spans="1:41" ht="49.95" customHeight="1" x14ac:dyDescent="0.25">
      <c r="A173" s="308" t="s">
        <v>1125</v>
      </c>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row>
    <row r="174" spans="1:41" ht="73.5" customHeight="1" x14ac:dyDescent="0.25">
      <c r="A174" s="333" t="str">
        <f>IF(SUM(A85,T85)&gt;0,Słowniki!W$10,Słowniki!W$11)</f>
        <v>Nie dotyczy realizowanego przedsięwzięwzięcia</v>
      </c>
      <c r="B174" s="333"/>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row>
    <row r="175" spans="1:41" ht="74.7" customHeight="1" x14ac:dyDescent="0.25">
      <c r="A175" s="308" t="s">
        <v>1126</v>
      </c>
      <c r="B175" s="332"/>
      <c r="C175" s="332"/>
      <c r="D175" s="332"/>
      <c r="E175" s="332"/>
      <c r="F175" s="332"/>
      <c r="G175" s="332"/>
      <c r="H175" s="332"/>
      <c r="I175" s="332"/>
      <c r="J175" s="332"/>
      <c r="K175" s="332"/>
      <c r="L175" s="332"/>
      <c r="M175" s="332"/>
      <c r="N175" s="332"/>
      <c r="O175" s="332"/>
      <c r="P175" s="332"/>
      <c r="Q175" s="332"/>
      <c r="R175" s="332"/>
      <c r="S175" s="332"/>
      <c r="T175" s="332"/>
      <c r="U175" s="332"/>
      <c r="V175" s="332"/>
      <c r="W175" s="332"/>
      <c r="X175" s="332"/>
      <c r="Y175" s="332"/>
      <c r="Z175" s="332"/>
      <c r="AA175" s="332"/>
      <c r="AB175" s="332"/>
      <c r="AC175" s="332"/>
      <c r="AD175" s="332"/>
      <c r="AE175" s="332"/>
      <c r="AF175" s="332"/>
      <c r="AG175" s="332"/>
      <c r="AH175" s="332"/>
      <c r="AI175" s="332"/>
      <c r="AJ175" s="332"/>
      <c r="AK175" s="332"/>
      <c r="AL175" s="332"/>
      <c r="AM175" s="117"/>
    </row>
    <row r="176" spans="1:41" ht="45" customHeight="1" x14ac:dyDescent="0.25">
      <c r="A176" s="333" t="str">
        <f>IF(AND(A91&gt;Słowniki!AA3,A106&gt;Słowniki!AA3),Słowniki!Z$1,Słowniki!Z$2)</f>
        <v>NIE DOTYCZY</v>
      </c>
      <c r="B176" s="333"/>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c r="Z176" s="333"/>
      <c r="AA176" s="333"/>
      <c r="AB176" s="333"/>
      <c r="AC176" s="333"/>
      <c r="AD176" s="333"/>
      <c r="AE176" s="333"/>
      <c r="AF176" s="333"/>
      <c r="AG176" s="333"/>
      <c r="AH176" s="333"/>
      <c r="AI176" s="333"/>
      <c r="AJ176" s="333"/>
      <c r="AK176" s="333"/>
      <c r="AL176" s="333"/>
    </row>
    <row r="177" spans="1:39" ht="79.95" customHeight="1" x14ac:dyDescent="0.25">
      <c r="A177" s="332" t="s">
        <v>1129</v>
      </c>
      <c r="B177" s="332"/>
      <c r="C177" s="332"/>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77"/>
    </row>
    <row r="178" spans="1:39" ht="45" customHeight="1" x14ac:dyDescent="0.25">
      <c r="A178" s="332" t="s">
        <v>169</v>
      </c>
      <c r="B178" s="332"/>
      <c r="C178" s="332"/>
      <c r="D178" s="332"/>
      <c r="E178" s="332"/>
      <c r="F178" s="332"/>
      <c r="G178" s="332"/>
      <c r="H178" s="332"/>
      <c r="I178" s="332"/>
      <c r="J178" s="332"/>
      <c r="K178" s="332"/>
      <c r="L178" s="332"/>
      <c r="M178" s="332"/>
      <c r="N178" s="332"/>
      <c r="O178" s="332"/>
      <c r="P178" s="332"/>
      <c r="Q178" s="332"/>
      <c r="R178" s="332"/>
      <c r="S178" s="332"/>
      <c r="T178" s="332"/>
      <c r="U178" s="332"/>
      <c r="V178" s="332"/>
      <c r="W178" s="332"/>
      <c r="X178" s="332"/>
      <c r="Y178" s="332"/>
      <c r="Z178" s="332"/>
      <c r="AA178" s="332"/>
      <c r="AB178" s="332"/>
      <c r="AC178" s="332"/>
      <c r="AD178" s="332"/>
      <c r="AE178" s="332"/>
      <c r="AF178" s="332"/>
      <c r="AG178" s="332"/>
      <c r="AH178" s="332"/>
      <c r="AI178" s="332"/>
      <c r="AJ178" s="332"/>
      <c r="AK178" s="332"/>
      <c r="AL178" s="574"/>
      <c r="AM178" s="117"/>
    </row>
    <row r="179" spans="1:39" ht="36.450000000000003" customHeight="1" x14ac:dyDescent="0.25">
      <c r="A179" s="456"/>
      <c r="B179" s="456"/>
      <c r="C179" s="456"/>
      <c r="D179" s="456"/>
      <c r="E179" s="456"/>
      <c r="F179" s="456"/>
      <c r="G179" s="456"/>
      <c r="H179" s="456"/>
      <c r="I179" s="456"/>
      <c r="J179" s="456"/>
      <c r="K179" s="456"/>
      <c r="L179" s="456"/>
      <c r="M179" s="456"/>
      <c r="N179" s="456"/>
      <c r="O179" s="456"/>
      <c r="P179" s="456"/>
      <c r="Q179" s="456"/>
      <c r="R179" s="456"/>
      <c r="S179" s="456"/>
      <c r="T179" s="456"/>
      <c r="U179" s="456"/>
      <c r="V179" s="456"/>
      <c r="W179" s="456"/>
      <c r="X179" s="456"/>
      <c r="Y179" s="456"/>
      <c r="Z179" s="456"/>
      <c r="AA179" s="456"/>
      <c r="AB179" s="456"/>
      <c r="AC179" s="456"/>
      <c r="AD179" s="456"/>
      <c r="AE179" s="456"/>
      <c r="AF179" s="456"/>
      <c r="AG179" s="456"/>
      <c r="AH179" s="456"/>
      <c r="AI179" s="456"/>
      <c r="AJ179" s="456"/>
      <c r="AK179" s="456"/>
      <c r="AL179" s="650"/>
      <c r="AM179" s="117"/>
    </row>
    <row r="180" spans="1:39" ht="82.5" customHeight="1" x14ac:dyDescent="0.25">
      <c r="A180" s="332" t="s">
        <v>1130</v>
      </c>
      <c r="B180" s="332"/>
      <c r="C180" s="332"/>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77"/>
    </row>
    <row r="181" spans="1:39" ht="45" customHeight="1" x14ac:dyDescent="0.25">
      <c r="A181" s="579"/>
      <c r="B181" s="579"/>
      <c r="C181" s="579"/>
      <c r="D181" s="579"/>
      <c r="E181" s="579"/>
      <c r="F181" s="579"/>
      <c r="G181" s="579"/>
      <c r="H181" s="579"/>
      <c r="I181" s="579"/>
      <c r="J181" s="579"/>
      <c r="K181" s="579"/>
      <c r="L181" s="579"/>
      <c r="M181" s="579"/>
      <c r="N181" s="579"/>
      <c r="O181" s="579"/>
      <c r="P181" s="579"/>
      <c r="Q181" s="579"/>
      <c r="R181" s="579"/>
      <c r="S181" s="579"/>
      <c r="T181" s="579"/>
      <c r="U181" s="579"/>
      <c r="V181" s="579"/>
      <c r="W181" s="579"/>
      <c r="X181" s="579"/>
      <c r="Y181" s="579"/>
      <c r="Z181" s="579"/>
      <c r="AA181" s="579"/>
      <c r="AB181" s="579"/>
      <c r="AC181" s="579"/>
      <c r="AD181" s="579"/>
      <c r="AE181" s="579"/>
      <c r="AF181" s="579"/>
      <c r="AG181" s="579"/>
      <c r="AH181" s="579"/>
      <c r="AI181" s="579"/>
      <c r="AJ181" s="579"/>
      <c r="AK181" s="579"/>
      <c r="AL181" s="667"/>
      <c r="AM181" s="117"/>
    </row>
    <row r="182" spans="1:39" ht="49.95" customHeight="1" x14ac:dyDescent="0.25">
      <c r="A182" s="308" t="s">
        <v>1133</v>
      </c>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c r="AH182" s="308"/>
      <c r="AI182" s="308"/>
      <c r="AJ182" s="308"/>
      <c r="AK182" s="308"/>
      <c r="AL182" s="308"/>
      <c r="AM182" s="77"/>
    </row>
    <row r="183" spans="1:39" ht="51" customHeight="1" x14ac:dyDescent="0.25">
      <c r="A183" s="630" t="s">
        <v>1028</v>
      </c>
      <c r="B183" s="630"/>
      <c r="C183" s="630"/>
      <c r="D183" s="630"/>
      <c r="E183" s="630"/>
      <c r="F183" s="630"/>
      <c r="G183" s="630"/>
      <c r="H183" s="630"/>
      <c r="I183" s="630"/>
      <c r="J183" s="630"/>
      <c r="K183" s="630"/>
      <c r="L183" s="630"/>
      <c r="M183" s="630"/>
      <c r="N183" s="630"/>
      <c r="O183" s="630"/>
      <c r="P183" s="630"/>
      <c r="Q183" s="630"/>
      <c r="R183" s="630"/>
      <c r="S183" s="630"/>
      <c r="T183" s="630" t="s">
        <v>947</v>
      </c>
      <c r="U183" s="630"/>
      <c r="V183" s="630"/>
      <c r="W183" s="630"/>
      <c r="X183" s="630"/>
      <c r="Y183" s="630"/>
      <c r="Z183" s="630"/>
      <c r="AA183" s="630"/>
      <c r="AB183" s="630"/>
      <c r="AC183" s="630"/>
      <c r="AD183" s="630"/>
      <c r="AE183" s="630"/>
      <c r="AF183" s="630"/>
      <c r="AG183" s="630"/>
      <c r="AH183" s="630"/>
      <c r="AI183" s="630"/>
      <c r="AJ183" s="630"/>
      <c r="AK183" s="630"/>
      <c r="AL183" s="630"/>
      <c r="AM183" s="77"/>
    </row>
    <row r="184" spans="1:39" ht="123.45" customHeight="1" x14ac:dyDescent="0.25">
      <c r="A184" s="629">
        <f>B50</f>
        <v>0</v>
      </c>
      <c r="B184" s="629"/>
      <c r="C184" s="629"/>
      <c r="D184" s="629"/>
      <c r="E184" s="629"/>
      <c r="F184" s="629"/>
      <c r="G184" s="629"/>
      <c r="H184" s="629"/>
      <c r="I184" s="629"/>
      <c r="J184" s="629"/>
      <c r="K184" s="629"/>
      <c r="L184" s="629"/>
      <c r="M184" s="629"/>
      <c r="N184" s="629"/>
      <c r="O184" s="629"/>
      <c r="P184" s="629"/>
      <c r="Q184" s="629"/>
      <c r="R184" s="629"/>
      <c r="S184" s="629"/>
      <c r="T184" s="627" t="s">
        <v>1144</v>
      </c>
      <c r="U184" s="627"/>
      <c r="V184" s="627"/>
      <c r="W184" s="627"/>
      <c r="X184" s="627"/>
      <c r="Y184" s="627"/>
      <c r="Z184" s="627"/>
      <c r="AA184" s="627"/>
      <c r="AB184" s="627"/>
      <c r="AC184" s="627"/>
      <c r="AD184" s="627"/>
      <c r="AE184" s="627"/>
      <c r="AF184" s="627"/>
      <c r="AG184" s="627"/>
      <c r="AH184" s="627"/>
      <c r="AI184" s="627"/>
      <c r="AJ184" s="627"/>
      <c r="AK184" s="627"/>
      <c r="AL184" s="627"/>
      <c r="AM184" s="77"/>
    </row>
    <row r="185" spans="1:39" ht="61.2" customHeight="1" x14ac:dyDescent="0.25">
      <c r="A185" s="315" t="s">
        <v>1135</v>
      </c>
      <c r="B185" s="315"/>
      <c r="C185" s="315"/>
      <c r="D185" s="315"/>
      <c r="E185" s="315"/>
      <c r="F185" s="315"/>
      <c r="G185" s="315"/>
      <c r="H185" s="315"/>
      <c r="I185" s="315"/>
      <c r="J185" s="315"/>
      <c r="K185" s="315"/>
      <c r="L185" s="315"/>
      <c r="M185" s="315"/>
      <c r="N185" s="315"/>
      <c r="O185" s="315"/>
      <c r="P185" s="315"/>
      <c r="Q185" s="315"/>
      <c r="R185" s="315"/>
      <c r="S185" s="315"/>
      <c r="T185" s="315"/>
      <c r="U185" s="315"/>
      <c r="V185" s="315"/>
      <c r="W185" s="315"/>
      <c r="X185" s="315"/>
      <c r="Y185" s="315"/>
      <c r="Z185" s="315"/>
      <c r="AA185" s="315"/>
      <c r="AB185" s="315"/>
      <c r="AC185" s="315"/>
      <c r="AD185" s="315"/>
      <c r="AE185" s="315"/>
      <c r="AF185" s="315"/>
      <c r="AG185" s="315"/>
      <c r="AH185" s="315"/>
      <c r="AI185" s="315"/>
      <c r="AJ185" s="315"/>
      <c r="AK185" s="315"/>
      <c r="AL185" s="315"/>
      <c r="AM185" s="77"/>
    </row>
    <row r="186" spans="1:39" ht="97.2" customHeight="1" x14ac:dyDescent="0.25">
      <c r="A186" s="333"/>
      <c r="B186" s="333"/>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c r="Z186" s="333"/>
      <c r="AA186" s="333"/>
      <c r="AB186" s="333"/>
      <c r="AC186" s="333"/>
      <c r="AD186" s="333"/>
      <c r="AE186" s="333"/>
      <c r="AF186" s="333"/>
      <c r="AG186" s="333"/>
      <c r="AH186" s="333"/>
      <c r="AI186" s="333"/>
      <c r="AJ186" s="333"/>
      <c r="AK186" s="333"/>
      <c r="AL186" s="333"/>
      <c r="AM186" s="77"/>
    </row>
    <row r="187" spans="1:39" ht="61.2" customHeight="1" x14ac:dyDescent="0.25">
      <c r="A187" s="332" t="s">
        <v>1136</v>
      </c>
      <c r="B187" s="332"/>
      <c r="C187" s="332"/>
      <c r="D187" s="332"/>
      <c r="E187" s="332"/>
      <c r="F187" s="332"/>
      <c r="G187" s="332"/>
      <c r="H187" s="332"/>
      <c r="I187" s="332"/>
      <c r="J187" s="332"/>
      <c r="K187" s="332"/>
      <c r="L187" s="332"/>
      <c r="M187" s="332"/>
      <c r="N187" s="332"/>
      <c r="O187" s="332"/>
      <c r="P187" s="332"/>
      <c r="Q187" s="332"/>
      <c r="R187" s="332"/>
      <c r="S187" s="332"/>
      <c r="T187" s="332"/>
      <c r="U187" s="332"/>
      <c r="V187" s="332"/>
      <c r="W187" s="332"/>
      <c r="X187" s="332"/>
      <c r="Y187" s="332"/>
      <c r="Z187" s="332"/>
      <c r="AA187" s="332"/>
      <c r="AB187" s="332"/>
      <c r="AC187" s="332"/>
      <c r="AD187" s="332"/>
      <c r="AE187" s="332"/>
      <c r="AF187" s="332"/>
      <c r="AG187" s="332"/>
      <c r="AH187" s="332"/>
      <c r="AI187" s="332"/>
      <c r="AJ187" s="332"/>
      <c r="AK187" s="332"/>
      <c r="AL187" s="332"/>
      <c r="AM187" s="77"/>
    </row>
    <row r="188" spans="1:39" ht="42.45" customHeight="1" x14ac:dyDescent="0.25">
      <c r="A188" s="333" t="s">
        <v>161</v>
      </c>
      <c r="B188" s="333"/>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c r="Z188" s="333"/>
      <c r="AA188" s="333"/>
      <c r="AB188" s="333"/>
      <c r="AC188" s="333"/>
      <c r="AD188" s="333"/>
      <c r="AE188" s="333"/>
      <c r="AF188" s="333"/>
      <c r="AG188" s="333"/>
      <c r="AH188" s="333"/>
      <c r="AI188" s="333"/>
      <c r="AJ188" s="333"/>
      <c r="AK188" s="333"/>
      <c r="AL188" s="333"/>
      <c r="AM188" s="77"/>
    </row>
    <row r="189" spans="1:39" ht="42.45" customHeight="1" x14ac:dyDescent="0.25">
      <c r="A189" s="308" t="s">
        <v>1137</v>
      </c>
      <c r="B189" s="332"/>
      <c r="C189" s="332"/>
      <c r="D189" s="332"/>
      <c r="E189" s="332"/>
      <c r="F189" s="332"/>
      <c r="G189" s="332"/>
      <c r="H189" s="332"/>
      <c r="I189" s="332"/>
      <c r="J189" s="332"/>
      <c r="K189" s="332"/>
      <c r="L189" s="332"/>
      <c r="M189" s="332"/>
      <c r="N189" s="332"/>
      <c r="O189" s="332"/>
      <c r="P189" s="332"/>
      <c r="Q189" s="332"/>
      <c r="R189" s="332"/>
      <c r="S189" s="332"/>
      <c r="T189" s="332"/>
      <c r="U189" s="332"/>
      <c r="V189" s="332"/>
      <c r="W189" s="332"/>
      <c r="X189" s="332"/>
      <c r="Y189" s="332"/>
      <c r="Z189" s="332"/>
      <c r="AA189" s="332"/>
      <c r="AB189" s="332"/>
      <c r="AC189" s="332"/>
      <c r="AD189" s="332"/>
      <c r="AE189" s="332"/>
      <c r="AF189" s="332"/>
      <c r="AG189" s="332"/>
      <c r="AH189" s="332"/>
      <c r="AI189" s="332"/>
      <c r="AJ189" s="332"/>
      <c r="AK189" s="332"/>
      <c r="AL189" s="332"/>
      <c r="AM189" s="77"/>
    </row>
    <row r="190" spans="1:39" ht="42.45" customHeight="1" x14ac:dyDescent="0.25">
      <c r="A190" s="333" t="s">
        <v>1143</v>
      </c>
      <c r="B190" s="333"/>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c r="Z190" s="333"/>
      <c r="AA190" s="333"/>
      <c r="AB190" s="333"/>
      <c r="AC190" s="333"/>
      <c r="AD190" s="333"/>
      <c r="AE190" s="333"/>
      <c r="AF190" s="333"/>
      <c r="AG190" s="333"/>
      <c r="AH190" s="333"/>
      <c r="AI190" s="333"/>
      <c r="AJ190" s="333"/>
      <c r="AK190" s="333"/>
      <c r="AL190" s="333"/>
      <c r="AM190" s="77"/>
    </row>
    <row r="191" spans="1:39" ht="42.45" customHeight="1" x14ac:dyDescent="0.25">
      <c r="A191" s="308" t="s">
        <v>1138</v>
      </c>
      <c r="B191" s="332"/>
      <c r="C191" s="332"/>
      <c r="D191" s="332"/>
      <c r="E191" s="332"/>
      <c r="F191" s="332"/>
      <c r="G191" s="332"/>
      <c r="H191" s="332"/>
      <c r="I191" s="332"/>
      <c r="J191" s="332"/>
      <c r="K191" s="332"/>
      <c r="L191" s="332"/>
      <c r="M191" s="332"/>
      <c r="N191" s="332"/>
      <c r="O191" s="332"/>
      <c r="P191" s="332"/>
      <c r="Q191" s="332"/>
      <c r="R191" s="332"/>
      <c r="S191" s="332"/>
      <c r="T191" s="332"/>
      <c r="U191" s="332"/>
      <c r="V191" s="332"/>
      <c r="W191" s="332"/>
      <c r="X191" s="332"/>
      <c r="Y191" s="332"/>
      <c r="Z191" s="332"/>
      <c r="AA191" s="332"/>
      <c r="AB191" s="332"/>
      <c r="AC191" s="332"/>
      <c r="AD191" s="332"/>
      <c r="AE191" s="332"/>
      <c r="AF191" s="332"/>
      <c r="AG191" s="332"/>
      <c r="AH191" s="332"/>
      <c r="AI191" s="332"/>
      <c r="AJ191" s="332"/>
      <c r="AK191" s="332"/>
      <c r="AL191" s="332"/>
      <c r="AM191" s="77"/>
    </row>
    <row r="192" spans="1:39" ht="42.45" customHeight="1" x14ac:dyDescent="0.25">
      <c r="A192" s="333" t="s">
        <v>1139</v>
      </c>
      <c r="B192" s="333"/>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c r="AM192" s="77"/>
    </row>
    <row r="193" spans="1:39" ht="33" customHeight="1" x14ac:dyDescent="0.25">
      <c r="A193" s="649" t="s">
        <v>752</v>
      </c>
      <c r="B193" s="649"/>
      <c r="C193" s="649"/>
      <c r="D193" s="649"/>
      <c r="E193" s="649"/>
      <c r="F193" s="649"/>
      <c r="G193" s="649"/>
      <c r="H193" s="649"/>
      <c r="I193" s="649"/>
      <c r="J193" s="649"/>
      <c r="K193" s="649"/>
      <c r="L193" s="649"/>
      <c r="M193" s="649"/>
      <c r="N193" s="649"/>
      <c r="O193" s="649"/>
      <c r="P193" s="649"/>
      <c r="Q193" s="649"/>
      <c r="R193" s="649"/>
      <c r="S193" s="649"/>
      <c r="T193" s="649"/>
      <c r="U193" s="649"/>
      <c r="V193" s="649"/>
      <c r="W193" s="649"/>
      <c r="X193" s="649"/>
      <c r="Y193" s="649"/>
      <c r="Z193" s="649"/>
      <c r="AA193" s="649"/>
      <c r="AB193" s="649"/>
      <c r="AC193" s="649"/>
      <c r="AD193" s="649"/>
      <c r="AE193" s="649"/>
      <c r="AF193" s="649"/>
      <c r="AG193" s="649"/>
      <c r="AH193" s="649"/>
      <c r="AI193" s="649"/>
      <c r="AJ193" s="649"/>
      <c r="AK193" s="649"/>
      <c r="AL193" s="649"/>
      <c r="AM193" s="77"/>
    </row>
    <row r="194" spans="1:39" ht="75.45" customHeight="1" x14ac:dyDescent="0.25">
      <c r="A194" s="308" t="s">
        <v>979</v>
      </c>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c r="AD194" s="308"/>
      <c r="AE194" s="308"/>
      <c r="AF194" s="308"/>
      <c r="AG194" s="308"/>
      <c r="AH194" s="308"/>
      <c r="AI194" s="308"/>
      <c r="AJ194" s="308"/>
      <c r="AK194" s="308"/>
      <c r="AL194" s="308"/>
      <c r="AM194" s="77"/>
    </row>
    <row r="195" spans="1:39" ht="36" customHeight="1" x14ac:dyDescent="0.25">
      <c r="A195" s="308" t="s">
        <v>1024</v>
      </c>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c r="AH195" s="308"/>
      <c r="AI195" s="308"/>
      <c r="AJ195" s="308"/>
      <c r="AK195" s="308"/>
      <c r="AL195" s="308"/>
      <c r="AM195" s="77"/>
    </row>
    <row r="196" spans="1:39" ht="73.2" customHeight="1" x14ac:dyDescent="0.25">
      <c r="A196" s="308" t="s">
        <v>1153</v>
      </c>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c r="AJ196" s="308"/>
      <c r="AK196" s="308"/>
      <c r="AL196" s="308"/>
      <c r="AM196" s="77"/>
    </row>
    <row r="197" spans="1:39" ht="73.95" customHeight="1" x14ac:dyDescent="0.25">
      <c r="A197" s="651" t="s">
        <v>1010</v>
      </c>
      <c r="B197" s="651"/>
      <c r="C197" s="651"/>
      <c r="D197" s="651"/>
      <c r="E197" s="651"/>
      <c r="F197" s="651"/>
      <c r="G197" s="651"/>
      <c r="H197" s="651"/>
      <c r="I197" s="651"/>
      <c r="J197" s="651"/>
      <c r="K197" s="651"/>
      <c r="L197" s="651"/>
      <c r="M197" s="651"/>
      <c r="N197" s="651"/>
      <c r="O197" s="651"/>
      <c r="P197" s="651"/>
      <c r="Q197" s="651"/>
      <c r="R197" s="651"/>
      <c r="S197" s="651"/>
      <c r="T197" s="651"/>
      <c r="U197" s="651"/>
      <c r="V197" s="651"/>
      <c r="W197" s="651"/>
      <c r="X197" s="651"/>
      <c r="Y197" s="651"/>
      <c r="Z197" s="651"/>
      <c r="AA197" s="651"/>
      <c r="AB197" s="651"/>
      <c r="AC197" s="651"/>
      <c r="AD197" s="651"/>
      <c r="AE197" s="651"/>
      <c r="AF197" s="651"/>
      <c r="AG197" s="651"/>
      <c r="AH197" s="651"/>
      <c r="AI197" s="651"/>
      <c r="AJ197" s="651"/>
      <c r="AK197" s="651"/>
      <c r="AL197" s="651"/>
      <c r="AM197" s="77"/>
    </row>
    <row r="198" spans="1:39" ht="21" customHeight="1" x14ac:dyDescent="0.25">
      <c r="A198" s="308" t="s">
        <v>1051</v>
      </c>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c r="AH198" s="308"/>
      <c r="AI198" s="308"/>
      <c r="AJ198" s="308"/>
      <c r="AK198" s="308"/>
      <c r="AL198" s="308"/>
      <c r="AM198" s="77"/>
    </row>
    <row r="199" spans="1:39" ht="27.45" customHeight="1" x14ac:dyDescent="0.25">
      <c r="A199" s="505" t="str">
        <f>IF(B18="Gmina","1)  w przypadku gminy - wójta (burmistrza, prezydenta miasta)",IF(B18="Powiat","3)  w przypadku powiatu - starostę)",IF(B18="Związek międzygminny","2)  w przypadku związku międzygminnego - zarząd związku",IF(B18="",""))))</f>
        <v/>
      </c>
      <c r="B199" s="505"/>
      <c r="C199" s="505"/>
      <c r="D199" s="505"/>
      <c r="E199" s="505"/>
      <c r="F199" s="505"/>
      <c r="G199" s="505"/>
      <c r="H199" s="505"/>
      <c r="I199" s="505"/>
      <c r="J199" s="505"/>
      <c r="K199" s="505"/>
      <c r="L199" s="505"/>
      <c r="M199" s="505"/>
      <c r="N199" s="505"/>
      <c r="O199" s="505"/>
      <c r="P199" s="505"/>
      <c r="Q199" s="505"/>
      <c r="R199" s="505"/>
      <c r="S199" s="505"/>
      <c r="T199" s="505"/>
      <c r="U199" s="505"/>
      <c r="V199" s="505"/>
      <c r="W199" s="505"/>
      <c r="X199" s="505"/>
      <c r="Y199" s="505"/>
      <c r="Z199" s="505"/>
      <c r="AA199" s="505"/>
      <c r="AB199" s="505"/>
      <c r="AC199" s="505"/>
      <c r="AD199" s="505"/>
      <c r="AE199" s="505"/>
      <c r="AF199" s="505"/>
      <c r="AG199" s="505"/>
      <c r="AH199" s="505"/>
      <c r="AI199" s="505"/>
      <c r="AJ199" s="505"/>
      <c r="AK199" s="505"/>
      <c r="AL199" s="505"/>
      <c r="AM199" s="454" t="s">
        <v>973</v>
      </c>
    </row>
    <row r="200" spans="1:39" ht="38.700000000000003" customHeight="1" x14ac:dyDescent="0.3">
      <c r="A200" s="460" t="s">
        <v>753</v>
      </c>
      <c r="B200" s="460"/>
      <c r="C200" s="460"/>
      <c r="D200" s="460"/>
      <c r="E200" s="460"/>
      <c r="F200" s="460"/>
      <c r="G200" s="460"/>
      <c r="H200" s="460"/>
      <c r="I200" s="460"/>
      <c r="J200" s="460"/>
      <c r="K200" s="460"/>
      <c r="L200" s="460"/>
      <c r="M200" s="460"/>
      <c r="N200" s="460"/>
      <c r="O200" s="460"/>
      <c r="P200" s="460"/>
      <c r="Q200" s="460"/>
      <c r="R200" s="460"/>
      <c r="S200" s="460"/>
      <c r="T200" s="460"/>
      <c r="U200" s="460"/>
      <c r="V200" s="460"/>
      <c r="W200" s="460"/>
      <c r="X200" s="460"/>
      <c r="Y200" s="460"/>
      <c r="Z200" s="460"/>
      <c r="AA200" s="460"/>
      <c r="AB200" s="460"/>
      <c r="AC200" s="460"/>
      <c r="AD200" s="460"/>
      <c r="AE200" s="460"/>
      <c r="AF200" s="460"/>
      <c r="AG200" s="460"/>
      <c r="AH200" s="460"/>
      <c r="AI200" s="460"/>
      <c r="AJ200" s="460"/>
      <c r="AK200" s="460"/>
      <c r="AL200" s="460"/>
      <c r="AM200" s="455"/>
    </row>
    <row r="201" spans="1:39" ht="14.25" customHeight="1" x14ac:dyDescent="0.25">
      <c r="A201" s="449" t="s">
        <v>1148</v>
      </c>
      <c r="B201" s="449"/>
      <c r="C201" s="449"/>
      <c r="D201" s="449"/>
      <c r="E201" s="449"/>
      <c r="F201" s="449"/>
      <c r="G201" s="449"/>
      <c r="H201" s="449"/>
      <c r="I201" s="449"/>
      <c r="J201" s="449"/>
      <c r="K201" s="449"/>
      <c r="L201" s="449"/>
      <c r="M201" s="449"/>
      <c r="N201" s="449"/>
      <c r="O201" s="449"/>
      <c r="P201" s="449"/>
      <c r="Q201" s="449"/>
      <c r="R201" s="449"/>
      <c r="S201" s="449"/>
      <c r="T201" s="449"/>
      <c r="U201" s="449"/>
      <c r="V201" s="449"/>
      <c r="W201" s="449"/>
      <c r="X201" s="449"/>
      <c r="Y201" s="449"/>
      <c r="Z201" s="449"/>
      <c r="AA201" s="449"/>
      <c r="AB201" s="449"/>
      <c r="AC201" s="449"/>
      <c r="AD201" s="449"/>
      <c r="AE201" s="449"/>
      <c r="AF201" s="449"/>
      <c r="AG201" s="449"/>
      <c r="AH201" s="449"/>
      <c r="AI201" s="449"/>
      <c r="AJ201" s="449"/>
      <c r="AK201" s="449"/>
      <c r="AL201" s="449"/>
    </row>
    <row r="202" spans="1:39" ht="14.25" customHeight="1" x14ac:dyDescent="0.25">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c r="AB202" s="450"/>
      <c r="AC202" s="450"/>
      <c r="AD202" s="450"/>
      <c r="AE202" s="450"/>
      <c r="AF202" s="450"/>
      <c r="AG202" s="450"/>
      <c r="AH202" s="450"/>
      <c r="AI202" s="450"/>
      <c r="AJ202" s="450"/>
      <c r="AK202" s="450"/>
      <c r="AL202" s="450"/>
    </row>
    <row r="203" spans="1:39" ht="14.25" customHeight="1" x14ac:dyDescent="0.25">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c r="W203" s="450"/>
      <c r="X203" s="450"/>
      <c r="Y203" s="450"/>
      <c r="Z203" s="450"/>
      <c r="AA203" s="450"/>
      <c r="AB203" s="450"/>
      <c r="AC203" s="450"/>
      <c r="AD203" s="450"/>
      <c r="AE203" s="450"/>
      <c r="AF203" s="450"/>
      <c r="AG203" s="450"/>
      <c r="AH203" s="450"/>
      <c r="AI203" s="450"/>
      <c r="AJ203" s="450"/>
      <c r="AK203" s="450"/>
      <c r="AL203" s="450"/>
    </row>
    <row r="204" spans="1:39" ht="14.25" customHeight="1" x14ac:dyDescent="0.3">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c r="W204" s="450"/>
      <c r="X204" s="450"/>
      <c r="Y204" s="450"/>
      <c r="Z204" s="450"/>
      <c r="AA204" s="450"/>
      <c r="AB204" s="450"/>
      <c r="AC204" s="450"/>
      <c r="AD204" s="450"/>
      <c r="AE204" s="450"/>
      <c r="AF204" s="450"/>
      <c r="AG204" s="450"/>
      <c r="AH204" s="450"/>
      <c r="AI204" s="450"/>
      <c r="AJ204" s="450"/>
      <c r="AK204" s="450"/>
      <c r="AL204" s="450"/>
      <c r="AM204" s="256" t="s">
        <v>1155</v>
      </c>
    </row>
    <row r="205" spans="1:39" ht="156" customHeight="1" x14ac:dyDescent="0.2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c r="W205" s="450"/>
      <c r="X205" s="450"/>
      <c r="Y205" s="450"/>
      <c r="Z205" s="450"/>
      <c r="AA205" s="450"/>
      <c r="AB205" s="450"/>
      <c r="AC205" s="450"/>
      <c r="AD205" s="450"/>
      <c r="AE205" s="450"/>
      <c r="AF205" s="450"/>
      <c r="AG205" s="450"/>
      <c r="AH205" s="450"/>
      <c r="AI205" s="450"/>
      <c r="AJ205" s="450"/>
      <c r="AK205" s="450"/>
      <c r="AL205" s="450"/>
      <c r="AM205" s="255" t="s">
        <v>1156</v>
      </c>
    </row>
    <row r="206" spans="1:39" ht="14.25" customHeight="1" x14ac:dyDescent="0.3"/>
    <row r="207" spans="1:39" ht="14.25" customHeight="1" x14ac:dyDescent="0.3"/>
    <row r="208" spans="1:39"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sheetData>
  <sheetProtection algorithmName="SHA-512" hashValue="06WJLNj9LCKQxxRGOIm5va63hXiOCmbX40OUhs3vIkbJcXLyFaaQg73GNpNeBkJNIC2OOW6EAaNh4Z/BGBhshw==" saltValue="QuT25KANq3kBv132N9YFNQ==" spinCount="100000" sheet="1" formatCells="0" formatRows="0" insertRows="0"/>
  <mergeCells count="459">
    <mergeCell ref="A1:AL1"/>
    <mergeCell ref="A198:AL198"/>
    <mergeCell ref="P149:S149"/>
    <mergeCell ref="T149:Z149"/>
    <mergeCell ref="AA149:AG149"/>
    <mergeCell ref="P147:S147"/>
    <mergeCell ref="T147:Z147"/>
    <mergeCell ref="AA147:AG147"/>
    <mergeCell ref="P150:S150"/>
    <mergeCell ref="T150:Z150"/>
    <mergeCell ref="AH150:AJ150"/>
    <mergeCell ref="B160:S160"/>
    <mergeCell ref="A163:AL163"/>
    <mergeCell ref="P158:S158"/>
    <mergeCell ref="T158:Z158"/>
    <mergeCell ref="AA158:AG158"/>
    <mergeCell ref="AH158:AJ158"/>
    <mergeCell ref="P157:S157"/>
    <mergeCell ref="B156:F156"/>
    <mergeCell ref="G156:K156"/>
    <mergeCell ref="B143:F143"/>
    <mergeCell ref="G143:K143"/>
    <mergeCell ref="L147:O147"/>
    <mergeCell ref="AH135:AJ135"/>
    <mergeCell ref="T135:Z135"/>
    <mergeCell ref="B157:F157"/>
    <mergeCell ref="AK145:AL145"/>
    <mergeCell ref="L156:O156"/>
    <mergeCell ref="P152:S152"/>
    <mergeCell ref="T156:Z156"/>
    <mergeCell ref="AA156:AG156"/>
    <mergeCell ref="T157:Z157"/>
    <mergeCell ref="AA157:AG157"/>
    <mergeCell ref="AH157:AJ157"/>
    <mergeCell ref="G157:K157"/>
    <mergeCell ref="L157:O157"/>
    <mergeCell ref="P146:S146"/>
    <mergeCell ref="P156:S156"/>
    <mergeCell ref="P151:S151"/>
    <mergeCell ref="L145:O145"/>
    <mergeCell ref="AA136:AG136"/>
    <mergeCell ref="AH136:AJ136"/>
    <mergeCell ref="AK136:AL136"/>
    <mergeCell ref="B137:F137"/>
    <mergeCell ref="AA150:AG150"/>
    <mergeCell ref="B148:F148"/>
    <mergeCell ref="G148:K148"/>
    <mergeCell ref="L148:O148"/>
    <mergeCell ref="A189:AL189"/>
    <mergeCell ref="A190:AL190"/>
    <mergeCell ref="A191:AL191"/>
    <mergeCell ref="A192:AL192"/>
    <mergeCell ref="A199:AL199"/>
    <mergeCell ref="A195:AL195"/>
    <mergeCell ref="T134:Z134"/>
    <mergeCell ref="AA134:AG134"/>
    <mergeCell ref="B134:F134"/>
    <mergeCell ref="AH151:AJ151"/>
    <mergeCell ref="AA153:AG153"/>
    <mergeCell ref="G149:K149"/>
    <mergeCell ref="B150:F150"/>
    <mergeCell ref="G150:K150"/>
    <mergeCell ref="G138:K138"/>
    <mergeCell ref="L138:O138"/>
    <mergeCell ref="B139:F139"/>
    <mergeCell ref="G139:K139"/>
    <mergeCell ref="L142:O142"/>
    <mergeCell ref="B140:F140"/>
    <mergeCell ref="G140:K140"/>
    <mergeCell ref="L140:O140"/>
    <mergeCell ref="B141:F141"/>
    <mergeCell ref="G141:K141"/>
    <mergeCell ref="AK156:AL156"/>
    <mergeCell ref="AH156:AJ156"/>
    <mergeCell ref="AA152:AG152"/>
    <mergeCell ref="P153:S153"/>
    <mergeCell ref="AK158:AL158"/>
    <mergeCell ref="B158:K158"/>
    <mergeCell ref="AM199:AM200"/>
    <mergeCell ref="A159:AL159"/>
    <mergeCell ref="A167:AL167"/>
    <mergeCell ref="A165:AL165"/>
    <mergeCell ref="A166:AL166"/>
    <mergeCell ref="A168:AL168"/>
    <mergeCell ref="B162:S162"/>
    <mergeCell ref="T162:AJ162"/>
    <mergeCell ref="A173:AL173"/>
    <mergeCell ref="A174:AL174"/>
    <mergeCell ref="A185:AL185"/>
    <mergeCell ref="A186:AL186"/>
    <mergeCell ref="A187:AL187"/>
    <mergeCell ref="A200:AL200"/>
    <mergeCell ref="A169:AL169"/>
    <mergeCell ref="A170:AL170"/>
    <mergeCell ref="A172:AL172"/>
    <mergeCell ref="A171:AL171"/>
    <mergeCell ref="T151:Z151"/>
    <mergeCell ref="AK153:AL153"/>
    <mergeCell ref="T153:Z153"/>
    <mergeCell ref="AK151:AL151"/>
    <mergeCell ref="G155:K155"/>
    <mergeCell ref="G151:K151"/>
    <mergeCell ref="L151:O151"/>
    <mergeCell ref="B152:F152"/>
    <mergeCell ref="B153:F153"/>
    <mergeCell ref="G153:K153"/>
    <mergeCell ref="L153:O153"/>
    <mergeCell ref="G152:K152"/>
    <mergeCell ref="B151:F151"/>
    <mergeCell ref="L152:O152"/>
    <mergeCell ref="AH153:AJ153"/>
    <mergeCell ref="AJ130:AL130"/>
    <mergeCell ref="A105:AL105"/>
    <mergeCell ref="A110:AL110"/>
    <mergeCell ref="A112:AL112"/>
    <mergeCell ref="AJ122:AL122"/>
    <mergeCell ref="AA123:AL123"/>
    <mergeCell ref="A114:AL114"/>
    <mergeCell ref="A111:AL111"/>
    <mergeCell ref="A108:AL108"/>
    <mergeCell ref="A109:AL109"/>
    <mergeCell ref="A107:AL107"/>
    <mergeCell ref="AA119:AL119"/>
    <mergeCell ref="A120:Z120"/>
    <mergeCell ref="AA120:AL120"/>
    <mergeCell ref="A121:Z122"/>
    <mergeCell ref="AA121:AI121"/>
    <mergeCell ref="A124:Z125"/>
    <mergeCell ref="L149:O149"/>
    <mergeCell ref="B149:F149"/>
    <mergeCell ref="G136:K136"/>
    <mergeCell ref="B135:F135"/>
    <mergeCell ref="G135:K135"/>
    <mergeCell ref="L135:O135"/>
    <mergeCell ref="P134:S134"/>
    <mergeCell ref="B136:F136"/>
    <mergeCell ref="L136:O136"/>
    <mergeCell ref="P136:S136"/>
    <mergeCell ref="L134:O134"/>
    <mergeCell ref="G145:K145"/>
    <mergeCell ref="B142:F142"/>
    <mergeCell ref="P137:S137"/>
    <mergeCell ref="P143:S143"/>
    <mergeCell ref="P141:S141"/>
    <mergeCell ref="L141:O141"/>
    <mergeCell ref="G142:K142"/>
    <mergeCell ref="P140:S140"/>
    <mergeCell ref="L139:O139"/>
    <mergeCell ref="A201:AL205"/>
    <mergeCell ref="B155:F155"/>
    <mergeCell ref="AK155:AL155"/>
    <mergeCell ref="AA151:AG151"/>
    <mergeCell ref="P155:S155"/>
    <mergeCell ref="T155:Z155"/>
    <mergeCell ref="AA155:AG155"/>
    <mergeCell ref="AH155:AJ155"/>
    <mergeCell ref="B154:F154"/>
    <mergeCell ref="G154:K154"/>
    <mergeCell ref="L154:O154"/>
    <mergeCell ref="P154:S154"/>
    <mergeCell ref="T154:Z154"/>
    <mergeCell ref="AA154:AG154"/>
    <mergeCell ref="AH154:AJ154"/>
    <mergeCell ref="AK154:AL154"/>
    <mergeCell ref="A183:S183"/>
    <mergeCell ref="T183:AL183"/>
    <mergeCell ref="L155:O155"/>
    <mergeCell ref="A180:AL180"/>
    <mergeCell ref="A181:AL181"/>
    <mergeCell ref="A182:AL182"/>
    <mergeCell ref="T152:Z152"/>
    <mergeCell ref="AH152:AJ152"/>
    <mergeCell ref="AM53:AO53"/>
    <mergeCell ref="AK54:AL54"/>
    <mergeCell ref="AK59:AL59"/>
    <mergeCell ref="B63:R63"/>
    <mergeCell ref="S63:AL63"/>
    <mergeCell ref="Z60:AJ60"/>
    <mergeCell ref="B78:AL78"/>
    <mergeCell ref="AK58:AL58"/>
    <mergeCell ref="Z59:AJ59"/>
    <mergeCell ref="AK57:AL57"/>
    <mergeCell ref="B65:R65"/>
    <mergeCell ref="S65:AL65"/>
    <mergeCell ref="B72:R72"/>
    <mergeCell ref="S72:AL72"/>
    <mergeCell ref="B53:AL53"/>
    <mergeCell ref="S71:AL71"/>
    <mergeCell ref="B54:Y54"/>
    <mergeCell ref="B59:Y59"/>
    <mergeCell ref="B60:Y60"/>
    <mergeCell ref="Z54:AJ54"/>
    <mergeCell ref="Z55:AJ55"/>
    <mergeCell ref="S70:AL70"/>
    <mergeCell ref="AK55:AL55"/>
    <mergeCell ref="B58:Y58"/>
    <mergeCell ref="AM94:AU94"/>
    <mergeCell ref="A83:AL83"/>
    <mergeCell ref="A84:S84"/>
    <mergeCell ref="A82:AL82"/>
    <mergeCell ref="A88:AL88"/>
    <mergeCell ref="A89:AL89"/>
    <mergeCell ref="A90:AL90"/>
    <mergeCell ref="A91:AL91"/>
    <mergeCell ref="A94:AL94"/>
    <mergeCell ref="B92:AL92"/>
    <mergeCell ref="A86:AL86"/>
    <mergeCell ref="AM86:AM87"/>
    <mergeCell ref="A87:AL87"/>
    <mergeCell ref="AM92:AU93"/>
    <mergeCell ref="A93:AL93"/>
    <mergeCell ref="A85:S85"/>
    <mergeCell ref="T85:AL85"/>
    <mergeCell ref="T84:AL84"/>
    <mergeCell ref="AM103:AV103"/>
    <mergeCell ref="AM105:AV105"/>
    <mergeCell ref="A103:AL103"/>
    <mergeCell ref="P148:S148"/>
    <mergeCell ref="T148:Z148"/>
    <mergeCell ref="AA148:AG148"/>
    <mergeCell ref="AH148:AJ148"/>
    <mergeCell ref="AK148:AL148"/>
    <mergeCell ref="T140:Z140"/>
    <mergeCell ref="G137:K137"/>
    <mergeCell ref="L137:O137"/>
    <mergeCell ref="B138:F138"/>
    <mergeCell ref="AA141:AG141"/>
    <mergeCell ref="AH141:AJ141"/>
    <mergeCell ref="AK141:AL141"/>
    <mergeCell ref="AA142:AG142"/>
    <mergeCell ref="AH142:AJ142"/>
    <mergeCell ref="AK142:AL142"/>
    <mergeCell ref="A123:Z123"/>
    <mergeCell ref="AA124:AI124"/>
    <mergeCell ref="AA125:AI125"/>
    <mergeCell ref="AJ125:AL125"/>
    <mergeCell ref="A126:Z127"/>
    <mergeCell ref="AA126:AI126"/>
    <mergeCell ref="Z56:AJ56"/>
    <mergeCell ref="Z58:AJ58"/>
    <mergeCell ref="B61:AL61"/>
    <mergeCell ref="B67:R67"/>
    <mergeCell ref="S67:AL67"/>
    <mergeCell ref="B71:R71"/>
    <mergeCell ref="A80:AL80"/>
    <mergeCell ref="A61:A73"/>
    <mergeCell ref="B66:R66"/>
    <mergeCell ref="S66:AL66"/>
    <mergeCell ref="B68:AL68"/>
    <mergeCell ref="B64:R64"/>
    <mergeCell ref="S64:AL64"/>
    <mergeCell ref="B69:R69"/>
    <mergeCell ref="AB75:AL75"/>
    <mergeCell ref="B76:AL76"/>
    <mergeCell ref="B62:AL62"/>
    <mergeCell ref="B75:AA75"/>
    <mergeCell ref="B70:R70"/>
    <mergeCell ref="AK135:AL135"/>
    <mergeCell ref="AJ126:AL126"/>
    <mergeCell ref="AA127:AI127"/>
    <mergeCell ref="AJ127:AL127"/>
    <mergeCell ref="A115:AL115"/>
    <mergeCell ref="AH134:AJ134"/>
    <mergeCell ref="AA135:AG135"/>
    <mergeCell ref="P135:S135"/>
    <mergeCell ref="I95:S95"/>
    <mergeCell ref="T95:AD95"/>
    <mergeCell ref="AE95:AJ95"/>
    <mergeCell ref="A95:H95"/>
    <mergeCell ref="A99:AL99"/>
    <mergeCell ref="A106:AL106"/>
    <mergeCell ref="A101:AL101"/>
    <mergeCell ref="A98:AL98"/>
    <mergeCell ref="A100:AL100"/>
    <mergeCell ref="A96:H96"/>
    <mergeCell ref="I96:S96"/>
    <mergeCell ref="A133:AL133"/>
    <mergeCell ref="AK134:AL134"/>
    <mergeCell ref="A131:AL131"/>
    <mergeCell ref="AJ124:AL124"/>
    <mergeCell ref="T96:AD96"/>
    <mergeCell ref="T141:Z141"/>
    <mergeCell ref="P142:S142"/>
    <mergeCell ref="T142:Z142"/>
    <mergeCell ref="A118:AL118"/>
    <mergeCell ref="A119:Z119"/>
    <mergeCell ref="T143:Z143"/>
    <mergeCell ref="T137:Z137"/>
    <mergeCell ref="G134:K134"/>
    <mergeCell ref="AH139:AJ139"/>
    <mergeCell ref="AK139:AL139"/>
    <mergeCell ref="T136:Z136"/>
    <mergeCell ref="AJ121:AL121"/>
    <mergeCell ref="AA122:AI122"/>
    <mergeCell ref="AH137:AJ137"/>
    <mergeCell ref="AK137:AL137"/>
    <mergeCell ref="AA140:AG140"/>
    <mergeCell ref="P138:S138"/>
    <mergeCell ref="T138:Z138"/>
    <mergeCell ref="AA138:AG138"/>
    <mergeCell ref="A132:AL132"/>
    <mergeCell ref="A128:AL128"/>
    <mergeCell ref="A129:AI129"/>
    <mergeCell ref="AJ129:AL129"/>
    <mergeCell ref="A130:AI130"/>
    <mergeCell ref="A25:A26"/>
    <mergeCell ref="B25:V25"/>
    <mergeCell ref="W25:AL25"/>
    <mergeCell ref="B26:V26"/>
    <mergeCell ref="W26:AL26"/>
    <mergeCell ref="B22:X22"/>
    <mergeCell ref="A27:A35"/>
    <mergeCell ref="B23:AL23"/>
    <mergeCell ref="B24:AL24"/>
    <mergeCell ref="B28:AL28"/>
    <mergeCell ref="A21:A24"/>
    <mergeCell ref="B21:AL21"/>
    <mergeCell ref="Y22:AL22"/>
    <mergeCell ref="B27:AL27"/>
    <mergeCell ref="B29:AL29"/>
    <mergeCell ref="B30:AL30"/>
    <mergeCell ref="B31:AL31"/>
    <mergeCell ref="B32:AL32"/>
    <mergeCell ref="B33:AL33"/>
    <mergeCell ref="B34:AL34"/>
    <mergeCell ref="B35:AL35"/>
    <mergeCell ref="A4:F4"/>
    <mergeCell ref="H4:L4"/>
    <mergeCell ref="A5:F5"/>
    <mergeCell ref="H5:L5"/>
    <mergeCell ref="N5:S6"/>
    <mergeCell ref="U5:Z5"/>
    <mergeCell ref="A19:A20"/>
    <mergeCell ref="B19:AL19"/>
    <mergeCell ref="B20:AL20"/>
    <mergeCell ref="A7:F7"/>
    <mergeCell ref="G7:L7"/>
    <mergeCell ref="N7:P7"/>
    <mergeCell ref="Q7:AA7"/>
    <mergeCell ref="AB7:AE7"/>
    <mergeCell ref="A8:P8"/>
    <mergeCell ref="Q8:AL8"/>
    <mergeCell ref="A9:AL9"/>
    <mergeCell ref="A12:AL12"/>
    <mergeCell ref="A13:AL13"/>
    <mergeCell ref="A14:AL14"/>
    <mergeCell ref="A16:AK16"/>
    <mergeCell ref="A17:A18"/>
    <mergeCell ref="B17:AL17"/>
    <mergeCell ref="B18:AL18"/>
    <mergeCell ref="AE96:AJ96"/>
    <mergeCell ref="AK96:AL96"/>
    <mergeCell ref="A113:AL113"/>
    <mergeCell ref="A116:AL116"/>
    <mergeCell ref="A117:AL117"/>
    <mergeCell ref="AK95:AL95"/>
    <mergeCell ref="A97:AL97"/>
    <mergeCell ref="A102:AL102"/>
    <mergeCell ref="A104:AL104"/>
    <mergeCell ref="B81:AL81"/>
    <mergeCell ref="A79:AL79"/>
    <mergeCell ref="B73:R73"/>
    <mergeCell ref="A44:A45"/>
    <mergeCell ref="B44:AL44"/>
    <mergeCell ref="B45:S45"/>
    <mergeCell ref="B48:AL48"/>
    <mergeCell ref="B51:AL51"/>
    <mergeCell ref="Z57:AJ57"/>
    <mergeCell ref="T45:AL45"/>
    <mergeCell ref="A53:A60"/>
    <mergeCell ref="AK56:AL56"/>
    <mergeCell ref="A47:A48"/>
    <mergeCell ref="B47:AL47"/>
    <mergeCell ref="B50:AL50"/>
    <mergeCell ref="B52:AL52"/>
    <mergeCell ref="AK60:AL60"/>
    <mergeCell ref="B74:AL74"/>
    <mergeCell ref="B77:AL77"/>
    <mergeCell ref="S73:AL73"/>
    <mergeCell ref="B55:Y55"/>
    <mergeCell ref="B56:Y56"/>
    <mergeCell ref="B57:Y57"/>
    <mergeCell ref="S69:AL69"/>
    <mergeCell ref="A36:A43"/>
    <mergeCell ref="B43:AL43"/>
    <mergeCell ref="W40:AL40"/>
    <mergeCell ref="B41:V41"/>
    <mergeCell ref="B42:AL42"/>
    <mergeCell ref="B46:AL46"/>
    <mergeCell ref="A49:A50"/>
    <mergeCell ref="B49:AL49"/>
    <mergeCell ref="A51:A52"/>
    <mergeCell ref="W41:AL41"/>
    <mergeCell ref="Y39:AL39"/>
    <mergeCell ref="B40:V40"/>
    <mergeCell ref="B39:X39"/>
    <mergeCell ref="B38:X38"/>
    <mergeCell ref="B36:AL36"/>
    <mergeCell ref="B37:AL37"/>
    <mergeCell ref="Y38:AL38"/>
    <mergeCell ref="A197:AL197"/>
    <mergeCell ref="A184:S184"/>
    <mergeCell ref="T184:AL184"/>
    <mergeCell ref="A188:AL188"/>
    <mergeCell ref="AA137:AG137"/>
    <mergeCell ref="AK143:AL143"/>
    <mergeCell ref="AA143:AG143"/>
    <mergeCell ref="AK150:AL150"/>
    <mergeCell ref="AH149:AJ149"/>
    <mergeCell ref="AK149:AL149"/>
    <mergeCell ref="AH143:AJ143"/>
    <mergeCell ref="G147:K147"/>
    <mergeCell ref="L150:O150"/>
    <mergeCell ref="L143:O143"/>
    <mergeCell ref="B146:F146"/>
    <mergeCell ref="G146:K146"/>
    <mergeCell ref="L146:O146"/>
    <mergeCell ref="A164:AL164"/>
    <mergeCell ref="T160:AJ160"/>
    <mergeCell ref="B161:S161"/>
    <mergeCell ref="AK146:AL146"/>
    <mergeCell ref="AH145:AJ145"/>
    <mergeCell ref="AH147:AJ147"/>
    <mergeCell ref="AK147:AL147"/>
    <mergeCell ref="AA145:AG145"/>
    <mergeCell ref="T146:Z146"/>
    <mergeCell ref="AA146:AG146"/>
    <mergeCell ref="P145:S145"/>
    <mergeCell ref="T145:Z145"/>
    <mergeCell ref="P144:S144"/>
    <mergeCell ref="AK144:AL144"/>
    <mergeCell ref="AA144:AG144"/>
    <mergeCell ref="AH144:AJ144"/>
    <mergeCell ref="T144:Z144"/>
    <mergeCell ref="AH146:AJ146"/>
    <mergeCell ref="A196:AL196"/>
    <mergeCell ref="T161:AJ161"/>
    <mergeCell ref="AH138:AJ138"/>
    <mergeCell ref="AK138:AL138"/>
    <mergeCell ref="AH140:AJ140"/>
    <mergeCell ref="AK140:AL140"/>
    <mergeCell ref="P139:S139"/>
    <mergeCell ref="T139:Z139"/>
    <mergeCell ref="AA139:AG139"/>
    <mergeCell ref="AK157:AL157"/>
    <mergeCell ref="A177:AL177"/>
    <mergeCell ref="A178:AL178"/>
    <mergeCell ref="A193:AL193"/>
    <mergeCell ref="A194:AL194"/>
    <mergeCell ref="A175:AL175"/>
    <mergeCell ref="B144:F144"/>
    <mergeCell ref="G144:K144"/>
    <mergeCell ref="B145:F145"/>
    <mergeCell ref="AK152:AL152"/>
    <mergeCell ref="B147:F147"/>
    <mergeCell ref="L144:O144"/>
    <mergeCell ref="L158:O158"/>
    <mergeCell ref="A176:AL176"/>
    <mergeCell ref="A179:AL179"/>
  </mergeCells>
  <conditionalFormatting sqref="A4 H4 AJ124:AJ127">
    <cfRule type="expression" dxfId="544" priority="447">
      <formula>IF(A4="",1,0)</formula>
    </cfRule>
  </conditionalFormatting>
  <conditionalFormatting sqref="A79:A80">
    <cfRule type="expression" dxfId="543" priority="57">
      <formula>IF(A79="",1,0)</formula>
    </cfRule>
  </conditionalFormatting>
  <conditionalFormatting sqref="A82:A85">
    <cfRule type="expression" dxfId="542" priority="89">
      <formula>IF(A82="",1,0)</formula>
    </cfRule>
  </conditionalFormatting>
  <conditionalFormatting sqref="A88:A91">
    <cfRule type="expression" dxfId="539" priority="371">
      <formula>IF(A88="",1,0)</formula>
    </cfRule>
  </conditionalFormatting>
  <conditionalFormatting sqref="A93">
    <cfRule type="expression" dxfId="538" priority="373">
      <formula>IF(A93="",1,0)</formula>
    </cfRule>
  </conditionalFormatting>
  <conditionalFormatting sqref="A95:A96">
    <cfRule type="expression" dxfId="537" priority="128">
      <formula>IF(A95="",1,0)</formula>
    </cfRule>
  </conditionalFormatting>
  <conditionalFormatting sqref="A98 A100 A102 A104 A108">
    <cfRule type="expression" dxfId="536" priority="245">
      <formula>IF(A98="",1,0)</formula>
    </cfRule>
  </conditionalFormatting>
  <conditionalFormatting sqref="A106">
    <cfRule type="expression" dxfId="535" priority="244">
      <formula>IF(A106="",1,0)</formula>
    </cfRule>
  </conditionalFormatting>
  <conditionalFormatting sqref="A111">
    <cfRule type="expression" dxfId="534" priority="231">
      <formula>IF(A111="",1,0)</formula>
    </cfRule>
  </conditionalFormatting>
  <conditionalFormatting sqref="A113:A115">
    <cfRule type="expression" dxfId="533" priority="227">
      <formula>IF(A113="",1,0)</formula>
    </cfRule>
  </conditionalFormatting>
  <conditionalFormatting sqref="A117:A121">
    <cfRule type="expression" dxfId="532" priority="2">
      <formula>IF(A117="",1,0)</formula>
    </cfRule>
  </conditionalFormatting>
  <conditionalFormatting sqref="A123:A124">
    <cfRule type="expression" dxfId="531" priority="6">
      <formula>IF(A123="",1,0)</formula>
    </cfRule>
  </conditionalFormatting>
  <conditionalFormatting sqref="A126">
    <cfRule type="expression" dxfId="530" priority="39">
      <formula>IF(A126="",1,0)</formula>
    </cfRule>
  </conditionalFormatting>
  <conditionalFormatting sqref="A129:A132">
    <cfRule type="expression" dxfId="529" priority="24">
      <formula>IF(A129="",1,0)</formula>
    </cfRule>
  </conditionalFormatting>
  <conditionalFormatting sqref="A163:A177">
    <cfRule type="expression" dxfId="528" priority="8">
      <formula>IF(A163="",1,0)</formula>
    </cfRule>
  </conditionalFormatting>
  <conditionalFormatting sqref="A179:A192">
    <cfRule type="expression" dxfId="527" priority="3">
      <formula>IF(A179="",1,0)</formula>
    </cfRule>
  </conditionalFormatting>
  <conditionalFormatting sqref="A194:A196">
    <cfRule type="expression" dxfId="526" priority="1">
      <formula>IF(A194="",1,0)</formula>
    </cfRule>
  </conditionalFormatting>
  <conditionalFormatting sqref="A199:A200">
    <cfRule type="expression" dxfId="525" priority="246">
      <formula>IF(A199="",1,0)</formula>
    </cfRule>
  </conditionalFormatting>
  <conditionalFormatting sqref="B22">
    <cfRule type="expression" dxfId="518" priority="111">
      <formula>IF(B22="",1,0)</formula>
    </cfRule>
  </conditionalFormatting>
  <conditionalFormatting sqref="B24">
    <cfRule type="expression" dxfId="517" priority="19">
      <formula>IF(B24="",1,0)</formula>
    </cfRule>
  </conditionalFormatting>
  <conditionalFormatting sqref="B26 W26 B37">
    <cfRule type="expression" dxfId="516" priority="122">
      <formula>IF(B26="",1,0)</formula>
    </cfRule>
  </conditionalFormatting>
  <conditionalFormatting sqref="B29">
    <cfRule type="expression" dxfId="515" priority="121">
      <formula>IF(B29="",1,0)</formula>
    </cfRule>
  </conditionalFormatting>
  <conditionalFormatting sqref="B31">
    <cfRule type="expression" dxfId="514" priority="119">
      <formula>IF(B31="",1,0)</formula>
    </cfRule>
  </conditionalFormatting>
  <conditionalFormatting sqref="B33">
    <cfRule type="expression" dxfId="513" priority="120">
      <formula>IF(B33="",1,0)</formula>
    </cfRule>
  </conditionalFormatting>
  <conditionalFormatting sqref="B35">
    <cfRule type="expression" dxfId="512" priority="118">
      <formula>IF(B35="",1,0)</formula>
    </cfRule>
  </conditionalFormatting>
  <conditionalFormatting sqref="B39">
    <cfRule type="expression" dxfId="511" priority="116">
      <formula>IF(B39="",1,0)</formula>
    </cfRule>
  </conditionalFormatting>
  <conditionalFormatting sqref="B45">
    <cfRule type="expression" dxfId="510" priority="20">
      <formula>IF(B45="",1,0)</formula>
    </cfRule>
  </conditionalFormatting>
  <conditionalFormatting sqref="B48:B50">
    <cfRule type="expression" dxfId="509" priority="28">
      <formula>IF(B48="",1,0)</formula>
    </cfRule>
  </conditionalFormatting>
  <conditionalFormatting sqref="B52">
    <cfRule type="expression" dxfId="508" priority="105">
      <formula>IF(B52="",1,0)</formula>
    </cfRule>
  </conditionalFormatting>
  <conditionalFormatting sqref="B62:B77">
    <cfRule type="expression" dxfId="507" priority="15">
      <formula>IF(B62="",1,0)</formula>
    </cfRule>
  </conditionalFormatting>
  <conditionalFormatting sqref="B136:B157">
    <cfRule type="expression" dxfId="506" priority="136">
      <formula>IF(B136="",1,0)</formula>
    </cfRule>
  </conditionalFormatting>
  <conditionalFormatting sqref="B18:AL18 B20">
    <cfRule type="expression" dxfId="505" priority="335">
      <formula>IF(B18="",1,0)</formula>
    </cfRule>
  </conditionalFormatting>
  <conditionalFormatting sqref="G136:G157">
    <cfRule type="expression" dxfId="504" priority="152">
      <formula>IF(G136="",1,0)</formula>
    </cfRule>
  </conditionalFormatting>
  <conditionalFormatting sqref="I96">
    <cfRule type="expression" dxfId="503" priority="127">
      <formula>IF(I96="",1,0)</formula>
    </cfRule>
  </conditionalFormatting>
  <conditionalFormatting sqref="L136:L157">
    <cfRule type="expression" dxfId="502" priority="151">
      <formula>IF(L136="",1,0)</formula>
    </cfRule>
  </conditionalFormatting>
  <conditionalFormatting sqref="N7">
    <cfRule type="expression" dxfId="501" priority="49">
      <formula>IF(N7="",1,0)</formula>
    </cfRule>
  </conditionalFormatting>
  <conditionalFormatting sqref="P136:P157">
    <cfRule type="expression" dxfId="500" priority="149">
      <formula>IF(P136="",1,0)</formula>
    </cfRule>
  </conditionalFormatting>
  <conditionalFormatting sqref="Q8:AL8">
    <cfRule type="expression" dxfId="499" priority="47">
      <formula>IF(Q8="",1,0)</formula>
    </cfRule>
  </conditionalFormatting>
  <conditionalFormatting sqref="S63:S67">
    <cfRule type="expression" dxfId="498" priority="99">
      <formula>IF(S63="",1,0)</formula>
    </cfRule>
  </conditionalFormatting>
  <conditionalFormatting sqref="S69:S73">
    <cfRule type="expression" dxfId="497" priority="92">
      <formula>IF(S69="",1,0)</formula>
    </cfRule>
  </conditionalFormatting>
  <conditionalFormatting sqref="T84:T85">
    <cfRule type="expression" dxfId="496" priority="86">
      <formula>IF(T84="",1,0)</formula>
    </cfRule>
  </conditionalFormatting>
  <conditionalFormatting sqref="T96">
    <cfRule type="expression" dxfId="494" priority="126">
      <formula>IF(T96="",1,0)</formula>
    </cfRule>
  </conditionalFormatting>
  <conditionalFormatting sqref="T160:T161">
    <cfRule type="expression" dxfId="493" priority="223">
      <formula>IF(T160="",1,0)</formula>
    </cfRule>
  </conditionalFormatting>
  <conditionalFormatting sqref="T184">
    <cfRule type="expression" dxfId="492" priority="26">
      <formula>IF(T184="",1,0)</formula>
    </cfRule>
  </conditionalFormatting>
  <conditionalFormatting sqref="W41 B41:B43">
    <cfRule type="expression" dxfId="491" priority="117">
      <formula>IF(B41="",1,0)</formula>
    </cfRule>
  </conditionalFormatting>
  <conditionalFormatting sqref="Y22">
    <cfRule type="expression" dxfId="490" priority="110">
      <formula>IF(Y22="",1,0)</formula>
    </cfRule>
  </conditionalFormatting>
  <conditionalFormatting sqref="Y39">
    <cfRule type="expression" dxfId="489" priority="18">
      <formula>IF(Y39="",1,0)</formula>
    </cfRule>
  </conditionalFormatting>
  <conditionalFormatting sqref="Z55:Z56">
    <cfRule type="expression" dxfId="488" priority="264">
      <formula>IF(Z55="",1,0)</formula>
    </cfRule>
  </conditionalFormatting>
  <conditionalFormatting sqref="Z58:Z59">
    <cfRule type="expression" dxfId="487" priority="146">
      <formula>IF(Z58="",1,0)</formula>
    </cfRule>
  </conditionalFormatting>
  <conditionalFormatting sqref="AA119:AA120 AA123">
    <cfRule type="expression" dxfId="486" priority="38">
      <formula>IF(AA119="",1,0)</formula>
    </cfRule>
  </conditionalFormatting>
  <conditionalFormatting sqref="AB7">
    <cfRule type="expression" dxfId="485" priority="48">
      <formula>IF(AB7="",1,0)</formula>
    </cfRule>
  </conditionalFormatting>
  <conditionalFormatting sqref="AB75">
    <cfRule type="expression" dxfId="484" priority="23">
      <formula>IF(AB75="",1,0)</formula>
    </cfRule>
  </conditionalFormatting>
  <conditionalFormatting sqref="AE96">
    <cfRule type="expression" dxfId="483" priority="125">
      <formula>IF(AE96="",1,0)</formula>
    </cfRule>
  </conditionalFormatting>
  <conditionalFormatting sqref="AH136:AH157">
    <cfRule type="expression" dxfId="481" priority="157">
      <formula>IF(AH136="",1,0)</formula>
    </cfRule>
  </conditionalFormatting>
  <conditionalFormatting sqref="AJ121:AJ122">
    <cfRule type="expression" dxfId="480" priority="36">
      <formula>IF(AJ121="",1,0)</formula>
    </cfRule>
  </conditionalFormatting>
  <conditionalFormatting sqref="AJ129:AJ130">
    <cfRule type="expression" dxfId="479" priority="33">
      <formula>IF(AJ129="",1,0)</formula>
    </cfRule>
  </conditionalFormatting>
  <conditionalFormatting sqref="AK96">
    <cfRule type="expression" dxfId="478" priority="124">
      <formula>IF(AK96="",1,0)</formula>
    </cfRule>
  </conditionalFormatting>
  <dataValidations count="44">
    <dataValidation allowBlank="1" showErrorMessage="1" promptTitle="Wybierz" prompt="właściwe" sqref="A175 A169:AL169 A171:AL171 A177:AL177" xr:uid="{00000000-0002-0000-0700-000000000000}"/>
    <dataValidation type="whole" allowBlank="1" showInputMessage="1" showErrorMessage="1" promptTitle="Wprowadź " prompt="ilość mieszkań przeznaczonych na podnajem" sqref="A83" xr:uid="{00000000-0002-0000-0700-000001000000}">
      <formula1>0</formula1>
      <formula2>1E+34</formula2>
    </dataValidation>
    <dataValidation allowBlank="1" showInputMessage="1" sqref="AN168:XFD168" xr:uid="{00000000-0002-0000-0700-000002000000}"/>
    <dataValidation allowBlank="1" showInputMessage="1" showErrorMessage="1" promptTitle="Wybierz" prompt="właściwe" sqref="B92:AL92" xr:uid="{00000000-0002-0000-0700-000003000000}"/>
    <dataValidation type="textLength" operator="equal" allowBlank="1" showInputMessage="1" showErrorMessage="1" errorTitle="NIP" error="NIP to ciąg dziesięciu cyfr np. 5719611245" promptTitle="Wprowadź" prompt="NIP" sqref="B26:V26" xr:uid="{00000000-0002-0000-0700-000004000000}">
      <formula1>10</formula1>
    </dataValidation>
    <dataValidation allowBlank="1" showInputMessage="1" showErrorMessage="1" promptTitle="Wprowadź" prompt="nazwę Inwestora" sqref="B37:AL37" xr:uid="{00000000-0002-0000-0700-000006000000}"/>
    <dataValidation type="textLength" operator="equal" allowBlank="1" showInputMessage="1" showErrorMessage="1" errorTitle="REGON" error="REGON to ciąg dziewięciu cyfr np. 571961124" promptTitle="Wprowadź" prompt="nr REGON" sqref="W26:AL26" xr:uid="{00000000-0002-0000-0700-000007000000}">
      <formula1>9</formula1>
    </dataValidation>
    <dataValidation allowBlank="1" showInputMessage="1" showErrorMessage="1" promptTitle="Wprowadź" prompt="adres przedsięwzięcia" sqref="A95:A96" xr:uid="{00000000-0002-0000-0700-000008000000}"/>
    <dataValidation allowBlank="1" showInputMessage="1" showErrorMessage="1" promptTitle="Wprowadź" prompt="dane" sqref="B31:AL31 B29:AL29 AJ121:AL122 AJ124:AL127 AJ129:AL130" xr:uid="{00000000-0002-0000-0700-000009000000}"/>
    <dataValidation allowBlank="1" showInputMessage="1" showErrorMessage="1" promptTitle="Wprowadź" prompt="adres beneficjenta" sqref="B22:X22" xr:uid="{00000000-0002-0000-0700-00000A000000}"/>
    <dataValidation allowBlank="1" showInputMessage="1" showErrorMessage="1" promptTitle="Wprowadź" prompt="nazwę beneficjenta" sqref="B20" xr:uid="{00000000-0002-0000-0700-00000B000000}"/>
    <dataValidation type="decimal" allowBlank="1" showErrorMessage="1" promptTitle="Wprowadź" prompt="kwotę" sqref="B48:AL48" xr:uid="{00000000-0002-0000-0700-00000C000000}">
      <formula1>0</formula1>
      <formula2>1E+44</formula2>
    </dataValidation>
    <dataValidation type="decimal" allowBlank="1" showInputMessage="1" showErrorMessage="1" sqref="AH136:AJ157" xr:uid="{00000000-0002-0000-0700-00000D000000}">
      <formula1>0</formula1>
      <formula2>1</formula2>
    </dataValidation>
    <dataValidation allowBlank="1" showInputMessage="1" showErrorMessage="1" promptTitle="Wprowadź" prompt="nr księgi wieczystej - nr działki ewidencyjnej" sqref="A179:AL179" xr:uid="{00000000-0002-0000-0700-00000E000000}"/>
    <dataValidation type="whole" allowBlank="1" showInputMessage="1" showErrorMessage="1" promptTitle="Wprowadź " prompt="ilość" sqref="A91:AL91 A89:AL89" xr:uid="{00000000-0002-0000-0700-00000F000000}">
      <formula1>0</formula1>
      <formula2>1000000</formula2>
    </dataValidation>
    <dataValidation type="decimal" allowBlank="1" showInputMessage="1" showErrorMessage="1" promptTitle="Wprowadź " prompt="wielkość" sqref="A106" xr:uid="{00000000-0002-0000-0700-000010000000}">
      <formula1>0</formula1>
      <formula2>1E+31</formula2>
    </dataValidation>
    <dataValidation allowBlank="1" showInputMessage="1" showErrorMessage="1" promptTitle="Wprowadź" prompt="adres inwestora" sqref="B39:X39" xr:uid="{00000000-0002-0000-0700-000011000000}"/>
    <dataValidation allowBlank="1" showInputMessage="1" showErrorMessage="1" promptTitle="Wprowadź" prompt="adres ePUAP beneficjenta" sqref="Y22:AL22 B23" xr:uid="{00000000-0002-0000-0700-000013000000}"/>
    <dataValidation type="textLength" operator="equal" allowBlank="1" showInputMessage="1" showErrorMessage="1" errorTitle="REGON" error="REGON to ciąg dziewięciu cyfr np. 571961124" promptTitle="Wprowadź" prompt="nr REGON inwestora" sqref="W41:AL41" xr:uid="{00000000-0002-0000-0700-000015000000}">
      <formula1>9</formula1>
    </dataValidation>
    <dataValidation type="textLength" operator="equal" allowBlank="1" showInputMessage="1" showErrorMessage="1" errorTitle="NIP" error="NIP to ciąg dziesięciu cyfr np. 5719611245" promptTitle="Wprowadź" prompt="NIP inwestora" sqref="B41:V41" xr:uid="{00000000-0002-0000-0700-000016000000}">
      <formula1>10</formula1>
    </dataValidation>
    <dataValidation type="textLength" operator="equal" allowBlank="1" showInputMessage="1" errorTitle="KRS" promptTitle="Wprowadź" prompt="numer KRS inwestora" sqref="B43:AL43" xr:uid="{00000000-0002-0000-0700-000017000000}">
      <formula1>10</formula1>
    </dataValidation>
    <dataValidation allowBlank="1" showInputMessage="1" showErrorMessage="1" promptTitle="Wprowadź" prompt="kwotę" sqref="Z57:AJ57" xr:uid="{00000000-0002-0000-0700-000018000000}"/>
    <dataValidation type="decimal" allowBlank="1" showInputMessage="1" showErrorMessage="1" promptTitle="Wprowadź" prompt="kwotę" sqref="Z59" xr:uid="{00000000-0002-0000-0700-000019000000}">
      <formula1>0</formula1>
      <formula2>10000000000000000000</formula2>
    </dataValidation>
    <dataValidation allowBlank="1" promptTitle="Wprowadź" sqref="B62:AL62" xr:uid="{DC19CECB-A69E-4166-896C-7BE918B78D05}"/>
    <dataValidation allowBlank="1" promptTitle="Wprowadź" prompt="numer rachunku bankowego" sqref="C63:R66 C69:R72 B63:B76" xr:uid="{00000000-0002-0000-0700-00001B000000}"/>
    <dataValidation allowBlank="1" showInputMessage="1" showErrorMessage="1" promptTitle="Wprowadź" prompt="wartość_x000a_" sqref="T63:AL66 S63:S67 S69:AL72 S73" xr:uid="{00000000-0002-0000-0700-00001C000000}"/>
    <dataValidation allowBlank="1" showErrorMessage="1" promptTitle="Wprowadź" prompt="nr księgi wieczystej - nr działki ewidencyjnej" sqref="A180:AL180 A194:AL194 A195:A196" xr:uid="{00000000-0002-0000-0700-00001D000000}"/>
    <dataValidation type="decimal" allowBlank="1" showInputMessage="1" promptTitle="Wybierz" prompt="właściwą wysokość wsparcia lub wpiszmniejszą wartość" sqref="T160:AJ160" xr:uid="{00000000-0002-0000-0700-00001E000000}">
      <formula1>0</formula1>
      <formula2>0.8</formula2>
    </dataValidation>
    <dataValidation allowBlank="1" showErrorMessage="1" promptTitle="Wybierz" prompt="właściwe oświadczenie" sqref="A114:AL114 A165:AL165 A163:AL163 A167:AL167" xr:uid="{00000000-0002-0000-0700-00001F000000}"/>
    <dataValidation type="whole" allowBlank="1" showInputMessage="1" showErrorMessage="1" promptTitle="Wprowadź" prompt="wielkość" sqref="A98:AL98" xr:uid="{00000000-0002-0000-0700-000020000000}">
      <formula1>0</formula1>
      <formula2>100000000000000000000</formula2>
    </dataValidation>
    <dataValidation type="whole" allowBlank="1" showInputMessage="1" showErrorMessage="1" promptTitle="Wprowadź" prompt="wielkość" sqref="A100:AL100" xr:uid="{00000000-0002-0000-0700-000021000000}">
      <formula1>0</formula1>
      <formula2>1E+46</formula2>
    </dataValidation>
    <dataValidation type="whole" allowBlank="1" showInputMessage="1" showErrorMessage="1" promptTitle="Wprowadź " prompt="wielkość" sqref="A102:AL102" xr:uid="{00000000-0002-0000-0700-000022000000}">
      <formula1>1</formula1>
      <formula2>1E+34</formula2>
    </dataValidation>
    <dataValidation type="decimal" allowBlank="1" showInputMessage="1" showErrorMessage="1" promptTitle="Wprowadź" prompt="wielkość" sqref="A104:AL104" xr:uid="{00000000-0002-0000-0700-000023000000}">
      <formula1>0</formula1>
      <formula2>1E+42</formula2>
    </dataValidation>
    <dataValidation type="decimal" allowBlank="1" showInputMessage="1" showErrorMessage="1" promptTitle="Wprowadź" prompt="wielkość" sqref="A108:AL108" xr:uid="{00000000-0002-0000-0700-000024000000}">
      <formula1>0</formula1>
      <formula2>1E+43</formula2>
    </dataValidation>
    <dataValidation operator="greaterThanOrEqual" allowBlank="1" showInputMessage="1" showErrorMessage="1" promptTitle="Wprowadź" prompt="datę w formacie rrrr-mm-dd_x000a_" sqref="B52:AL52" xr:uid="{00000000-0002-0000-0700-000027000000}"/>
    <dataValidation type="whole" allowBlank="1" showInputMessage="1" showErrorMessage="1" promptTitle="Wprowadź" prompt="opcjonalni ilość" sqref="T85 A85" xr:uid="{00000000-0002-0000-0700-000028000000}">
      <formula1>0</formula1>
      <formula2>10000000</formula2>
    </dataValidation>
    <dataValidation allowBlank="1" showInputMessage="1" showErrorMessage="1" promptTitle="Wprowadź" prompt="opcjonalni ilość" sqref="A86:AL86" xr:uid="{00000000-0002-0000-0700-000029000000}"/>
    <dataValidation type="textLength" operator="equal" allowBlank="1" showInputMessage="1" promptTitle="Wprowadź" prompt="numer rachunku bankowego" sqref="T45:AL45" xr:uid="{F2522F96-3EF7-46C2-B9FB-BC21EC9C972D}">
      <formula1>26</formula1>
    </dataValidation>
    <dataValidation errorStyle="information" allowBlank="1" showInputMessage="1" showErrorMessage="1" promptTitle="Wprowadź" prompt="wartość" sqref="AA119:AL119" xr:uid="{D821497B-6AAE-441B-9B88-2AD7079B6CD6}"/>
    <dataValidation type="whole" errorStyle="warning" allowBlank="1" showInputMessage="1" showErrorMessage="1" errorTitle="Uwaga" error="Prawidłowa wartość to liczba całkowita, zweryfikuj wprowadzane modyfikacje." promptTitle="Wprowadź" prompt="wartość" sqref="AA120:AL120" xr:uid="{030C9FFF-1788-4999-A3DF-6213140BADAF}">
      <formula1>1</formula1>
      <formula2>1.11111111111111E+21</formula2>
    </dataValidation>
    <dataValidation allowBlank="1" showInputMessage="1" showErrorMessage="1" promptTitle="Wprowadź" prompt="Adres do doręczeń elektronicznych" sqref="B24:AL24" xr:uid="{6366372F-E2B4-47BC-9749-AEED79553E2C}"/>
    <dataValidation allowBlank="1" showInputMessage="1" showErrorMessage="1" promptTitle="Wprowadź" prompt="wartość" sqref="AB75:AL75" xr:uid="{E55763E4-7C93-469F-ABFE-48061AC4B6CF}"/>
    <dataValidation type="textLength" operator="equal" showInputMessage="1" promptTitle="Wprowadź" prompt="numer rachunku bankowego tj. 26 cyfr" sqref="B45:S45" xr:uid="{7E1AD08E-69CA-4ABA-B829-75D0194ECB2B}">
      <formula1>26</formula1>
    </dataValidation>
    <dataValidation allowBlank="1" showInputMessage="1" showErrorMessage="1" promptTitle="Wprowadź" prompt="adres do doręczeń elektronicznych inwestora_x000a_" sqref="Y39:AL39" xr:uid="{E520E3F3-E317-46B4-ABC2-5611A7BD838D}"/>
  </dataValidations>
  <hyperlinks>
    <hyperlink ref="AM48" location="'Wniosek art 5a budowa'!B114" display="Kliknij &quot;tutaj&quot; i przejdź do wypełnienia zestawienia kosztów" xr:uid="{00000000-0004-0000-0700-000000000000}"/>
    <hyperlink ref="B48:AL48" location="'Wniosek art 5a budowa'!B122" display="'Wniosek art 5a budowa'!B122" xr:uid="{00000000-0004-0000-0700-000001000000}"/>
    <hyperlink ref="AM162" location="'Wniosek art 5a budowa'!AK49" display="Wróć do wypełniania wniosku" xr:uid="{00000000-0004-0000-0700-000002000000}"/>
    <hyperlink ref="AM21" r:id="rId1" display="Weryfikocji można dokonać na stronie internetowej -&gt; https://eteryt.stat.gov.pl/eTeryt/rejestr_teryt/udostepnianie_danych/baza_teryt/uzytkownicy_indywidualni/wyszukiwanie/wyszukiwanie.aspx?contrast=default" xr:uid="{00000000-0004-0000-0700-000003000000}"/>
    <hyperlink ref="AM23" r:id="rId2" xr:uid="{00000000-0004-0000-0700-000004000000}"/>
    <hyperlink ref="AM19" r:id="rId3" xr:uid="{00000000-0004-0000-0700-000005000000}"/>
    <hyperlink ref="AM25" r:id="rId4" xr:uid="{00000000-0004-0000-0700-000006000000}"/>
    <hyperlink ref="AM42" r:id="rId5" xr:uid="{00000000-0004-0000-0700-000007000000}"/>
    <hyperlink ref="AM205" r:id="rId6" xr:uid="{094B0C34-8F22-444F-8526-124C3EFEE0B2}"/>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88" id="{E18A192C-FFC5-44C3-9F09-FC0A90271770}">
            <xm:f>IF($A$82=Słowniki!$F$19,1,0)</xm:f>
            <x14:dxf>
              <fill>
                <patternFill>
                  <bgColor theme="0"/>
                </patternFill>
              </fill>
            </x14:dxf>
          </x14:cfRule>
          <xm:sqref>A85</xm:sqref>
        </x14:conditionalFormatting>
        <x14:conditionalFormatting xmlns:xm="http://schemas.microsoft.com/office/excel/2006/main">
          <x14:cfRule type="expression" priority="43" id="{79E1A4C5-48D6-40C7-935D-DDFB73B80191}">
            <xm:f>IF($A$80=Słowniki!$F$19,1,0)</xm:f>
            <x14:dxf>
              <fill>
                <patternFill>
                  <bgColor theme="0"/>
                </patternFill>
              </fill>
            </x14:dxf>
          </x14:cfRule>
          <xm:sqref>A86</xm:sqref>
        </x14:conditionalFormatting>
        <x14:conditionalFormatting xmlns:xm="http://schemas.microsoft.com/office/excel/2006/main">
          <x14:cfRule type="expression" priority="232" id="{11A7F7ED-E8D9-44CF-84DB-D72859A6C203}">
            <xm:f>IF(#REF!=Słowniki!$P$2,1,0)</xm:f>
            <x14:dxf>
              <font>
                <b/>
                <i val="0"/>
                <strike/>
                <color theme="1"/>
              </font>
            </x14:dxf>
          </x14:cfRule>
          <xm:sqref>A110:AL110</xm:sqref>
        </x14:conditionalFormatting>
        <x14:conditionalFormatting xmlns:xm="http://schemas.microsoft.com/office/excel/2006/main">
          <x14:cfRule type="expression" priority="234" id="{A1496CD3-24B1-40F1-AFDA-B0C38E8B2D05}">
            <xm:f>IF(#REF!=Słowniki!$P$2,1,0)</xm:f>
            <x14:dxf>
              <font>
                <b/>
                <i val="0"/>
                <strike/>
                <color theme="1"/>
              </font>
            </x14:dxf>
          </x14:cfRule>
          <xm:sqref>A112:AL112</xm:sqref>
        </x14:conditionalFormatting>
        <x14:conditionalFormatting xmlns:xm="http://schemas.microsoft.com/office/excel/2006/main">
          <x14:cfRule type="expression" priority="14" id="{77DD1F80-4832-4027-BB07-C421054A869E}">
            <xm:f>IF($A$107=Słowniki!$P$2,1,0)</xm:f>
            <x14:dxf>
              <font>
                <strike/>
              </font>
            </x14:dxf>
          </x14:cfRule>
          <xm:sqref>A116:AL116</xm:sqref>
        </x14:conditionalFormatting>
        <x14:conditionalFormatting xmlns:xm="http://schemas.microsoft.com/office/excel/2006/main">
          <x14:cfRule type="expression" priority="41" id="{5A77C1A5-0731-49C0-972F-B2622416B092}">
            <xm:f>IF($A$147=Słowniki!$P$2,1,0)</xm:f>
            <x14:dxf>
              <font>
                <strike/>
              </font>
            </x14:dxf>
          </x14:cfRule>
          <xm:sqref>A128:AL128</xm:sqref>
        </x14:conditionalFormatting>
        <x14:conditionalFormatting xmlns:xm="http://schemas.microsoft.com/office/excel/2006/main">
          <x14:cfRule type="expression" priority="11" id="{B3D872C6-F416-4F12-BBD0-ADDBFA3B0403}">
            <xm:f>IF($A$158=Słowniki!$P$2,1,0)</xm:f>
            <x14:dxf>
              <font>
                <strike/>
              </font>
            </x14:dxf>
          </x14:cfRule>
          <xm:sqref>A169:AL169</xm:sqref>
        </x14:conditionalFormatting>
        <x14:conditionalFormatting xmlns:xm="http://schemas.microsoft.com/office/excel/2006/main">
          <x14:cfRule type="expression" priority="75" id="{133E2A4D-8AC2-47CA-881F-8D2A399823F2}">
            <xm:f>IF($A$166=Słowniki!$P$2,1,0)</xm:f>
            <x14:dxf>
              <font>
                <strike/>
              </font>
            </x14:dxf>
          </x14:cfRule>
          <xm:sqref>A175:AL175</xm:sqref>
        </x14:conditionalFormatting>
        <x14:conditionalFormatting xmlns:xm="http://schemas.microsoft.com/office/excel/2006/main">
          <x14:cfRule type="expression" priority="85" id="{464A7677-6121-44F2-BFFF-3449061522AB}">
            <xm:f>IF($A$82=Słowniki!$F$19,1,0)</xm:f>
            <x14:dxf>
              <fill>
                <patternFill>
                  <bgColor theme="0"/>
                </patternFill>
              </fill>
            </x14:dxf>
          </x14:cfRule>
          <xm:sqref>T85</xm:sqref>
        </x14:conditionalFormatting>
        <x14:conditionalFormatting xmlns:xm="http://schemas.microsoft.com/office/excel/2006/main">
          <x14:cfRule type="expression" priority="123" id="{4C094672-5EB8-4C1C-86FD-03C345E04758}">
            <xm:f>IF($T$96&lt;&gt;Słowniki!$A$73,1,0)</xm:f>
            <x14:dxf>
              <fill>
                <patternFill patternType="none">
                  <bgColor auto="1"/>
                </patternFill>
              </fill>
            </x14:dxf>
          </x14:cfRule>
          <xm:sqref>AE96:AL96</xm:sqref>
        </x14:conditionalFormatting>
      </x14:conditionalFormattings>
    </ext>
    <ext xmlns:x14="http://schemas.microsoft.com/office/spreadsheetml/2009/9/main" uri="{CCE6A557-97BC-4b89-ADB6-D9C93CAAB3DF}">
      <x14:dataValidations xmlns:xm="http://schemas.microsoft.com/office/excel/2006/main" count="36">
        <x14:dataValidation type="list" allowBlank="1" promptTitle="Wybierz" prompt="właściwe" xr:uid="{00000000-0002-0000-0700-00002B000000}">
          <x14:formula1>
            <xm:f>Słowniki!$O$2:$O$4</xm:f>
          </x14:formula1>
          <xm:sqref>A199:AL199</xm:sqref>
        </x14:dataValidation>
        <x14:dataValidation type="list" errorStyle="information" allowBlank="1" showInputMessage="1" showErrorMessage="1" promptTitle="Wybierz" prompt="właściwe" xr:uid="{00000000-0002-0000-0700-00002C000000}">
          <x14:formula1>
            <xm:f>Słowniki!$AO$1:$AO$2</xm:f>
          </x14:formula1>
          <xm:sqref>B49:AL49</xm:sqref>
        </x14:dataValidation>
        <x14:dataValidation type="list" allowBlank="1" showInputMessage="1" promptTitle="Wprowadź" prompt="dane lub wybierz nie dotyczy" xr:uid="{00000000-0002-0000-0700-00002F000000}">
          <x14:formula1>
            <xm:f>Słowniki!$F$19</xm:f>
          </x14:formula1>
          <xm:sqref>B35:AL35 B33:AL33</xm:sqref>
        </x14:dataValidation>
        <x14:dataValidation type="list" allowBlank="1" showInputMessage="1" showErrorMessage="1" promptTitle="Wybierz" prompt="beneficjenta" xr:uid="{00000000-0002-0000-0700-000030000000}">
          <x14:formula1>
            <xm:f>Słowniki!$A$2:$A$3</xm:f>
          </x14:formula1>
          <xm:sqref>B18:AL18</xm:sqref>
        </x14:dataValidation>
        <x14:dataValidation type="list" allowBlank="1" showInputMessage="1" showErrorMessage="1" promptTitle="Wybierz" prompt="właściwe" xr:uid="{00000000-0002-0000-0700-000031000000}">
          <x14:formula1>
            <xm:f>Słowniki!$AE$4:$AE$5</xm:f>
          </x14:formula1>
          <xm:sqref>A181:AL181</xm:sqref>
        </x14:dataValidation>
        <x14:dataValidation type="list" allowBlank="1" showInputMessage="1" showErrorMessage="1" promptTitle="Wybierz" prompt="właściwe" xr:uid="{00000000-0002-0000-0700-000032000000}">
          <x14:formula1>
            <xm:f>Słowniki!$W$5:$W$6</xm:f>
          </x14:formula1>
          <xm:sqref>A170:AL170</xm:sqref>
        </x14:dataValidation>
        <x14:dataValidation type="list" allowBlank="1" showInputMessage="1" showErrorMessage="1" promptTitle="Wybierz" prompt="właściwe" xr:uid="{00000000-0002-0000-0700-000033000000}">
          <x14:formula1>
            <xm:f>Słowniki!$Y$1:$Y$5</xm:f>
          </x14:formula1>
          <xm:sqref>A172:AL172</xm:sqref>
        </x14:dataValidation>
        <x14:dataValidation type="list" allowBlank="1" showInputMessage="1" showErrorMessage="1" promptTitle="Wybierz" prompt="właściwe" xr:uid="{00000000-0002-0000-0700-000034000000}">
          <x14:formula1>
            <xm:f>Słowniki!$Z$1:$Z$2</xm:f>
          </x14:formula1>
          <xm:sqref>A176:AL176</xm:sqref>
        </x14:dataValidation>
        <x14:dataValidation type="list" allowBlank="1" showInputMessage="1" showErrorMessage="1" promptTitle="Wybierz" prompt="właściwe" xr:uid="{00000000-0002-0000-0700-000035000000}">
          <x14:formula1>
            <xm:f>Słowniki!$W$1:$W$2</xm:f>
          </x14:formula1>
          <xm:sqref>A164:AL164</xm:sqref>
        </x14:dataValidation>
        <x14:dataValidation type="list" allowBlank="1" showInputMessage="1" showErrorMessage="1" promptTitle="Wybierz" prompt="właściwe" xr:uid="{00000000-0002-0000-0700-000036000000}">
          <x14:formula1>
            <xm:f>Słowniki!$W$3:$W$4</xm:f>
          </x14:formula1>
          <xm:sqref>A168:AL168</xm:sqref>
        </x14:dataValidation>
        <x14:dataValidation type="list" allowBlank="1" showInputMessage="1" showErrorMessage="1" promptTitle="Wybierz" prompt="właściwe" xr:uid="{00000000-0002-0000-0700-000037000000}">
          <x14:formula1>
            <xm:f>Słowniki!$U$3:$U$4</xm:f>
          </x14:formula1>
          <xm:sqref>A115:AL115</xm:sqref>
        </x14:dataValidation>
        <x14:dataValidation type="list" allowBlank="1" showInputMessage="1" showErrorMessage="1" promptTitle="Wybierz" prompt="właściwe" xr:uid="{00000000-0002-0000-0700-000038000000}">
          <x14:formula1>
            <xm:f>Słowniki!$U$5:$U$6</xm:f>
          </x14:formula1>
          <xm:sqref>A117:AL117</xm:sqref>
        </x14:dataValidation>
        <x14:dataValidation type="list" allowBlank="1" showInputMessage="1" showErrorMessage="1" promptTitle="Wybierz" prompt="właściwe" xr:uid="{00000000-0002-0000-0700-000039000000}">
          <x14:formula1>
            <xm:f>Słowniki!$X$8:$X$9</xm:f>
          </x14:formula1>
          <xm:sqref>A113:AL113</xm:sqref>
        </x14:dataValidation>
        <x14:dataValidation type="list" allowBlank="1" showInputMessage="1" showErrorMessage="1" promptTitle="Wybierz" prompt="właściwe" xr:uid="{00000000-0002-0000-0700-00003A000000}">
          <x14:formula1>
            <xm:f>Słowniki!$U$1:$U$2</xm:f>
          </x14:formula1>
          <xm:sqref>A111:AL111</xm:sqref>
        </x14:dataValidation>
        <x14:dataValidation type="list" allowBlank="1" showInputMessage="1" showErrorMessage="1" promptTitle="Wybierz" prompt="właściwe" xr:uid="{00000000-0002-0000-0700-00003B000000}">
          <x14:formula1>
            <xm:f>Słowniki!$E$169:$E$170</xm:f>
          </x14:formula1>
          <xm:sqref>T161:AJ161</xm:sqref>
        </x14:dataValidation>
        <x14:dataValidation type="list" errorStyle="information" allowBlank="1" showInputMessage="1" showErrorMessage="1" xr:uid="{00000000-0002-0000-0700-00003C000000}">
          <x14:formula1>
            <xm:f>Słowniki!$A$34:$A$39</xm:f>
          </x14:formula1>
          <xm:sqref>G136:K157</xm:sqref>
        </x14:dataValidation>
        <x14:dataValidation type="list" allowBlank="1" showErrorMessage="1" promptTitle="Wybierz" prompt="rodzaj przedsięwzięcia" xr:uid="{00000000-0002-0000-0700-00003D000000}">
          <x14:formula1>
            <xm:f>Słowniki!$D$2</xm:f>
          </x14:formula1>
          <xm:sqref>A79:AL79</xm:sqref>
        </x14:dataValidation>
        <x14:dataValidation type="list" allowBlank="1" showErrorMessage="1" promptTitle="Wybierz" prompt="właściwy rodzaj" xr:uid="{00000000-0002-0000-0700-00003E000000}">
          <x14:formula1>
            <xm:f>Słowniki!$J$4</xm:f>
          </x14:formula1>
          <xm:sqref>A93:AL93</xm:sqref>
        </x14:dataValidation>
        <x14:dataValidation type="list" allowBlank="1" showInputMessage="1" showErrorMessage="1" promptTitle="Wybierz" prompt="właściwe" xr:uid="{00000000-0002-0000-0700-00003F000000}">
          <x14:formula1>
            <xm:f>Słowniki!$W$7:$W$8</xm:f>
          </x14:formula1>
          <xm:sqref>A166:AL166</xm:sqref>
        </x14:dataValidation>
        <x14:dataValidation type="list" errorStyle="information" allowBlank="1" showInputMessage="1" showErrorMessage="1" promptTitle="Wprowadź" xr:uid="{00000000-0002-0000-0700-000042000000}">
          <x14:formula1>
            <xm:f>Słowniki!$A$73</xm:f>
          </x14:formula1>
          <xm:sqref>T96:AD96</xm:sqref>
        </x14:dataValidation>
        <x14:dataValidation type="list" errorStyle="information" allowBlank="1" showInputMessage="1" showErrorMessage="1" promptTitle="Wprowadź " xr:uid="{00000000-0002-0000-0700-000043000000}">
          <x14:formula1>
            <xm:f>Słowniki!$A$71</xm:f>
          </x14:formula1>
          <xm:sqref>I96:S96</xm:sqref>
        </x14:dataValidation>
        <x14:dataValidation type="list" allowBlank="1" showErrorMessage="1" promptTitle="Wybierz" prompt="właściwe" xr:uid="{00000000-0002-0000-0700-000044000000}">
          <x14:formula1>
            <xm:f>Słowniki!$F$7</xm:f>
          </x14:formula1>
          <xm:sqref>A82:AL82</xm:sqref>
        </x14:dataValidation>
        <x14:dataValidation type="list" allowBlank="1" showInputMessage="1" showErrorMessage="1" promptTitle="Wybierz" prompt="właściwe" xr:uid="{00000000-0002-0000-0700-000045000000}">
          <x14:formula1>
            <xm:f>Słowniki!$W$10:$W$11</xm:f>
          </x14:formula1>
          <xm:sqref>A174:AL174</xm:sqref>
        </x14:dataValidation>
        <x14:dataValidation type="list" allowBlank="1" showInputMessage="1" showErrorMessage="1" promptTitle="Wybierz" prompt="właściwe" xr:uid="{00000000-0002-0000-0700-000046000000}">
          <x14:formula1>
            <xm:f>Słowniki!$W$12:$W$14</xm:f>
          </x14:formula1>
          <xm:sqref>A186:AL186</xm:sqref>
        </x14:dataValidation>
        <x14:dataValidation type="list" allowBlank="1" showInputMessage="1" showErrorMessage="1" promptTitle="Wybierz" prompt="właściwe" xr:uid="{00000000-0002-0000-0700-000047000000}">
          <x14:formula1>
            <xm:f>Słowniki!$D$17:$D$18</xm:f>
          </x14:formula1>
          <xm:sqref>T183:AL183</xm:sqref>
        </x14:dataValidation>
        <x14:dataValidation type="list" allowBlank="1" showInputMessage="1" showErrorMessage="1" promptTitle="Wybierz" prompt="właściwe" xr:uid="{00000000-0002-0000-0700-000048000000}">
          <x14:formula1>
            <xm:f>Słowniki!$C$17:$C$18</xm:f>
          </x14:formula1>
          <xm:sqref>A183:S183</xm:sqref>
        </x14:dataValidation>
        <x14:dataValidation type="list" allowBlank="1" showInputMessage="1" showErrorMessage="1" promptTitle="Wybierz" prompt="jeżeli przedsięwzięcie jest mieszane" xr:uid="{00000000-0002-0000-0700-000049000000}">
          <x14:formula1>
            <xm:f>Słowniki!$C$13:$C$15</xm:f>
          </x14:formula1>
          <xm:sqref>A80:AL80</xm:sqref>
        </x14:dataValidation>
        <x14:dataValidation type="list" allowBlank="1" showInputMessage="1" showErrorMessage="1" promptTitle="Wybierz" prompt="właściwe" xr:uid="{00000000-0002-0000-0700-00004A000000}">
          <x14:formula1>
            <xm:f>Słowniki!$W$15:$W$16</xm:f>
          </x14:formula1>
          <xm:sqref>A188:AL188</xm:sqref>
        </x14:dataValidation>
        <x14:dataValidation type="list" allowBlank="1" showInputMessage="1" showErrorMessage="1" promptTitle="Wybierz" prompt="właściwe" xr:uid="{00000000-0002-0000-0700-00004B000000}">
          <x14:formula1>
            <xm:f>Słowniki!$C$3:$C$4</xm:f>
          </x14:formula1>
          <xm:sqref>AB7:AE7 N7:P7</xm:sqref>
        </x14:dataValidation>
        <x14:dataValidation type="list" errorStyle="information" allowBlank="1" showInputMessage="1" showErrorMessage="1" promptTitle="Wprowadź" prompt="dane" xr:uid="{E70A4DF2-1996-47C6-BE6D-98A8C2CE399B}">
          <x14:formula1>
            <xm:f>Słowniki!$A$41:$A$43</xm:f>
          </x14:formula1>
          <xm:sqref>AA123:AL123</xm:sqref>
        </x14:dataValidation>
        <x14:dataValidation type="list" allowBlank="1" showInputMessage="1" xr:uid="{8A924CA4-0664-4212-8A86-628ED2440FB7}">
          <x14:formula1>
            <xm:f>Słowniki!$B$49</xm:f>
          </x14:formula1>
          <xm:sqref>T184:AL184</xm:sqref>
        </x14:dataValidation>
        <x14:dataValidation type="list" errorStyle="information" allowBlank="1" showInputMessage="1" showErrorMessage="1" promptTitle="Wybierz" prompt="właściwe" xr:uid="{091748F8-00A4-44CA-90F3-26C8B0261CD7}">
          <x14:formula1>
            <xm:f>Słowniki!$A$46:$A$60</xm:f>
          </x14:formula1>
          <xm:sqref>B136:F157</xm:sqref>
        </x14:dataValidation>
        <x14:dataValidation type="list" allowBlank="1" showInputMessage="1" promptTitle="Wybierz" prompt="właściwe oświadczenie" xr:uid="{164C907F-4432-4A80-AD69-A2DA0C8D4B4B}">
          <x14:formula1>
            <xm:f>Słowniki!$C$54:$C$58</xm:f>
          </x14:formula1>
          <xm:sqref>B77:AL77</xm:sqref>
        </x14:dataValidation>
        <x14:dataValidation type="list" allowBlank="1" showInputMessage="1" showErrorMessage="1" xr:uid="{387CA8E3-85CB-4153-B097-C6FBF08D2115}">
          <x14:formula1>
            <xm:f>Słowniki!$Y$7:$Y$8</xm:f>
          </x14:formula1>
          <xm:sqref>A190:AL190</xm:sqref>
        </x14:dataValidation>
        <x14:dataValidation type="list" allowBlank="1" showInputMessage="1" showErrorMessage="1" xr:uid="{98D8C1CF-EC61-499E-A148-0A140B5803A5}">
          <x14:formula1>
            <xm:f>Słowniki!$Y$9:$Y$10</xm:f>
          </x14:formula1>
          <xm:sqref>A192:AL192</xm:sqref>
        </x14:dataValidation>
        <x14:dataValidation type="date" operator="greaterThan" allowBlank="1" showInputMessage="1" showErrorMessage="1" promptTitle="Wprowadź" prompt="datę w formacie rrrr-mm-dd_x000a_" xr:uid="{00000000-0002-0000-0700-00004C000000}">
          <x14:formula1>
            <xm:f>Słowniki!AQ7</xm:f>
          </x14:formula1>
          <xm:sqref>B50:AL50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usz15"/>
  <dimension ref="A1:BM450"/>
  <sheetViews>
    <sheetView showGridLines="0" topLeftCell="A187" zoomScaleNormal="100" workbookViewId="0">
      <selection activeCell="AM193" sqref="AM193"/>
    </sheetView>
  </sheetViews>
  <sheetFormatPr defaultColWidth="9.33203125" defaultRowHeight="14.4" x14ac:dyDescent="0.3"/>
  <cols>
    <col min="1" max="1" width="3.33203125" style="90" customWidth="1"/>
    <col min="2" max="2" width="4" style="90" customWidth="1"/>
    <col min="3" max="3" width="2.33203125" style="90" customWidth="1"/>
    <col min="4" max="4" width="2.5546875" style="90" customWidth="1"/>
    <col min="5" max="5" width="2" style="90" customWidth="1"/>
    <col min="6" max="6" width="1.6640625" style="90" customWidth="1"/>
    <col min="7" max="7" width="1.44140625" style="90" customWidth="1"/>
    <col min="8" max="8" width="2.33203125" style="90" customWidth="1"/>
    <col min="9" max="9" width="2.44140625" style="90" customWidth="1"/>
    <col min="10" max="10" width="1.5546875" style="90" customWidth="1"/>
    <col min="11" max="11" width="1.6640625" style="90" customWidth="1"/>
    <col min="12" max="12" width="5.33203125" style="90" customWidth="1"/>
    <col min="13" max="13" width="0.6640625" style="90" customWidth="1"/>
    <col min="14" max="14" width="3.44140625" style="90" customWidth="1"/>
    <col min="15" max="15" width="2.5546875" style="90" customWidth="1"/>
    <col min="16" max="17" width="1.5546875" style="90" customWidth="1"/>
    <col min="18" max="18" width="1.33203125" style="90" customWidth="1"/>
    <col min="19" max="19" width="2.33203125" style="90" customWidth="1"/>
    <col min="20" max="20" width="1.33203125" style="90" customWidth="1"/>
    <col min="21" max="21" width="1" style="90" customWidth="1"/>
    <col min="22" max="22" width="0.6640625" style="90" customWidth="1"/>
    <col min="23" max="23" width="3" style="90" customWidth="1"/>
    <col min="24" max="24" width="1.33203125" style="90" customWidth="1"/>
    <col min="25" max="25" width="1.44140625" style="90" customWidth="1"/>
    <col min="26" max="27" width="1.33203125" style="90" customWidth="1"/>
    <col min="28" max="28" width="2" style="90" customWidth="1"/>
    <col min="29" max="29" width="1" style="90" customWidth="1"/>
    <col min="30" max="31" width="1.6640625" style="90" customWidth="1"/>
    <col min="32" max="32" width="1.33203125" style="90" customWidth="1"/>
    <col min="33" max="33" width="1.6640625" style="90" customWidth="1"/>
    <col min="34" max="34" width="2.33203125" style="90" customWidth="1"/>
    <col min="35" max="35" width="1.44140625" style="90" customWidth="1"/>
    <col min="36" max="36" width="4" style="90" customWidth="1"/>
    <col min="37" max="37" width="9.33203125" style="90" customWidth="1"/>
    <col min="38" max="38" width="5.6640625" style="90" customWidth="1"/>
    <col min="39" max="39" width="117" style="101" customWidth="1"/>
    <col min="40" max="65" width="9.33203125" style="60"/>
    <col min="66" max="16384" width="9.33203125" style="68"/>
  </cols>
  <sheetData>
    <row r="1" spans="1:54" ht="27"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155"/>
      <c r="R2" s="155"/>
      <c r="S2" s="155"/>
      <c r="T2" s="155"/>
      <c r="U2" s="155"/>
      <c r="V2" s="155"/>
      <c r="W2" s="155"/>
      <c r="X2" s="155"/>
      <c r="Y2" s="155"/>
      <c r="Z2" s="155"/>
      <c r="AA2" s="155"/>
      <c r="AB2" s="155"/>
      <c r="AC2" s="155"/>
      <c r="AD2" s="155"/>
      <c r="AE2" s="155"/>
      <c r="AF2" s="155"/>
      <c r="AG2" s="155"/>
      <c r="AH2" s="155"/>
      <c r="AI2" s="155"/>
      <c r="AJ2" s="155"/>
      <c r="AK2" s="155"/>
      <c r="AL2" s="155"/>
      <c r="AM2" s="105"/>
      <c r="AN2" s="70"/>
      <c r="AO2" s="70"/>
      <c r="AP2" s="70"/>
      <c r="AQ2" s="70"/>
      <c r="AR2" s="70"/>
      <c r="AS2" s="70"/>
      <c r="AT2" s="70"/>
      <c r="AU2" s="70"/>
      <c r="AV2" s="70"/>
      <c r="AW2" s="70"/>
      <c r="AX2" s="70"/>
      <c r="AY2" s="70"/>
      <c r="AZ2" s="70"/>
      <c r="BA2" s="70"/>
      <c r="BB2" s="70"/>
    </row>
    <row r="3" spans="1:54" x14ac:dyDescent="0.3">
      <c r="A3" s="88"/>
      <c r="B3" s="88"/>
      <c r="C3" s="88"/>
      <c r="D3" s="88"/>
      <c r="E3" s="88"/>
      <c r="F3" s="88"/>
      <c r="G3" s="88"/>
      <c r="H3" s="88"/>
      <c r="I3" s="88"/>
      <c r="J3" s="88"/>
      <c r="K3" s="88"/>
      <c r="L3" s="88"/>
      <c r="M3" s="88"/>
      <c r="N3"/>
      <c r="O3"/>
      <c r="P3"/>
      <c r="Q3"/>
      <c r="R3"/>
      <c r="S3"/>
      <c r="T3"/>
      <c r="U3"/>
      <c r="V3"/>
      <c r="W3"/>
      <c r="X3"/>
      <c r="Y3"/>
      <c r="Z3"/>
      <c r="AA3"/>
      <c r="AB3"/>
      <c r="AC3" s="88"/>
      <c r="AD3" s="88"/>
      <c r="AE3" s="88"/>
      <c r="AF3" s="88"/>
      <c r="AG3" s="88"/>
      <c r="AH3" s="88"/>
      <c r="AI3" s="88"/>
      <c r="AJ3" s="88"/>
      <c r="AK3" s="88"/>
      <c r="AL3" s="88"/>
      <c r="AM3" s="102" t="s">
        <v>160</v>
      </c>
    </row>
    <row r="4" spans="1:54" x14ac:dyDescent="0.3">
      <c r="A4" s="513"/>
      <c r="B4" s="513"/>
      <c r="C4" s="513"/>
      <c r="D4" s="513"/>
      <c r="E4" s="513"/>
      <c r="F4" s="513"/>
      <c r="G4" s="89"/>
      <c r="H4" s="514">
        <f ca="1">TODAY()</f>
        <v>46184</v>
      </c>
      <c r="I4" s="513"/>
      <c r="J4" s="513"/>
      <c r="K4" s="513"/>
      <c r="L4" s="513"/>
      <c r="M4" s="88"/>
      <c r="N4"/>
      <c r="O4"/>
      <c r="P4"/>
      <c r="Q4"/>
      <c r="R4"/>
      <c r="S4"/>
      <c r="T4"/>
      <c r="U4"/>
      <c r="V4"/>
      <c r="W4"/>
      <c r="X4"/>
      <c r="Y4"/>
      <c r="Z4"/>
      <c r="AA4"/>
      <c r="AB4"/>
      <c r="AC4" s="88"/>
      <c r="AD4" s="88"/>
      <c r="AE4" s="88"/>
      <c r="AF4" s="88"/>
      <c r="AG4" s="88"/>
      <c r="AH4" s="88"/>
      <c r="AI4" s="88"/>
      <c r="AJ4" s="88"/>
      <c r="AK4" s="88"/>
      <c r="AL4" s="88"/>
    </row>
    <row r="5" spans="1:54" ht="15" customHeight="1" x14ac:dyDescent="0.3">
      <c r="A5" s="515" t="s">
        <v>125</v>
      </c>
      <c r="B5" s="515"/>
      <c r="C5" s="515"/>
      <c r="D5" s="515"/>
      <c r="E5" s="515"/>
      <c r="F5" s="515"/>
      <c r="G5" s="151"/>
      <c r="H5" s="515" t="s">
        <v>124</v>
      </c>
      <c r="I5" s="515"/>
      <c r="J5" s="515"/>
      <c r="K5" s="515"/>
      <c r="L5" s="515"/>
      <c r="M5" s="148"/>
      <c r="N5"/>
      <c r="O5"/>
      <c r="P5"/>
      <c r="Q5"/>
      <c r="R5"/>
      <c r="S5"/>
      <c r="T5"/>
      <c r="U5"/>
      <c r="V5"/>
      <c r="W5"/>
      <c r="X5"/>
      <c r="Y5"/>
      <c r="Z5"/>
      <c r="AA5"/>
      <c r="AB5"/>
      <c r="AC5" s="148"/>
      <c r="AD5" s="148"/>
      <c r="AE5" s="148"/>
      <c r="AF5" s="148"/>
      <c r="AG5" s="148"/>
      <c r="AH5" s="148"/>
      <c r="AI5" s="148"/>
      <c r="AJ5" s="148"/>
      <c r="AK5" s="148"/>
      <c r="AL5" s="148"/>
    </row>
    <row r="6" spans="1:54" x14ac:dyDescent="0.3">
      <c r="A6" s="153"/>
      <c r="B6" s="153"/>
      <c r="C6" s="153"/>
      <c r="D6" s="153"/>
      <c r="E6" s="153"/>
      <c r="F6" s="153"/>
      <c r="G6" s="151"/>
      <c r="H6" s="148"/>
      <c r="I6" s="148"/>
      <c r="J6" s="148"/>
      <c r="K6" s="148"/>
      <c r="L6" s="148"/>
      <c r="M6" s="148"/>
      <c r="N6"/>
      <c r="O6"/>
      <c r="P6"/>
      <c r="Q6"/>
      <c r="R6"/>
      <c r="S6"/>
      <c r="T6"/>
      <c r="U6"/>
      <c r="V6"/>
      <c r="W6"/>
      <c r="X6"/>
      <c r="Y6"/>
      <c r="Z6"/>
      <c r="AA6"/>
      <c r="AB6"/>
      <c r="AC6" s="148"/>
      <c r="AD6" s="148"/>
      <c r="AE6" s="148"/>
      <c r="AF6" s="148"/>
      <c r="AG6" s="148"/>
      <c r="AH6" s="148"/>
      <c r="AI6" s="148"/>
      <c r="AJ6" s="148"/>
      <c r="AK6" s="148"/>
      <c r="AL6" s="148"/>
    </row>
    <row r="7" spans="1:54" s="60" customFormat="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s="60" customFormat="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s="60" customFormat="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53"/>
      <c r="B10" s="153"/>
      <c r="C10" s="153"/>
      <c r="D10" s="153"/>
      <c r="E10" s="153"/>
      <c r="F10" s="153"/>
      <c r="G10" s="151"/>
      <c r="H10" s="148"/>
      <c r="I10" s="148"/>
      <c r="J10" s="148"/>
      <c r="K10" s="148"/>
      <c r="L10" s="148"/>
      <c r="M10" s="148"/>
      <c r="N10" s="153"/>
      <c r="O10" s="153"/>
      <c r="P10" s="153"/>
      <c r="Q10" s="153"/>
      <c r="R10" s="153"/>
      <c r="S10" s="153"/>
      <c r="T10" s="152"/>
      <c r="U10" s="153"/>
      <c r="V10" s="153"/>
      <c r="W10" s="153"/>
      <c r="X10" s="153"/>
      <c r="Y10" s="153"/>
      <c r="Z10" s="153"/>
      <c r="AA10" s="148"/>
      <c r="AB10" s="148"/>
      <c r="AC10" s="148"/>
      <c r="AD10" s="148"/>
      <c r="AE10" s="148"/>
      <c r="AF10" s="148"/>
      <c r="AG10" s="148"/>
      <c r="AH10" s="148"/>
      <c r="AI10" s="148"/>
      <c r="AJ10" s="148"/>
      <c r="AK10" s="148"/>
      <c r="AL10" s="14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3">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row>
    <row r="15" spans="1:5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x14ac:dyDescent="0.25">
      <c r="A17" s="326"/>
      <c r="B17" s="443"/>
      <c r="C17" s="443"/>
      <c r="D17" s="443"/>
      <c r="E17" s="443"/>
      <c r="F17" s="443"/>
      <c r="G17" s="443"/>
      <c r="H17" s="443"/>
      <c r="I17" s="443"/>
      <c r="J17" s="443"/>
      <c r="K17" s="443"/>
      <c r="L17" s="443"/>
      <c r="M17" s="443"/>
      <c r="N17" s="443"/>
      <c r="O17" s="443"/>
      <c r="P17" s="443"/>
      <c r="Q17" s="443"/>
      <c r="R17" s="443"/>
      <c r="S17" s="443"/>
      <c r="T17" s="443"/>
      <c r="U17" s="443"/>
      <c r="V17" s="443"/>
      <c r="W17" s="443"/>
      <c r="X17" s="443"/>
      <c r="Y17" s="443"/>
      <c r="Z17" s="443"/>
      <c r="AA17" s="443"/>
      <c r="AB17" s="443"/>
      <c r="AC17" s="443"/>
      <c r="AD17" s="443"/>
      <c r="AE17" s="443"/>
      <c r="AF17" s="443"/>
      <c r="AG17" s="443"/>
      <c r="AH17" s="443"/>
      <c r="AI17" s="443"/>
      <c r="AJ17" s="443"/>
      <c r="AK17" s="443"/>
      <c r="AL17" s="443"/>
    </row>
    <row r="18" spans="1:39"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x14ac:dyDescent="0.25">
      <c r="A19" s="326"/>
      <c r="B19" s="591"/>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92"/>
      <c r="AK19" s="592"/>
      <c r="AL19" s="592"/>
    </row>
    <row r="20" spans="1:39" ht="27.4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46.95"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x14ac:dyDescent="0.3">
      <c r="A25" s="326"/>
      <c r="B25" s="600"/>
      <c r="C25" s="600"/>
      <c r="D25" s="600"/>
      <c r="E25" s="600"/>
      <c r="F25" s="600"/>
      <c r="G25" s="600"/>
      <c r="H25" s="600"/>
      <c r="I25" s="600"/>
      <c r="J25" s="600"/>
      <c r="K25" s="600"/>
      <c r="L25" s="600"/>
      <c r="M25" s="600"/>
      <c r="N25" s="600"/>
      <c r="O25" s="600"/>
      <c r="P25" s="600"/>
      <c r="Q25" s="600"/>
      <c r="R25" s="600"/>
      <c r="S25" s="600"/>
      <c r="T25" s="600"/>
      <c r="U25" s="600"/>
      <c r="V25" s="600"/>
      <c r="W25" s="352"/>
      <c r="X25" s="352"/>
      <c r="Y25" s="352"/>
      <c r="Z25" s="352"/>
      <c r="AA25" s="352"/>
      <c r="AB25" s="352"/>
      <c r="AC25" s="352"/>
      <c r="AD25" s="352"/>
      <c r="AE25" s="352"/>
      <c r="AF25" s="352"/>
      <c r="AG25" s="352"/>
      <c r="AH25" s="352"/>
      <c r="AI25" s="352"/>
      <c r="AJ25" s="352"/>
      <c r="AK25" s="352"/>
      <c r="AL25" s="352"/>
    </row>
    <row r="26" spans="1:39" x14ac:dyDescent="0.25">
      <c r="A26" s="337" t="s">
        <v>9</v>
      </c>
      <c r="B26" s="344" t="s">
        <v>66</v>
      </c>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row>
    <row r="27" spans="1:39" x14ac:dyDescent="0.25">
      <c r="A27" s="326"/>
      <c r="B27" s="344" t="s">
        <v>170</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606"/>
    </row>
    <row r="28" spans="1:39" x14ac:dyDescent="0.25">
      <c r="A28" s="326"/>
      <c r="B28" s="593"/>
      <c r="C28" s="594"/>
      <c r="D28" s="594"/>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5"/>
    </row>
    <row r="29" spans="1:39" x14ac:dyDescent="0.25">
      <c r="A29" s="326"/>
      <c r="B29" s="587" t="s">
        <v>211</v>
      </c>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9"/>
    </row>
    <row r="30" spans="1:39" x14ac:dyDescent="0.25">
      <c r="A30" s="326"/>
      <c r="B30" s="593"/>
      <c r="C30" s="594"/>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5"/>
    </row>
    <row r="31" spans="1:39" x14ac:dyDescent="0.25">
      <c r="A31" s="326"/>
      <c r="B31" s="588" t="s">
        <v>171</v>
      </c>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9"/>
    </row>
    <row r="32" spans="1:39" x14ac:dyDescent="0.25">
      <c r="A32" s="326"/>
      <c r="B32" s="593"/>
      <c r="C32" s="594"/>
      <c r="D32" s="594"/>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5"/>
      <c r="AM32" s="101" t="s">
        <v>174</v>
      </c>
    </row>
    <row r="33" spans="1:39" x14ac:dyDescent="0.25">
      <c r="A33" s="326"/>
      <c r="B33" s="587" t="s">
        <v>212</v>
      </c>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row>
    <row r="34" spans="1:39" x14ac:dyDescent="0.25">
      <c r="A34" s="326"/>
      <c r="B34" s="593"/>
      <c r="C34" s="594"/>
      <c r="D34" s="594"/>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5"/>
      <c r="AM34" s="101" t="s">
        <v>174</v>
      </c>
    </row>
    <row r="35" spans="1:39" ht="14.7" customHeight="1" x14ac:dyDescent="0.25">
      <c r="A35" s="337" t="s">
        <v>882</v>
      </c>
      <c r="B35" s="614" t="s">
        <v>676</v>
      </c>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row>
    <row r="36" spans="1:39" x14ac:dyDescent="0.25">
      <c r="A36" s="326"/>
      <c r="B36" s="615"/>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row>
    <row r="37" spans="1:39" ht="58.5" customHeight="1" x14ac:dyDescent="0.25">
      <c r="A37" s="326"/>
      <c r="B37" s="599" t="s">
        <v>677</v>
      </c>
      <c r="C37" s="601"/>
      <c r="D37" s="601"/>
      <c r="E37" s="601"/>
      <c r="F37" s="601"/>
      <c r="G37" s="601"/>
      <c r="H37" s="601"/>
      <c r="I37" s="601"/>
      <c r="J37" s="601"/>
      <c r="K37" s="601"/>
      <c r="L37" s="601"/>
      <c r="M37" s="601"/>
      <c r="N37" s="601"/>
      <c r="O37" s="601"/>
      <c r="P37" s="601"/>
      <c r="Q37" s="601"/>
      <c r="R37" s="601"/>
      <c r="S37" s="601"/>
      <c r="T37" s="601"/>
      <c r="U37" s="601"/>
      <c r="V37" s="601"/>
      <c r="W37" s="601"/>
      <c r="X37" s="601"/>
      <c r="Y37" s="602" t="s">
        <v>1068</v>
      </c>
      <c r="Z37" s="603"/>
      <c r="AA37" s="603"/>
      <c r="AB37" s="603"/>
      <c r="AC37" s="603"/>
      <c r="AD37" s="603"/>
      <c r="AE37" s="603"/>
      <c r="AF37" s="603"/>
      <c r="AG37" s="603"/>
      <c r="AH37" s="603"/>
      <c r="AI37" s="603"/>
      <c r="AJ37" s="603"/>
      <c r="AK37" s="603"/>
      <c r="AL37" s="603"/>
    </row>
    <row r="38" spans="1:39" ht="14.7" customHeight="1" x14ac:dyDescent="0.25">
      <c r="A38" s="326"/>
      <c r="B38" s="604"/>
      <c r="C38" s="605"/>
      <c r="D38" s="605"/>
      <c r="E38" s="605"/>
      <c r="F38" s="605"/>
      <c r="G38" s="605"/>
      <c r="H38" s="605"/>
      <c r="I38" s="605"/>
      <c r="J38" s="605"/>
      <c r="K38" s="605"/>
      <c r="L38" s="605"/>
      <c r="M38" s="605"/>
      <c r="N38" s="605"/>
      <c r="O38" s="605"/>
      <c r="P38" s="605"/>
      <c r="Q38" s="605"/>
      <c r="R38" s="605"/>
      <c r="S38" s="605"/>
      <c r="T38" s="605"/>
      <c r="U38" s="605"/>
      <c r="V38" s="605"/>
      <c r="W38" s="605"/>
      <c r="X38" s="605"/>
      <c r="Y38" s="598"/>
      <c r="Z38" s="598"/>
      <c r="AA38" s="598"/>
      <c r="AB38" s="598"/>
      <c r="AC38" s="598"/>
      <c r="AD38" s="598"/>
      <c r="AE38" s="598"/>
      <c r="AF38" s="598"/>
      <c r="AG38" s="598"/>
      <c r="AH38" s="598"/>
      <c r="AI38" s="598"/>
      <c r="AJ38" s="598"/>
      <c r="AK38" s="598"/>
      <c r="AL38" s="598"/>
    </row>
    <row r="39" spans="1:39" x14ac:dyDescent="0.25">
      <c r="A39" s="326"/>
      <c r="B39" s="599" t="s">
        <v>678</v>
      </c>
      <c r="C39" s="344"/>
      <c r="D39" s="344"/>
      <c r="E39" s="344"/>
      <c r="F39" s="344"/>
      <c r="G39" s="344"/>
      <c r="H39" s="344"/>
      <c r="I39" s="344"/>
      <c r="J39" s="344"/>
      <c r="K39" s="344"/>
      <c r="L39" s="344"/>
      <c r="M39" s="344"/>
      <c r="N39" s="344"/>
      <c r="O39" s="344"/>
      <c r="P39" s="344"/>
      <c r="Q39" s="344"/>
      <c r="R39" s="344"/>
      <c r="S39" s="344"/>
      <c r="T39" s="344"/>
      <c r="U39" s="344"/>
      <c r="V39" s="344"/>
      <c r="W39" s="599" t="s">
        <v>679</v>
      </c>
      <c r="X39" s="344"/>
      <c r="Y39" s="344"/>
      <c r="Z39" s="344"/>
      <c r="AA39" s="344"/>
      <c r="AB39" s="344"/>
      <c r="AC39" s="344"/>
      <c r="AD39" s="344"/>
      <c r="AE39" s="344"/>
      <c r="AF39" s="344"/>
      <c r="AG39" s="344"/>
      <c r="AH39" s="344"/>
      <c r="AI39" s="344"/>
      <c r="AJ39" s="344"/>
      <c r="AK39" s="344"/>
      <c r="AL39" s="344"/>
    </row>
    <row r="40" spans="1:39" x14ac:dyDescent="0.3">
      <c r="A40" s="326"/>
      <c r="B40" s="350"/>
      <c r="C40" s="350"/>
      <c r="D40" s="350"/>
      <c r="E40" s="350"/>
      <c r="F40" s="350"/>
      <c r="G40" s="350"/>
      <c r="H40" s="350"/>
      <c r="I40" s="350"/>
      <c r="J40" s="350"/>
      <c r="K40" s="350"/>
      <c r="L40" s="350"/>
      <c r="M40" s="350"/>
      <c r="N40" s="350"/>
      <c r="O40" s="350"/>
      <c r="P40" s="350"/>
      <c r="Q40" s="350"/>
      <c r="R40" s="350"/>
      <c r="S40" s="350"/>
      <c r="T40" s="350"/>
      <c r="U40" s="350"/>
      <c r="V40" s="350"/>
      <c r="W40" s="327"/>
      <c r="X40" s="327"/>
      <c r="Y40" s="327"/>
      <c r="Z40" s="327"/>
      <c r="AA40" s="327"/>
      <c r="AB40" s="327"/>
      <c r="AC40" s="327"/>
      <c r="AD40" s="327"/>
      <c r="AE40" s="327"/>
      <c r="AF40" s="327"/>
      <c r="AG40" s="327"/>
      <c r="AH40" s="327"/>
      <c r="AI40" s="327"/>
      <c r="AJ40" s="327"/>
      <c r="AK40" s="327"/>
      <c r="AL40" s="327"/>
    </row>
    <row r="41" spans="1:39" x14ac:dyDescent="0.3">
      <c r="A41" s="326"/>
      <c r="B41" s="338" t="s">
        <v>680</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100" t="s">
        <v>971</v>
      </c>
    </row>
    <row r="42" spans="1:39" x14ac:dyDescent="0.3">
      <c r="A42" s="326"/>
      <c r="B42" s="327"/>
      <c r="C42" s="327"/>
      <c r="D42" s="327"/>
      <c r="E42" s="327"/>
      <c r="F42" s="327"/>
      <c r="G42" s="327"/>
      <c r="H42" s="327"/>
      <c r="I42" s="327"/>
      <c r="J42" s="327"/>
      <c r="K42" s="327"/>
      <c r="L42" s="327"/>
      <c r="M42" s="327"/>
      <c r="N42" s="327"/>
      <c r="O42" s="327"/>
      <c r="P42" s="327"/>
      <c r="Q42" s="327"/>
      <c r="R42" s="327"/>
      <c r="S42" s="327"/>
      <c r="T42" s="327"/>
      <c r="U42" s="327"/>
      <c r="V42" s="327"/>
      <c r="W42" s="327"/>
      <c r="X42" s="327"/>
      <c r="Y42" s="327"/>
      <c r="Z42" s="327"/>
      <c r="AA42" s="327"/>
      <c r="AB42" s="327"/>
      <c r="AC42" s="327"/>
      <c r="AD42" s="327"/>
      <c r="AE42" s="327"/>
      <c r="AF42" s="327"/>
      <c r="AG42" s="327"/>
      <c r="AH42" s="327"/>
      <c r="AI42" s="327"/>
      <c r="AJ42" s="327"/>
      <c r="AK42" s="327"/>
      <c r="AL42" s="327"/>
    </row>
    <row r="43" spans="1:39" ht="46.2" customHeight="1" x14ac:dyDescent="0.25">
      <c r="A43" s="337" t="s">
        <v>640</v>
      </c>
      <c r="B43" s="342" t="s">
        <v>754</v>
      </c>
      <c r="C43" s="342"/>
      <c r="D43" s="342"/>
      <c r="E43" s="342"/>
      <c r="F43" s="342"/>
      <c r="G43" s="342"/>
      <c r="H43" s="342"/>
      <c r="I43" s="342"/>
      <c r="J43" s="342"/>
      <c r="K43" s="342"/>
      <c r="L43" s="342"/>
      <c r="M43" s="342"/>
      <c r="N43" s="342"/>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row>
    <row r="44" spans="1:39" x14ac:dyDescent="0.3">
      <c r="A44" s="326"/>
      <c r="B44" s="352"/>
      <c r="C44" s="352"/>
      <c r="D44" s="352"/>
      <c r="E44" s="352"/>
      <c r="F44" s="352"/>
      <c r="G44" s="352"/>
      <c r="H44" s="352"/>
      <c r="I44" s="352"/>
      <c r="J44" s="352"/>
      <c r="K44" s="352"/>
      <c r="L44" s="352"/>
      <c r="M44" s="352"/>
      <c r="N44" s="352"/>
      <c r="O44" s="352"/>
      <c r="P44" s="352"/>
      <c r="Q44" s="352"/>
      <c r="R44" s="352"/>
      <c r="S44" s="352"/>
      <c r="T44" s="348" t="str" cm="1">
        <f t="array" ref="T44">LEFT(B44,2)&amp;" "&amp;_xlfn.TEXTJOIN(" ",,MID(B44,{3,7,11,15,19,23},4))</f>
        <v xml:space="preserve"> </v>
      </c>
      <c r="U44" s="348"/>
      <c r="V44" s="348"/>
      <c r="W44" s="348"/>
      <c r="X44" s="348"/>
      <c r="Y44" s="348"/>
      <c r="Z44" s="348"/>
      <c r="AA44" s="348"/>
      <c r="AB44" s="348"/>
      <c r="AC44" s="348"/>
      <c r="AD44" s="348"/>
      <c r="AE44" s="348"/>
      <c r="AF44" s="348"/>
      <c r="AG44" s="348"/>
      <c r="AH44" s="348"/>
      <c r="AI44" s="348"/>
      <c r="AJ44" s="348"/>
      <c r="AK44" s="348"/>
      <c r="AL44" s="348"/>
    </row>
    <row r="45" spans="1:39" x14ac:dyDescent="0.25">
      <c r="A45" s="149" t="s">
        <v>67</v>
      </c>
      <c r="B45" s="351" t="s">
        <v>68</v>
      </c>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row>
    <row r="46" spans="1:39" x14ac:dyDescent="0.25">
      <c r="A46" s="326" t="s">
        <v>1</v>
      </c>
      <c r="B46" s="344" t="s">
        <v>85</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x14ac:dyDescent="0.3">
      <c r="A47" s="326"/>
      <c r="B47" s="655" t="e">
        <f>IF(T156+Z58&gt;ROUNDDOWN(45%*AK150,2),ROUNDDOWN(45%*AK150-Z58,2),T156)</f>
        <v>#DIV/0!</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c r="AL47" s="655"/>
      <c r="AM47" s="118" t="s">
        <v>213</v>
      </c>
    </row>
    <row r="48" spans="1:39" ht="60" customHeight="1" x14ac:dyDescent="0.25">
      <c r="A48" s="554" t="s">
        <v>6</v>
      </c>
      <c r="B48" s="607" t="s">
        <v>1151</v>
      </c>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8"/>
      <c r="AE48" s="608"/>
      <c r="AF48" s="608"/>
      <c r="AG48" s="608"/>
      <c r="AH48" s="608"/>
      <c r="AI48" s="608"/>
      <c r="AJ48" s="608"/>
      <c r="AK48" s="608"/>
      <c r="AL48" s="608"/>
    </row>
    <row r="49" spans="1:41" x14ac:dyDescent="0.25">
      <c r="A49" s="326"/>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101" t="s">
        <v>633</v>
      </c>
    </row>
    <row r="50" spans="1:41" x14ac:dyDescent="0.25">
      <c r="A50" s="554" t="s">
        <v>7</v>
      </c>
      <c r="B50" s="444" t="s">
        <v>885</v>
      </c>
      <c r="C50" s="444"/>
      <c r="D50" s="444"/>
      <c r="E50" s="444"/>
      <c r="F50" s="444"/>
      <c r="G50" s="444"/>
      <c r="H50" s="444"/>
      <c r="I50" s="444"/>
      <c r="J50" s="444"/>
      <c r="K50" s="444"/>
      <c r="L50" s="444"/>
      <c r="M50" s="444"/>
      <c r="N50" s="444"/>
      <c r="O50" s="444"/>
      <c r="P50" s="444"/>
      <c r="Q50" s="444"/>
      <c r="R50" s="444"/>
      <c r="S50" s="444"/>
      <c r="T50" s="444"/>
      <c r="U50" s="444"/>
      <c r="V50" s="444"/>
      <c r="W50" s="444"/>
      <c r="X50" s="444"/>
      <c r="Y50" s="444"/>
      <c r="Z50" s="444"/>
      <c r="AA50" s="444"/>
      <c r="AB50" s="444"/>
      <c r="AC50" s="444"/>
      <c r="AD50" s="444"/>
      <c r="AE50" s="444"/>
      <c r="AF50" s="444"/>
      <c r="AG50" s="444"/>
      <c r="AH50" s="444"/>
      <c r="AI50" s="444"/>
      <c r="AJ50" s="444"/>
      <c r="AK50" s="444"/>
      <c r="AL50" s="444"/>
    </row>
    <row r="51" spans="1:41" x14ac:dyDescent="0.25">
      <c r="A51" s="326"/>
      <c r="B51" s="347"/>
      <c r="C51" s="347"/>
      <c r="D51" s="347"/>
      <c r="E51" s="347"/>
      <c r="F51" s="347"/>
      <c r="G51" s="347"/>
      <c r="H51" s="347"/>
      <c r="I51" s="347"/>
      <c r="J51" s="347"/>
      <c r="K51" s="347"/>
      <c r="L51" s="347"/>
      <c r="M51" s="347"/>
      <c r="N51" s="347"/>
      <c r="O51" s="347"/>
      <c r="P51" s="347"/>
      <c r="Q51" s="347"/>
      <c r="R51" s="347"/>
      <c r="S51" s="347"/>
      <c r="T51" s="347"/>
      <c r="U51" s="347"/>
      <c r="V51" s="347"/>
      <c r="W51" s="347"/>
      <c r="X51" s="347"/>
      <c r="Y51" s="347"/>
      <c r="Z51" s="347"/>
      <c r="AA51" s="347"/>
      <c r="AB51" s="347"/>
      <c r="AC51" s="347"/>
      <c r="AD51" s="347"/>
      <c r="AE51" s="347"/>
      <c r="AF51" s="347"/>
      <c r="AG51" s="347"/>
      <c r="AH51" s="347"/>
      <c r="AI51" s="347"/>
      <c r="AJ51" s="347"/>
      <c r="AK51" s="347"/>
      <c r="AL51" s="347"/>
      <c r="AM51" s="101" t="s">
        <v>209</v>
      </c>
    </row>
    <row r="52" spans="1:41" x14ac:dyDescent="0.25">
      <c r="A52" s="345" t="s">
        <v>9</v>
      </c>
      <c r="B52" s="419" t="s">
        <v>223</v>
      </c>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s="344"/>
      <c r="AJ52" s="344"/>
      <c r="AK52" s="344"/>
      <c r="AL52" s="344"/>
      <c r="AM52" s="590" t="s">
        <v>140</v>
      </c>
      <c r="AN52" s="590"/>
      <c r="AO52" s="590"/>
    </row>
    <row r="53" spans="1:41" ht="14.7" customHeight="1" x14ac:dyDescent="0.25">
      <c r="A53" s="344"/>
      <c r="B53" s="577" t="s">
        <v>700</v>
      </c>
      <c r="C53" s="577"/>
      <c r="D53" s="577"/>
      <c r="E53" s="577"/>
      <c r="F53" s="577"/>
      <c r="G53" s="577"/>
      <c r="H53" s="577"/>
      <c r="I53" s="577"/>
      <c r="J53" s="577"/>
      <c r="K53" s="577"/>
      <c r="L53" s="577"/>
      <c r="M53" s="577"/>
      <c r="N53" s="577"/>
      <c r="O53" s="577"/>
      <c r="P53" s="577"/>
      <c r="Q53" s="577"/>
      <c r="R53" s="577"/>
      <c r="S53" s="577"/>
      <c r="T53" s="577"/>
      <c r="U53" s="577"/>
      <c r="V53" s="577"/>
      <c r="W53" s="577"/>
      <c r="X53" s="577"/>
      <c r="Y53" s="578"/>
      <c r="Z53" s="596" t="s">
        <v>843</v>
      </c>
      <c r="AA53" s="427"/>
      <c r="AB53" s="427"/>
      <c r="AC53" s="427"/>
      <c r="AD53" s="427"/>
      <c r="AE53" s="427"/>
      <c r="AF53" s="427"/>
      <c r="AG53" s="427"/>
      <c r="AH53" s="427"/>
      <c r="AI53" s="427"/>
      <c r="AJ53" s="427"/>
      <c r="AK53" s="426" t="s">
        <v>701</v>
      </c>
      <c r="AL53" s="427"/>
      <c r="AM53" s="101" t="s">
        <v>638</v>
      </c>
    </row>
    <row r="54" spans="1:41" ht="19.2" customHeight="1" x14ac:dyDescent="0.3">
      <c r="A54" s="344"/>
      <c r="B54" s="656" t="s">
        <v>226</v>
      </c>
      <c r="C54" s="657"/>
      <c r="D54" s="657"/>
      <c r="E54" s="657"/>
      <c r="F54" s="657"/>
      <c r="G54" s="657"/>
      <c r="H54" s="657"/>
      <c r="I54" s="657"/>
      <c r="J54" s="657"/>
      <c r="K54" s="657"/>
      <c r="L54" s="657"/>
      <c r="M54" s="657"/>
      <c r="N54" s="657"/>
      <c r="O54" s="657"/>
      <c r="P54" s="657"/>
      <c r="Q54" s="657"/>
      <c r="R54" s="657"/>
      <c r="S54" s="657"/>
      <c r="T54" s="657"/>
      <c r="U54" s="657"/>
      <c r="V54" s="657"/>
      <c r="W54" s="657"/>
      <c r="X54" s="657"/>
      <c r="Y54" s="658"/>
      <c r="Z54" s="403"/>
      <c r="AA54" s="403"/>
      <c r="AB54" s="403"/>
      <c r="AC54" s="403"/>
      <c r="AD54" s="403"/>
      <c r="AE54" s="403"/>
      <c r="AF54" s="403"/>
      <c r="AG54" s="403"/>
      <c r="AH54" s="403"/>
      <c r="AI54" s="403"/>
      <c r="AJ54" s="403"/>
      <c r="AK54" s="582" t="e">
        <f t="shared" ref="AK54:AK59" si="0">Z54/Z$60</f>
        <v>#DIV/0!</v>
      </c>
      <c r="AL54" s="583"/>
    </row>
    <row r="55" spans="1:41" ht="39" customHeight="1" x14ac:dyDescent="0.3">
      <c r="A55" s="344"/>
      <c r="B55" s="656" t="s">
        <v>844</v>
      </c>
      <c r="C55" s="657"/>
      <c r="D55" s="657"/>
      <c r="E55" s="657"/>
      <c r="F55" s="657"/>
      <c r="G55" s="657"/>
      <c r="H55" s="657"/>
      <c r="I55" s="657"/>
      <c r="J55" s="657"/>
      <c r="K55" s="657"/>
      <c r="L55" s="657"/>
      <c r="M55" s="657"/>
      <c r="N55" s="657"/>
      <c r="O55" s="657"/>
      <c r="P55" s="657"/>
      <c r="Q55" s="657"/>
      <c r="R55" s="657"/>
      <c r="S55" s="657"/>
      <c r="T55" s="657"/>
      <c r="U55" s="657"/>
      <c r="V55" s="657"/>
      <c r="W55" s="657"/>
      <c r="X55" s="657"/>
      <c r="Y55" s="658"/>
      <c r="Z55" s="403">
        <f>S64</f>
        <v>0</v>
      </c>
      <c r="AA55" s="403"/>
      <c r="AB55" s="403"/>
      <c r="AC55" s="403"/>
      <c r="AD55" s="403"/>
      <c r="AE55" s="403"/>
      <c r="AF55" s="403"/>
      <c r="AG55" s="403"/>
      <c r="AH55" s="403"/>
      <c r="AI55" s="403"/>
      <c r="AJ55" s="403"/>
      <c r="AK55" s="582" t="e">
        <f t="shared" si="0"/>
        <v>#DIV/0!</v>
      </c>
      <c r="AL55" s="583"/>
      <c r="AM55" s="194" t="s">
        <v>681</v>
      </c>
    </row>
    <row r="56" spans="1:41" ht="19.2" customHeight="1" x14ac:dyDescent="0.3">
      <c r="A56" s="344"/>
      <c r="B56" s="656" t="s">
        <v>222</v>
      </c>
      <c r="C56" s="657"/>
      <c r="D56" s="657"/>
      <c r="E56" s="657"/>
      <c r="F56" s="657"/>
      <c r="G56" s="657"/>
      <c r="H56" s="657"/>
      <c r="I56" s="657"/>
      <c r="J56" s="657"/>
      <c r="K56" s="657"/>
      <c r="L56" s="657"/>
      <c r="M56" s="657"/>
      <c r="N56" s="657"/>
      <c r="O56" s="657"/>
      <c r="P56" s="657"/>
      <c r="Q56" s="657"/>
      <c r="R56" s="657"/>
      <c r="S56" s="657"/>
      <c r="T56" s="657"/>
      <c r="U56" s="657"/>
      <c r="V56" s="657"/>
      <c r="W56" s="657"/>
      <c r="X56" s="657"/>
      <c r="Y56" s="658"/>
      <c r="Z56" s="403"/>
      <c r="AA56" s="403"/>
      <c r="AB56" s="403"/>
      <c r="AC56" s="403"/>
      <c r="AD56" s="403"/>
      <c r="AE56" s="403"/>
      <c r="AF56" s="403"/>
      <c r="AG56" s="403"/>
      <c r="AH56" s="403"/>
      <c r="AI56" s="403"/>
      <c r="AJ56" s="403"/>
      <c r="AK56" s="582" t="e">
        <f t="shared" si="0"/>
        <v>#DIV/0!</v>
      </c>
      <c r="AL56" s="583"/>
      <c r="AM56" s="101" t="s">
        <v>951</v>
      </c>
    </row>
    <row r="57" spans="1:41" ht="19.2" customHeight="1" x14ac:dyDescent="0.3">
      <c r="A57" s="344"/>
      <c r="B57" s="656" t="s">
        <v>88</v>
      </c>
      <c r="C57" s="657"/>
      <c r="D57" s="657"/>
      <c r="E57" s="657"/>
      <c r="F57" s="657"/>
      <c r="G57" s="657"/>
      <c r="H57" s="657"/>
      <c r="I57" s="657"/>
      <c r="J57" s="657"/>
      <c r="K57" s="657"/>
      <c r="L57" s="657"/>
      <c r="M57" s="657"/>
      <c r="N57" s="657"/>
      <c r="O57" s="657"/>
      <c r="P57" s="657"/>
      <c r="Q57" s="657"/>
      <c r="R57" s="657"/>
      <c r="S57" s="657"/>
      <c r="T57" s="657"/>
      <c r="U57" s="657"/>
      <c r="V57" s="657"/>
      <c r="W57" s="657"/>
      <c r="X57" s="657"/>
      <c r="Y57" s="658"/>
      <c r="Z57" s="432" t="e">
        <f>B47</f>
        <v>#DIV/0!</v>
      </c>
      <c r="AA57" s="341"/>
      <c r="AB57" s="341"/>
      <c r="AC57" s="341"/>
      <c r="AD57" s="341"/>
      <c r="AE57" s="341"/>
      <c r="AF57" s="341"/>
      <c r="AG57" s="341"/>
      <c r="AH57" s="341"/>
      <c r="AI57" s="341"/>
      <c r="AJ57" s="341"/>
      <c r="AK57" s="582" t="e">
        <f t="shared" si="0"/>
        <v>#DIV/0!</v>
      </c>
      <c r="AL57" s="583"/>
      <c r="AM57" s="76" t="s">
        <v>208</v>
      </c>
    </row>
    <row r="58" spans="1:41" ht="19.2" customHeight="1" x14ac:dyDescent="0.3">
      <c r="A58" s="344"/>
      <c r="B58" s="656" t="s">
        <v>682</v>
      </c>
      <c r="C58" s="657"/>
      <c r="D58" s="657"/>
      <c r="E58" s="657"/>
      <c r="F58" s="657"/>
      <c r="G58" s="657"/>
      <c r="H58" s="657"/>
      <c r="I58" s="657"/>
      <c r="J58" s="657"/>
      <c r="K58" s="657"/>
      <c r="L58" s="657"/>
      <c r="M58" s="657"/>
      <c r="N58" s="657"/>
      <c r="O58" s="657"/>
      <c r="P58" s="657"/>
      <c r="Q58" s="657"/>
      <c r="R58" s="657"/>
      <c r="S58" s="657"/>
      <c r="T58" s="657"/>
      <c r="U58" s="657"/>
      <c r="V58" s="657"/>
      <c r="W58" s="657"/>
      <c r="X58" s="657"/>
      <c r="Y58" s="658"/>
      <c r="Z58" s="403"/>
      <c r="AA58" s="403"/>
      <c r="AB58" s="403"/>
      <c r="AC58" s="403"/>
      <c r="AD58" s="403"/>
      <c r="AE58" s="403"/>
      <c r="AF58" s="403"/>
      <c r="AG58" s="403"/>
      <c r="AH58" s="403"/>
      <c r="AI58" s="403"/>
      <c r="AJ58" s="403"/>
      <c r="AK58" s="582" t="e">
        <f t="shared" si="0"/>
        <v>#DIV/0!</v>
      </c>
      <c r="AL58" s="583"/>
      <c r="AM58" s="232" t="s">
        <v>1069</v>
      </c>
    </row>
    <row r="59" spans="1:41" ht="20.7" customHeight="1" x14ac:dyDescent="0.3">
      <c r="A59" s="344"/>
      <c r="B59" s="656" t="s">
        <v>1033</v>
      </c>
      <c r="C59" s="657"/>
      <c r="D59" s="657"/>
      <c r="E59" s="657"/>
      <c r="F59" s="657"/>
      <c r="G59" s="657"/>
      <c r="H59" s="657"/>
      <c r="I59" s="657"/>
      <c r="J59" s="657"/>
      <c r="K59" s="657"/>
      <c r="L59" s="657"/>
      <c r="M59" s="657"/>
      <c r="N59" s="657"/>
      <c r="O59" s="657"/>
      <c r="P59" s="657"/>
      <c r="Q59" s="657"/>
      <c r="R59" s="657"/>
      <c r="S59" s="657"/>
      <c r="T59" s="657"/>
      <c r="U59" s="657"/>
      <c r="V59" s="657"/>
      <c r="W59" s="657"/>
      <c r="X59" s="657"/>
      <c r="Y59" s="658"/>
      <c r="Z59" s="403"/>
      <c r="AA59" s="403"/>
      <c r="AB59" s="403"/>
      <c r="AC59" s="403"/>
      <c r="AD59" s="403"/>
      <c r="AE59" s="403"/>
      <c r="AF59" s="403"/>
      <c r="AG59" s="403"/>
      <c r="AH59" s="403"/>
      <c r="AI59" s="403"/>
      <c r="AJ59" s="403"/>
      <c r="AK59" s="582" t="e">
        <f t="shared" si="0"/>
        <v>#DIV/0!</v>
      </c>
      <c r="AL59" s="583"/>
      <c r="AM59" s="101" t="s">
        <v>1034</v>
      </c>
    </row>
    <row r="60" spans="1:41" ht="19.2" customHeight="1" x14ac:dyDescent="0.3">
      <c r="A60" s="344"/>
      <c r="B60" s="656" t="s">
        <v>235</v>
      </c>
      <c r="C60" s="657"/>
      <c r="D60" s="657"/>
      <c r="E60" s="657"/>
      <c r="F60" s="657"/>
      <c r="G60" s="657"/>
      <c r="H60" s="657"/>
      <c r="I60" s="657"/>
      <c r="J60" s="657"/>
      <c r="K60" s="657"/>
      <c r="L60" s="657"/>
      <c r="M60" s="657"/>
      <c r="N60" s="657"/>
      <c r="O60" s="657"/>
      <c r="P60" s="657"/>
      <c r="Q60" s="657"/>
      <c r="R60" s="657"/>
      <c r="S60" s="657"/>
      <c r="T60" s="657"/>
      <c r="U60" s="657"/>
      <c r="V60" s="657"/>
      <c r="W60" s="657"/>
      <c r="X60" s="657"/>
      <c r="Y60" s="658"/>
      <c r="Z60" s="422" t="e">
        <f>SUM(Z54+Z56+Z57+Z58+Z59)</f>
        <v>#DIV/0!</v>
      </c>
      <c r="AA60" s="422"/>
      <c r="AB60" s="422"/>
      <c r="AC60" s="422"/>
      <c r="AD60" s="422"/>
      <c r="AE60" s="422"/>
      <c r="AF60" s="422"/>
      <c r="AG60" s="422"/>
      <c r="AH60" s="422"/>
      <c r="AI60" s="422"/>
      <c r="AJ60" s="422"/>
      <c r="AK60" s="341" t="e">
        <f>SUM(AK54+AK56+AK57+AK58+AK59)</f>
        <v>#DIV/0!</v>
      </c>
      <c r="AL60" s="341"/>
      <c r="AM60" s="77" t="s">
        <v>1150</v>
      </c>
    </row>
    <row r="61" spans="1:41" ht="99" customHeight="1" x14ac:dyDescent="0.25">
      <c r="A61" s="645" t="s">
        <v>1065</v>
      </c>
      <c r="B61" s="645"/>
      <c r="C61" s="645"/>
      <c r="D61" s="645"/>
      <c r="E61" s="645"/>
      <c r="F61" s="645"/>
      <c r="G61" s="645"/>
      <c r="H61" s="645"/>
      <c r="I61" s="645"/>
      <c r="J61" s="645"/>
      <c r="K61" s="645"/>
      <c r="L61" s="645"/>
      <c r="M61" s="645"/>
      <c r="N61" s="645"/>
      <c r="O61" s="645"/>
      <c r="P61" s="645"/>
      <c r="Q61" s="645"/>
      <c r="R61" s="645"/>
      <c r="S61" s="645"/>
      <c r="T61" s="645"/>
      <c r="U61" s="645"/>
      <c r="V61" s="645"/>
      <c r="W61" s="645"/>
      <c r="X61" s="645"/>
      <c r="Y61" s="645"/>
      <c r="Z61" s="646">
        <f>ROUNDDOWN(AK150*45%,2)</f>
        <v>0</v>
      </c>
      <c r="AA61" s="646"/>
      <c r="AB61" s="646"/>
      <c r="AC61" s="646"/>
      <c r="AD61" s="646"/>
      <c r="AE61" s="646"/>
      <c r="AF61" s="646"/>
      <c r="AG61" s="646"/>
      <c r="AH61" s="646"/>
      <c r="AI61" s="646"/>
      <c r="AJ61" s="646"/>
      <c r="AK61" s="647" t="e">
        <f>Z61/AK150</f>
        <v>#DIV/0!</v>
      </c>
      <c r="AL61" s="647"/>
    </row>
    <row r="62" spans="1:41" ht="100.5" customHeight="1" x14ac:dyDescent="0.25">
      <c r="A62" s="648" t="s">
        <v>1066</v>
      </c>
      <c r="B62" s="648"/>
      <c r="C62" s="648"/>
      <c r="D62" s="648"/>
      <c r="E62" s="648"/>
      <c r="F62" s="648"/>
      <c r="G62" s="648"/>
      <c r="H62" s="648"/>
      <c r="I62" s="648"/>
      <c r="J62" s="648"/>
      <c r="K62" s="648"/>
      <c r="L62" s="648"/>
      <c r="M62" s="648"/>
      <c r="N62" s="648"/>
      <c r="O62" s="648"/>
      <c r="P62" s="648"/>
      <c r="Q62" s="648"/>
      <c r="R62" s="648"/>
      <c r="S62" s="648"/>
      <c r="T62" s="648"/>
      <c r="U62" s="648"/>
      <c r="V62" s="648"/>
      <c r="W62" s="648"/>
      <c r="X62" s="648"/>
      <c r="Y62" s="648"/>
      <c r="Z62" s="646" t="e">
        <f>Z57+Z58</f>
        <v>#DIV/0!</v>
      </c>
      <c r="AA62" s="646"/>
      <c r="AB62" s="646"/>
      <c r="AC62" s="646"/>
      <c r="AD62" s="646"/>
      <c r="AE62" s="646"/>
      <c r="AF62" s="646"/>
      <c r="AG62" s="646"/>
      <c r="AH62" s="646"/>
      <c r="AI62" s="646"/>
      <c r="AJ62" s="646"/>
      <c r="AK62" s="647" t="e">
        <f>Z62/AK150</f>
        <v>#DIV/0!</v>
      </c>
      <c r="AL62" s="647"/>
    </row>
    <row r="63" spans="1:41" ht="82.95" customHeight="1" x14ac:dyDescent="0.25">
      <c r="A63" s="554" t="s">
        <v>777</v>
      </c>
      <c r="B63" s="569" t="s">
        <v>1076</v>
      </c>
      <c r="C63" s="624"/>
      <c r="D63" s="624"/>
      <c r="E63" s="624"/>
      <c r="F63" s="624"/>
      <c r="G63" s="624"/>
      <c r="H63" s="624"/>
      <c r="I63" s="624"/>
      <c r="J63" s="624"/>
      <c r="K63" s="624"/>
      <c r="L63" s="624"/>
      <c r="M63" s="624"/>
      <c r="N63" s="624"/>
      <c r="O63" s="624"/>
      <c r="P63" s="624"/>
      <c r="Q63" s="624"/>
      <c r="R63" s="624"/>
      <c r="S63" s="624"/>
      <c r="T63" s="624"/>
      <c r="U63" s="624"/>
      <c r="V63" s="624"/>
      <c r="W63" s="624"/>
      <c r="X63" s="624"/>
      <c r="Y63" s="624"/>
      <c r="Z63" s="624"/>
      <c r="AA63" s="624"/>
      <c r="AB63" s="624"/>
      <c r="AC63" s="624"/>
      <c r="AD63" s="624"/>
      <c r="AE63" s="624"/>
      <c r="AF63" s="624"/>
      <c r="AG63" s="624"/>
      <c r="AH63" s="624"/>
      <c r="AI63" s="624"/>
      <c r="AJ63" s="624"/>
      <c r="AK63" s="624"/>
      <c r="AL63" s="624"/>
      <c r="AM63" s="631" t="s">
        <v>858</v>
      </c>
    </row>
    <row r="64" spans="1:41" ht="85.2" customHeight="1" x14ac:dyDescent="0.25">
      <c r="A64" s="554"/>
      <c r="B64" s="693" t="s">
        <v>776</v>
      </c>
      <c r="C64" s="639"/>
      <c r="D64" s="639"/>
      <c r="E64" s="639"/>
      <c r="F64" s="639"/>
      <c r="G64" s="639"/>
      <c r="H64" s="639"/>
      <c r="I64" s="639"/>
      <c r="J64" s="639"/>
      <c r="K64" s="639"/>
      <c r="L64" s="639"/>
      <c r="M64" s="639"/>
      <c r="N64" s="639"/>
      <c r="O64" s="639"/>
      <c r="P64" s="639"/>
      <c r="Q64" s="639"/>
      <c r="R64" s="639"/>
      <c r="S64" s="558"/>
      <c r="T64" s="558"/>
      <c r="U64" s="558"/>
      <c r="V64" s="558"/>
      <c r="W64" s="558"/>
      <c r="X64" s="558"/>
      <c r="Y64" s="558"/>
      <c r="Z64" s="558"/>
      <c r="AA64" s="558"/>
      <c r="AB64" s="558"/>
      <c r="AC64" s="558"/>
      <c r="AD64" s="558"/>
      <c r="AE64" s="558"/>
      <c r="AF64" s="558"/>
      <c r="AG64" s="558"/>
      <c r="AH64" s="558"/>
      <c r="AI64" s="558"/>
      <c r="AJ64" s="558"/>
      <c r="AK64" s="558"/>
      <c r="AL64" s="558"/>
      <c r="AM64" s="631"/>
    </row>
    <row r="65" spans="1:65" ht="334.5" customHeight="1" x14ac:dyDescent="0.25">
      <c r="A65" s="218"/>
      <c r="B65" s="690" t="s">
        <v>1059</v>
      </c>
      <c r="C65" s="691"/>
      <c r="D65" s="691"/>
      <c r="E65" s="691"/>
      <c r="F65" s="691"/>
      <c r="G65" s="691"/>
      <c r="H65" s="691"/>
      <c r="I65" s="691"/>
      <c r="J65" s="691"/>
      <c r="K65" s="691"/>
      <c r="L65" s="691"/>
      <c r="M65" s="691"/>
      <c r="N65" s="691"/>
      <c r="O65" s="691"/>
      <c r="P65" s="691"/>
      <c r="Q65" s="691"/>
      <c r="R65" s="691"/>
      <c r="S65" s="691"/>
      <c r="T65" s="691"/>
      <c r="U65" s="691"/>
      <c r="V65" s="691"/>
      <c r="W65" s="691"/>
      <c r="X65" s="691"/>
      <c r="Y65" s="691"/>
      <c r="Z65" s="691"/>
      <c r="AA65" s="691"/>
      <c r="AB65" s="691"/>
      <c r="AC65" s="691"/>
      <c r="AD65" s="691"/>
      <c r="AE65" s="691"/>
      <c r="AF65" s="691"/>
      <c r="AG65" s="691"/>
      <c r="AH65" s="691"/>
      <c r="AI65" s="691"/>
      <c r="AJ65" s="691"/>
      <c r="AK65" s="691"/>
      <c r="AL65" s="692"/>
      <c r="AM65" s="251"/>
    </row>
    <row r="66" spans="1:65" x14ac:dyDescent="0.3">
      <c r="A66" s="150" t="s">
        <v>69</v>
      </c>
      <c r="B66" s="328" t="s">
        <v>70</v>
      </c>
      <c r="C66" s="328"/>
      <c r="D66" s="328"/>
      <c r="E66" s="328"/>
      <c r="F66" s="328"/>
      <c r="G66" s="328"/>
      <c r="H66" s="328"/>
      <c r="I66" s="328"/>
      <c r="J66" s="328"/>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row>
    <row r="67" spans="1:65" ht="34.200000000000003" customHeight="1" x14ac:dyDescent="0.25">
      <c r="A67" s="508"/>
      <c r="B67" s="508"/>
      <c r="C67" s="508"/>
      <c r="D67" s="508"/>
      <c r="E67" s="508"/>
      <c r="F67" s="508"/>
      <c r="G67" s="508"/>
      <c r="H67" s="508"/>
      <c r="I67" s="508"/>
      <c r="J67" s="508"/>
      <c r="K67" s="508"/>
      <c r="L67" s="508"/>
      <c r="M67" s="508"/>
      <c r="N67" s="508"/>
      <c r="O67" s="508"/>
      <c r="P67" s="508"/>
      <c r="Q67" s="508"/>
      <c r="R67" s="508"/>
      <c r="S67" s="508"/>
      <c r="T67" s="508"/>
      <c r="U67" s="508"/>
      <c r="V67" s="508"/>
      <c r="W67" s="508"/>
      <c r="X67" s="508"/>
      <c r="Y67" s="508"/>
      <c r="Z67" s="508"/>
      <c r="AA67" s="508"/>
      <c r="AB67" s="508"/>
      <c r="AC67" s="508"/>
      <c r="AD67" s="508"/>
      <c r="AE67" s="508"/>
      <c r="AF67" s="508"/>
      <c r="AG67" s="508"/>
      <c r="AH67" s="508"/>
      <c r="AI67" s="508"/>
      <c r="AJ67" s="508"/>
      <c r="AK67" s="508"/>
      <c r="AL67" s="508"/>
    </row>
    <row r="68" spans="1:65" ht="36" customHeight="1" x14ac:dyDescent="0.25">
      <c r="A68" s="545"/>
      <c r="B68" s="545"/>
      <c r="C68" s="545"/>
      <c r="D68" s="545"/>
      <c r="E68" s="545"/>
      <c r="F68" s="545"/>
      <c r="G68" s="545"/>
      <c r="H68" s="545"/>
      <c r="I68" s="545"/>
      <c r="J68" s="545"/>
      <c r="K68" s="545"/>
      <c r="L68" s="545"/>
      <c r="M68" s="545"/>
      <c r="N68" s="545"/>
      <c r="O68" s="545"/>
      <c r="P68" s="545"/>
      <c r="Q68" s="545"/>
      <c r="R68" s="545"/>
      <c r="S68" s="545"/>
      <c r="T68" s="545"/>
      <c r="U68" s="545"/>
      <c r="V68" s="545"/>
      <c r="W68" s="545"/>
      <c r="X68" s="545"/>
      <c r="Y68" s="545"/>
      <c r="Z68" s="545"/>
      <c r="AA68" s="545"/>
      <c r="AB68" s="545"/>
      <c r="AC68" s="545"/>
      <c r="AD68" s="545"/>
      <c r="AE68" s="545"/>
      <c r="AF68" s="545"/>
      <c r="AG68" s="545"/>
      <c r="AH68" s="545"/>
      <c r="AI68" s="545"/>
      <c r="AJ68" s="545"/>
      <c r="AK68" s="545"/>
      <c r="AL68" s="545"/>
      <c r="AM68" s="101" t="s">
        <v>952</v>
      </c>
    </row>
    <row r="69" spans="1:65" s="85" customFormat="1" x14ac:dyDescent="0.3">
      <c r="A69" s="150" t="s">
        <v>90</v>
      </c>
      <c r="B69" s="328" t="s">
        <v>674</v>
      </c>
      <c r="C69" s="328"/>
      <c r="D69" s="328"/>
      <c r="E69" s="328"/>
      <c r="F69" s="328"/>
      <c r="G69" s="328"/>
      <c r="H69" s="328"/>
      <c r="I69" s="328"/>
      <c r="J69" s="328"/>
      <c r="K69" s="328"/>
      <c r="L69" s="328"/>
      <c r="M69" s="328"/>
      <c r="N69" s="328"/>
      <c r="O69" s="328"/>
      <c r="P69" s="328"/>
      <c r="Q69" s="328"/>
      <c r="R69" s="328"/>
      <c r="S69" s="328"/>
      <c r="T69" s="328"/>
      <c r="U69" s="328"/>
      <c r="V69" s="328"/>
      <c r="W69" s="328"/>
      <c r="X69" s="328"/>
      <c r="Y69" s="328"/>
      <c r="Z69" s="328"/>
      <c r="AA69" s="328"/>
      <c r="AB69" s="328"/>
      <c r="AC69" s="328"/>
      <c r="AD69" s="328"/>
      <c r="AE69" s="328"/>
      <c r="AF69" s="328"/>
      <c r="AG69" s="328"/>
      <c r="AH69" s="328"/>
      <c r="AI69" s="328"/>
      <c r="AJ69" s="328"/>
      <c r="AK69" s="328"/>
      <c r="AL69" s="328"/>
      <c r="AM69" s="102"/>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row>
    <row r="70" spans="1:65" ht="55.5" customHeight="1" x14ac:dyDescent="0.25">
      <c r="A70" s="508" t="s">
        <v>901</v>
      </c>
      <c r="B70" s="508"/>
      <c r="C70" s="508"/>
      <c r="D70" s="508"/>
      <c r="E70" s="508"/>
      <c r="F70" s="508"/>
      <c r="G70" s="508"/>
      <c r="H70" s="508"/>
      <c r="I70" s="508"/>
      <c r="J70" s="508"/>
      <c r="K70" s="508"/>
      <c r="L70" s="508"/>
      <c r="M70" s="508"/>
      <c r="N70" s="508"/>
      <c r="O70" s="508"/>
      <c r="P70" s="508"/>
      <c r="Q70" s="508"/>
      <c r="R70" s="508"/>
      <c r="S70" s="508"/>
      <c r="T70" s="508"/>
      <c r="U70" s="508"/>
      <c r="V70" s="508"/>
      <c r="W70" s="508"/>
      <c r="X70" s="508"/>
      <c r="Y70" s="508"/>
      <c r="Z70" s="508"/>
      <c r="AA70" s="508"/>
      <c r="AB70" s="508"/>
      <c r="AC70" s="508"/>
      <c r="AD70" s="508"/>
      <c r="AE70" s="508"/>
      <c r="AF70" s="508"/>
      <c r="AG70" s="508"/>
      <c r="AH70" s="508"/>
      <c r="AI70" s="508"/>
      <c r="AJ70" s="508"/>
      <c r="AK70" s="508"/>
      <c r="AL70" s="508"/>
    </row>
    <row r="71" spans="1:65" x14ac:dyDescent="0.25">
      <c r="A71" s="415"/>
      <c r="B71" s="416"/>
      <c r="C71" s="416"/>
      <c r="D71" s="416"/>
      <c r="E71" s="416"/>
      <c r="F71" s="416"/>
      <c r="G71" s="416"/>
      <c r="H71" s="416"/>
      <c r="I71" s="416"/>
      <c r="J71" s="416"/>
      <c r="K71" s="416"/>
      <c r="L71" s="416"/>
      <c r="M71" s="416"/>
      <c r="N71" s="416"/>
      <c r="O71" s="416"/>
      <c r="P71" s="416"/>
      <c r="Q71" s="416"/>
      <c r="R71" s="416"/>
      <c r="S71" s="416"/>
      <c r="T71" s="416"/>
      <c r="U71" s="416"/>
      <c r="V71" s="416"/>
      <c r="W71" s="416"/>
      <c r="X71" s="416"/>
      <c r="Y71" s="416"/>
      <c r="Z71" s="416"/>
      <c r="AA71" s="416"/>
      <c r="AB71" s="416"/>
      <c r="AC71" s="416"/>
      <c r="AD71" s="416"/>
      <c r="AE71" s="416"/>
      <c r="AF71" s="416"/>
      <c r="AG71" s="416"/>
      <c r="AH71" s="416"/>
      <c r="AI71" s="416"/>
      <c r="AJ71" s="416"/>
      <c r="AK71" s="416"/>
      <c r="AL71" s="417"/>
    </row>
    <row r="72" spans="1:65" ht="28.95" customHeight="1" x14ac:dyDescent="0.25">
      <c r="A72" s="584" t="s">
        <v>1064</v>
      </c>
      <c r="B72" s="584"/>
      <c r="C72" s="584"/>
      <c r="D72" s="584"/>
      <c r="E72" s="584"/>
      <c r="F72" s="584"/>
      <c r="G72" s="584"/>
      <c r="H72" s="584"/>
      <c r="I72" s="584"/>
      <c r="J72" s="584"/>
      <c r="K72" s="584"/>
      <c r="L72" s="584"/>
      <c r="M72" s="584"/>
      <c r="N72" s="584"/>
      <c r="O72" s="584"/>
      <c r="P72" s="584"/>
      <c r="Q72" s="584"/>
      <c r="R72" s="584"/>
      <c r="S72" s="584"/>
      <c r="T72" s="584"/>
      <c r="U72" s="584"/>
      <c r="V72" s="584"/>
      <c r="W72" s="584"/>
      <c r="X72" s="584"/>
      <c r="Y72" s="584"/>
      <c r="Z72" s="584"/>
      <c r="AA72" s="584"/>
      <c r="AB72" s="584"/>
      <c r="AC72" s="584"/>
      <c r="AD72" s="584"/>
      <c r="AE72" s="584"/>
      <c r="AF72" s="584"/>
      <c r="AG72" s="584"/>
      <c r="AH72" s="584"/>
      <c r="AI72" s="584"/>
      <c r="AJ72" s="584"/>
      <c r="AK72" s="584"/>
      <c r="AL72" s="584"/>
    </row>
    <row r="73" spans="1:65" x14ac:dyDescent="0.25">
      <c r="A73" s="355">
        <f>IF(A96=Słowniki!X3,0,0)</f>
        <v>0</v>
      </c>
      <c r="B73" s="355"/>
      <c r="C73" s="355"/>
      <c r="D73" s="355"/>
      <c r="E73" s="355"/>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c r="AL73" s="355"/>
    </row>
    <row r="74" spans="1:65" x14ac:dyDescent="0.25">
      <c r="A74" s="376" t="s">
        <v>900</v>
      </c>
      <c r="B74" s="376"/>
      <c r="C74" s="376"/>
      <c r="D74" s="376"/>
      <c r="E74" s="376"/>
      <c r="F74" s="376"/>
      <c r="G74" s="376"/>
      <c r="H74" s="376"/>
      <c r="I74" s="376"/>
      <c r="J74" s="376"/>
      <c r="K74" s="376"/>
      <c r="L74" s="376"/>
      <c r="M74" s="376"/>
      <c r="N74" s="376"/>
      <c r="O74" s="376"/>
      <c r="P74" s="376"/>
      <c r="Q74" s="376"/>
      <c r="R74" s="376"/>
      <c r="S74" s="376"/>
      <c r="T74" s="376"/>
      <c r="U74" s="376"/>
      <c r="V74" s="376"/>
      <c r="W74" s="376"/>
      <c r="X74" s="376"/>
      <c r="Y74" s="376"/>
      <c r="Z74" s="376"/>
      <c r="AA74" s="376"/>
      <c r="AB74" s="376"/>
      <c r="AC74" s="376"/>
      <c r="AD74" s="376"/>
      <c r="AE74" s="376"/>
      <c r="AF74" s="376"/>
      <c r="AG74" s="376"/>
      <c r="AH74" s="376"/>
      <c r="AI74" s="376"/>
      <c r="AJ74" s="376"/>
      <c r="AK74" s="376"/>
      <c r="AL74" s="376"/>
    </row>
    <row r="75" spans="1:65" x14ac:dyDescent="0.25">
      <c r="A75" s="355"/>
      <c r="B75" s="355"/>
      <c r="C75" s="355"/>
      <c r="D75" s="355"/>
      <c r="E75" s="355"/>
      <c r="F75" s="355"/>
      <c r="G75" s="355"/>
      <c r="H75" s="355"/>
      <c r="I75" s="355"/>
      <c r="J75" s="355"/>
      <c r="K75" s="355"/>
      <c r="L75" s="355"/>
      <c r="M75" s="355"/>
      <c r="N75" s="355"/>
      <c r="O75" s="355"/>
      <c r="P75" s="355"/>
      <c r="Q75" s="355"/>
      <c r="R75" s="355"/>
      <c r="S75" s="355"/>
      <c r="T75" s="355"/>
      <c r="U75" s="355"/>
      <c r="V75" s="355"/>
      <c r="W75" s="355"/>
      <c r="X75" s="355"/>
      <c r="Y75" s="355"/>
      <c r="Z75" s="355"/>
      <c r="AA75" s="355"/>
      <c r="AB75" s="355"/>
      <c r="AC75" s="355"/>
      <c r="AD75" s="355"/>
      <c r="AE75" s="355"/>
      <c r="AF75" s="355"/>
      <c r="AG75" s="355"/>
      <c r="AH75" s="355"/>
      <c r="AI75" s="355"/>
      <c r="AJ75" s="355"/>
      <c r="AK75" s="355"/>
      <c r="AL75" s="355"/>
    </row>
    <row r="76" spans="1:65" ht="14.7" customHeight="1" x14ac:dyDescent="0.25">
      <c r="A76" s="149" t="s">
        <v>91</v>
      </c>
      <c r="B76" s="351" t="s">
        <v>155</v>
      </c>
      <c r="C76" s="351"/>
      <c r="D76" s="351"/>
      <c r="E76" s="351"/>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c r="AH76" s="351"/>
      <c r="AI76" s="351"/>
      <c r="AJ76" s="351"/>
      <c r="AK76" s="351"/>
      <c r="AL76" s="351"/>
      <c r="AM76" s="335" t="s">
        <v>910</v>
      </c>
      <c r="AN76" s="335"/>
      <c r="AO76" s="335"/>
      <c r="AP76" s="335"/>
      <c r="AQ76" s="335"/>
      <c r="AR76" s="335"/>
      <c r="AS76" s="335"/>
      <c r="AT76" s="335"/>
      <c r="AU76" s="335"/>
    </row>
    <row r="77" spans="1:65" ht="44.7" customHeight="1" x14ac:dyDescent="0.25">
      <c r="A77" s="508" t="s">
        <v>911</v>
      </c>
      <c r="B77" s="508"/>
      <c r="C77" s="508"/>
      <c r="D77" s="508"/>
      <c r="E77" s="508"/>
      <c r="F77" s="508"/>
      <c r="G77" s="508"/>
      <c r="H77" s="508"/>
      <c r="I77" s="508"/>
      <c r="J77" s="508"/>
      <c r="K77" s="508"/>
      <c r="L77" s="508"/>
      <c r="M77" s="508"/>
      <c r="N77" s="508"/>
      <c r="O77" s="508"/>
      <c r="P77" s="508"/>
      <c r="Q77" s="508"/>
      <c r="R77" s="508"/>
      <c r="S77" s="508"/>
      <c r="T77" s="508"/>
      <c r="U77" s="508"/>
      <c r="V77" s="508"/>
      <c r="W77" s="508"/>
      <c r="X77" s="508"/>
      <c r="Y77" s="508"/>
      <c r="Z77" s="508"/>
      <c r="AA77" s="508"/>
      <c r="AB77" s="508"/>
      <c r="AC77" s="508"/>
      <c r="AD77" s="508"/>
      <c r="AE77" s="508"/>
      <c r="AF77" s="508"/>
      <c r="AG77" s="508"/>
      <c r="AH77" s="508"/>
      <c r="AI77" s="508"/>
      <c r="AJ77" s="508"/>
      <c r="AK77" s="508"/>
      <c r="AL77" s="508"/>
      <c r="AM77" s="335"/>
      <c r="AN77" s="335"/>
      <c r="AO77" s="335"/>
      <c r="AP77" s="335"/>
      <c r="AQ77" s="335"/>
      <c r="AR77" s="335"/>
      <c r="AS77" s="335"/>
      <c r="AT77" s="335"/>
      <c r="AU77" s="335"/>
    </row>
    <row r="78" spans="1:65" ht="126.45" customHeight="1" x14ac:dyDescent="0.25">
      <c r="A78" s="219" t="s">
        <v>127</v>
      </c>
      <c r="B78" s="689" t="s">
        <v>822</v>
      </c>
      <c r="C78" s="689"/>
      <c r="D78" s="689"/>
      <c r="E78" s="689"/>
      <c r="F78" s="689"/>
      <c r="G78" s="689"/>
      <c r="H78" s="689"/>
      <c r="I78" s="689"/>
      <c r="J78" s="689"/>
      <c r="K78" s="689" t="s">
        <v>825</v>
      </c>
      <c r="L78" s="689"/>
      <c r="M78" s="689"/>
      <c r="N78" s="689"/>
      <c r="O78" s="689"/>
      <c r="P78" s="689"/>
      <c r="Q78" s="689" t="s">
        <v>834</v>
      </c>
      <c r="R78" s="689"/>
      <c r="S78" s="689"/>
      <c r="T78" s="689"/>
      <c r="U78" s="689"/>
      <c r="V78" s="689"/>
      <c r="W78" s="689"/>
      <c r="X78" s="494" t="s">
        <v>836</v>
      </c>
      <c r="Y78" s="495"/>
      <c r="Z78" s="495"/>
      <c r="AA78" s="495"/>
      <c r="AB78" s="495"/>
      <c r="AC78" s="495"/>
      <c r="AD78" s="495"/>
      <c r="AE78" s="496"/>
      <c r="AF78" s="697" t="s">
        <v>835</v>
      </c>
      <c r="AG78" s="697"/>
      <c r="AH78" s="697"/>
      <c r="AI78" s="697"/>
      <c r="AJ78" s="697"/>
      <c r="AK78" s="697" t="s">
        <v>832</v>
      </c>
      <c r="AL78" s="697"/>
      <c r="AM78" s="66"/>
      <c r="AN78" s="66"/>
      <c r="AO78" s="66"/>
      <c r="AP78" s="66"/>
      <c r="AQ78" s="66"/>
      <c r="AR78" s="66"/>
      <c r="AS78" s="66"/>
      <c r="AT78" s="66"/>
    </row>
    <row r="79" spans="1:65" ht="14.7" customHeight="1" x14ac:dyDescent="0.3">
      <c r="A79" s="202">
        <v>1</v>
      </c>
      <c r="B79" s="477"/>
      <c r="C79" s="478"/>
      <c r="D79" s="478"/>
      <c r="E79" s="478"/>
      <c r="F79" s="478"/>
      <c r="G79" s="478"/>
      <c r="H79" s="478"/>
      <c r="I79" s="478"/>
      <c r="J79" s="479"/>
      <c r="K79" s="480"/>
      <c r="L79" s="481"/>
      <c r="M79" s="481"/>
      <c r="N79" s="481"/>
      <c r="O79" s="481"/>
      <c r="P79" s="482"/>
      <c r="Q79" s="680"/>
      <c r="R79" s="681"/>
      <c r="S79" s="681"/>
      <c r="T79" s="681"/>
      <c r="U79" s="681"/>
      <c r="V79" s="681"/>
      <c r="W79" s="688"/>
      <c r="X79" s="685"/>
      <c r="Y79" s="686"/>
      <c r="Z79" s="686"/>
      <c r="AA79" s="686"/>
      <c r="AB79" s="686"/>
      <c r="AC79" s="686"/>
      <c r="AD79" s="686"/>
      <c r="AE79" s="687"/>
      <c r="AF79" s="680"/>
      <c r="AG79" s="681"/>
      <c r="AH79" s="681"/>
      <c r="AI79" s="681"/>
      <c r="AJ79" s="681"/>
      <c r="AK79" s="680"/>
      <c r="AL79" s="681"/>
      <c r="AM79" s="66"/>
      <c r="AN79" s="66"/>
      <c r="AO79" s="66"/>
      <c r="AP79" s="66"/>
      <c r="AQ79" s="66"/>
      <c r="AR79" s="66"/>
      <c r="AS79" s="66"/>
      <c r="AT79" s="66"/>
    </row>
    <row r="80" spans="1:65" ht="14.7" customHeight="1" x14ac:dyDescent="0.3">
      <c r="A80" s="202">
        <v>2</v>
      </c>
      <c r="B80" s="477"/>
      <c r="C80" s="478"/>
      <c r="D80" s="478"/>
      <c r="E80" s="478"/>
      <c r="F80" s="478"/>
      <c r="G80" s="478"/>
      <c r="H80" s="478"/>
      <c r="I80" s="478"/>
      <c r="J80" s="479"/>
      <c r="K80" s="480"/>
      <c r="L80" s="481"/>
      <c r="M80" s="481"/>
      <c r="N80" s="481"/>
      <c r="O80" s="481"/>
      <c r="P80" s="482"/>
      <c r="Q80" s="680"/>
      <c r="R80" s="681"/>
      <c r="S80" s="681"/>
      <c r="T80" s="681"/>
      <c r="U80" s="681"/>
      <c r="V80" s="681"/>
      <c r="W80" s="688"/>
      <c r="X80" s="685"/>
      <c r="Y80" s="686"/>
      <c r="Z80" s="686"/>
      <c r="AA80" s="686"/>
      <c r="AB80" s="686"/>
      <c r="AC80" s="686"/>
      <c r="AD80" s="686"/>
      <c r="AE80" s="687"/>
      <c r="AF80" s="680"/>
      <c r="AG80" s="681"/>
      <c r="AH80" s="681"/>
      <c r="AI80" s="681"/>
      <c r="AJ80" s="681"/>
      <c r="AK80" s="680"/>
      <c r="AL80" s="681"/>
      <c r="AM80" s="66"/>
      <c r="AN80" s="66"/>
      <c r="AO80" s="66"/>
      <c r="AP80" s="66"/>
      <c r="AQ80" s="66"/>
      <c r="AR80" s="66"/>
      <c r="AS80" s="66"/>
      <c r="AT80" s="66"/>
    </row>
    <row r="81" spans="1:46" x14ac:dyDescent="0.3">
      <c r="A81" s="202">
        <v>3</v>
      </c>
      <c r="B81" s="477"/>
      <c r="C81" s="478"/>
      <c r="D81" s="478"/>
      <c r="E81" s="478"/>
      <c r="F81" s="478"/>
      <c r="G81" s="478"/>
      <c r="H81" s="478"/>
      <c r="I81" s="478"/>
      <c r="J81" s="479"/>
      <c r="K81" s="480"/>
      <c r="L81" s="481"/>
      <c r="M81" s="481"/>
      <c r="N81" s="481"/>
      <c r="O81" s="481"/>
      <c r="P81" s="482"/>
      <c r="Q81" s="680"/>
      <c r="R81" s="681"/>
      <c r="S81" s="681"/>
      <c r="T81" s="681"/>
      <c r="U81" s="681"/>
      <c r="V81" s="681"/>
      <c r="W81" s="688"/>
      <c r="X81" s="685"/>
      <c r="Y81" s="686"/>
      <c r="Z81" s="686"/>
      <c r="AA81" s="686"/>
      <c r="AB81" s="686"/>
      <c r="AC81" s="686"/>
      <c r="AD81" s="686"/>
      <c r="AE81" s="687"/>
      <c r="AF81" s="680"/>
      <c r="AG81" s="681"/>
      <c r="AH81" s="681"/>
      <c r="AI81" s="681"/>
      <c r="AJ81" s="681"/>
      <c r="AK81" s="680"/>
      <c r="AL81" s="681"/>
      <c r="AM81" s="66"/>
      <c r="AN81" s="66"/>
      <c r="AO81" s="66"/>
      <c r="AP81" s="66"/>
      <c r="AQ81" s="66"/>
      <c r="AR81" s="66"/>
      <c r="AS81" s="66"/>
      <c r="AT81" s="66"/>
    </row>
    <row r="82" spans="1:46" x14ac:dyDescent="0.3">
      <c r="A82" s="202">
        <v>4</v>
      </c>
      <c r="B82" s="477"/>
      <c r="C82" s="478"/>
      <c r="D82" s="478"/>
      <c r="E82" s="478"/>
      <c r="F82" s="478"/>
      <c r="G82" s="478"/>
      <c r="H82" s="478"/>
      <c r="I82" s="478"/>
      <c r="J82" s="479"/>
      <c r="K82" s="480"/>
      <c r="L82" s="481"/>
      <c r="M82" s="481"/>
      <c r="N82" s="481"/>
      <c r="O82" s="481"/>
      <c r="P82" s="482"/>
      <c r="Q82" s="680"/>
      <c r="R82" s="681"/>
      <c r="S82" s="681"/>
      <c r="T82" s="681"/>
      <c r="U82" s="681"/>
      <c r="V82" s="681"/>
      <c r="W82" s="688"/>
      <c r="X82" s="685"/>
      <c r="Y82" s="686"/>
      <c r="Z82" s="686"/>
      <c r="AA82" s="686"/>
      <c r="AB82" s="686"/>
      <c r="AC82" s="686"/>
      <c r="AD82" s="686"/>
      <c r="AE82" s="687"/>
      <c r="AF82" s="680"/>
      <c r="AG82" s="681"/>
      <c r="AH82" s="681"/>
      <c r="AI82" s="681"/>
      <c r="AJ82" s="681"/>
      <c r="AK82" s="680"/>
      <c r="AL82" s="681"/>
      <c r="AM82" s="66"/>
      <c r="AN82" s="66"/>
      <c r="AO82" s="66"/>
      <c r="AP82" s="66"/>
      <c r="AQ82" s="66"/>
      <c r="AR82" s="66"/>
      <c r="AS82" s="66"/>
      <c r="AT82" s="66"/>
    </row>
    <row r="83" spans="1:46" x14ac:dyDescent="0.3">
      <c r="A83" s="202">
        <v>5</v>
      </c>
      <c r="B83" s="477"/>
      <c r="C83" s="478"/>
      <c r="D83" s="478"/>
      <c r="E83" s="478"/>
      <c r="F83" s="478"/>
      <c r="G83" s="478"/>
      <c r="H83" s="478"/>
      <c r="I83" s="478"/>
      <c r="J83" s="479"/>
      <c r="K83" s="480"/>
      <c r="L83" s="481"/>
      <c r="M83" s="481"/>
      <c r="N83" s="481"/>
      <c r="O83" s="481"/>
      <c r="P83" s="482"/>
      <c r="Q83" s="680"/>
      <c r="R83" s="681"/>
      <c r="S83" s="681"/>
      <c r="T83" s="681"/>
      <c r="U83" s="681"/>
      <c r="V83" s="681"/>
      <c r="W83" s="688"/>
      <c r="X83" s="685"/>
      <c r="Y83" s="686"/>
      <c r="Z83" s="686"/>
      <c r="AA83" s="686"/>
      <c r="AB83" s="686"/>
      <c r="AC83" s="686"/>
      <c r="AD83" s="686"/>
      <c r="AE83" s="687"/>
      <c r="AF83" s="680"/>
      <c r="AG83" s="681"/>
      <c r="AH83" s="681"/>
      <c r="AI83" s="681"/>
      <c r="AJ83" s="681"/>
      <c r="AK83" s="680"/>
      <c r="AL83" s="681"/>
      <c r="AM83" s="66"/>
      <c r="AN83" s="66"/>
      <c r="AO83" s="66"/>
      <c r="AP83" s="66"/>
      <c r="AQ83" s="66"/>
      <c r="AR83" s="66"/>
      <c r="AS83" s="66"/>
      <c r="AT83" s="66"/>
    </row>
    <row r="84" spans="1:46" x14ac:dyDescent="0.3">
      <c r="A84" s="202">
        <v>6</v>
      </c>
      <c r="B84" s="477"/>
      <c r="C84" s="478"/>
      <c r="D84" s="478"/>
      <c r="E84" s="478"/>
      <c r="F84" s="478"/>
      <c r="G84" s="478"/>
      <c r="H84" s="478"/>
      <c r="I84" s="478"/>
      <c r="J84" s="479"/>
      <c r="K84" s="480"/>
      <c r="L84" s="481"/>
      <c r="M84" s="481"/>
      <c r="N84" s="481"/>
      <c r="O84" s="481"/>
      <c r="P84" s="482"/>
      <c r="Q84" s="680"/>
      <c r="R84" s="681"/>
      <c r="S84" s="681"/>
      <c r="T84" s="681"/>
      <c r="U84" s="681"/>
      <c r="V84" s="681"/>
      <c r="W84" s="688"/>
      <c r="X84" s="685"/>
      <c r="Y84" s="686"/>
      <c r="Z84" s="686"/>
      <c r="AA84" s="686"/>
      <c r="AB84" s="686"/>
      <c r="AC84" s="686"/>
      <c r="AD84" s="686"/>
      <c r="AE84" s="687"/>
      <c r="AF84" s="680"/>
      <c r="AG84" s="681"/>
      <c r="AH84" s="681"/>
      <c r="AI84" s="681"/>
      <c r="AJ84" s="681"/>
      <c r="AK84" s="680"/>
      <c r="AL84" s="681"/>
      <c r="AM84" s="66"/>
      <c r="AN84" s="66"/>
      <c r="AO84" s="66"/>
      <c r="AP84" s="66"/>
      <c r="AQ84" s="66"/>
      <c r="AR84" s="66"/>
      <c r="AS84" s="66"/>
      <c r="AT84" s="66"/>
    </row>
    <row r="85" spans="1:46" x14ac:dyDescent="0.3">
      <c r="A85" s="202">
        <v>7</v>
      </c>
      <c r="B85" s="477"/>
      <c r="C85" s="478"/>
      <c r="D85" s="478"/>
      <c r="E85" s="478"/>
      <c r="F85" s="478"/>
      <c r="G85" s="478"/>
      <c r="H85" s="478"/>
      <c r="I85" s="478"/>
      <c r="J85" s="479"/>
      <c r="K85" s="480"/>
      <c r="L85" s="481"/>
      <c r="M85" s="481"/>
      <c r="N85" s="481"/>
      <c r="O85" s="481"/>
      <c r="P85" s="482"/>
      <c r="Q85" s="680"/>
      <c r="R85" s="681"/>
      <c r="S85" s="681"/>
      <c r="T85" s="681"/>
      <c r="U85" s="681"/>
      <c r="V85" s="681"/>
      <c r="W85" s="688"/>
      <c r="X85" s="685"/>
      <c r="Y85" s="686"/>
      <c r="Z85" s="686"/>
      <c r="AA85" s="686"/>
      <c r="AB85" s="686"/>
      <c r="AC85" s="686"/>
      <c r="AD85" s="686"/>
      <c r="AE85" s="687"/>
      <c r="AF85" s="680"/>
      <c r="AG85" s="681"/>
      <c r="AH85" s="681"/>
      <c r="AI85" s="681"/>
      <c r="AJ85" s="681"/>
      <c r="AK85" s="680"/>
      <c r="AL85" s="681"/>
      <c r="AM85" s="66"/>
      <c r="AN85" s="66"/>
      <c r="AO85" s="66"/>
      <c r="AP85" s="66"/>
      <c r="AQ85" s="66"/>
      <c r="AR85" s="66"/>
      <c r="AS85" s="66"/>
      <c r="AT85" s="66"/>
    </row>
    <row r="86" spans="1:46" x14ac:dyDescent="0.3">
      <c r="A86" s="202">
        <v>8</v>
      </c>
      <c r="B86" s="477"/>
      <c r="C86" s="478"/>
      <c r="D86" s="478"/>
      <c r="E86" s="478"/>
      <c r="F86" s="478"/>
      <c r="G86" s="478"/>
      <c r="H86" s="478"/>
      <c r="I86" s="478"/>
      <c r="J86" s="479"/>
      <c r="K86" s="480"/>
      <c r="L86" s="481"/>
      <c r="M86" s="481"/>
      <c r="N86" s="481"/>
      <c r="O86" s="481"/>
      <c r="P86" s="482"/>
      <c r="Q86" s="680"/>
      <c r="R86" s="681"/>
      <c r="S86" s="681"/>
      <c r="T86" s="681"/>
      <c r="U86" s="681"/>
      <c r="V86" s="681"/>
      <c r="W86" s="688"/>
      <c r="X86" s="685"/>
      <c r="Y86" s="686"/>
      <c r="Z86" s="686"/>
      <c r="AA86" s="686"/>
      <c r="AB86" s="686"/>
      <c r="AC86" s="686"/>
      <c r="AD86" s="686"/>
      <c r="AE86" s="687"/>
      <c r="AF86" s="680"/>
      <c r="AG86" s="681"/>
      <c r="AH86" s="681"/>
      <c r="AI86" s="681"/>
      <c r="AJ86" s="681"/>
      <c r="AK86" s="680"/>
      <c r="AL86" s="681"/>
      <c r="AM86" s="66"/>
      <c r="AN86" s="66"/>
      <c r="AO86" s="66"/>
      <c r="AP86" s="66"/>
      <c r="AQ86" s="66"/>
      <c r="AR86" s="66"/>
      <c r="AS86" s="66"/>
      <c r="AT86" s="66"/>
    </row>
    <row r="87" spans="1:46" x14ac:dyDescent="0.3">
      <c r="A87" s="202">
        <v>9</v>
      </c>
      <c r="B87" s="477"/>
      <c r="C87" s="478"/>
      <c r="D87" s="478"/>
      <c r="E87" s="478"/>
      <c r="F87" s="478"/>
      <c r="G87" s="478"/>
      <c r="H87" s="478"/>
      <c r="I87" s="478"/>
      <c r="J87" s="479"/>
      <c r="K87" s="480"/>
      <c r="L87" s="481"/>
      <c r="M87" s="481"/>
      <c r="N87" s="481"/>
      <c r="O87" s="481"/>
      <c r="P87" s="482"/>
      <c r="Q87" s="680"/>
      <c r="R87" s="681"/>
      <c r="S87" s="681"/>
      <c r="T87" s="681"/>
      <c r="U87" s="681"/>
      <c r="V87" s="681"/>
      <c r="W87" s="688"/>
      <c r="X87" s="685"/>
      <c r="Y87" s="686"/>
      <c r="Z87" s="686"/>
      <c r="AA87" s="686"/>
      <c r="AB87" s="686"/>
      <c r="AC87" s="686"/>
      <c r="AD87" s="686"/>
      <c r="AE87" s="687"/>
      <c r="AF87" s="680"/>
      <c r="AG87" s="681"/>
      <c r="AH87" s="681"/>
      <c r="AI87" s="681"/>
      <c r="AJ87" s="681"/>
      <c r="AK87" s="680"/>
      <c r="AL87" s="681"/>
      <c r="AM87" s="66"/>
      <c r="AN87" s="66"/>
      <c r="AO87" s="66"/>
      <c r="AP87" s="66"/>
      <c r="AQ87" s="66"/>
      <c r="AR87" s="66"/>
      <c r="AS87" s="66"/>
      <c r="AT87" s="66"/>
    </row>
    <row r="88" spans="1:46" x14ac:dyDescent="0.3">
      <c r="A88" s="202">
        <v>10</v>
      </c>
      <c r="B88" s="477"/>
      <c r="C88" s="478"/>
      <c r="D88" s="478"/>
      <c r="E88" s="478"/>
      <c r="F88" s="478"/>
      <c r="G88" s="478"/>
      <c r="H88" s="478"/>
      <c r="I88" s="478"/>
      <c r="J88" s="479"/>
      <c r="K88" s="480"/>
      <c r="L88" s="481"/>
      <c r="M88" s="481"/>
      <c r="N88" s="481"/>
      <c r="O88" s="481"/>
      <c r="P88" s="482"/>
      <c r="Q88" s="680"/>
      <c r="R88" s="681"/>
      <c r="S88" s="681"/>
      <c r="T88" s="681"/>
      <c r="U88" s="681"/>
      <c r="V88" s="681"/>
      <c r="W88" s="688"/>
      <c r="X88" s="685"/>
      <c r="Y88" s="686"/>
      <c r="Z88" s="686"/>
      <c r="AA88" s="686"/>
      <c r="AB88" s="686"/>
      <c r="AC88" s="686"/>
      <c r="AD88" s="686"/>
      <c r="AE88" s="687"/>
      <c r="AF88" s="680"/>
      <c r="AG88" s="681"/>
      <c r="AH88" s="681"/>
      <c r="AI88" s="681"/>
      <c r="AJ88" s="681"/>
      <c r="AK88" s="680"/>
      <c r="AL88" s="681"/>
      <c r="AM88" s="66"/>
      <c r="AN88" s="66"/>
      <c r="AO88" s="66"/>
      <c r="AP88" s="66"/>
      <c r="AQ88" s="66"/>
      <c r="AR88" s="66"/>
      <c r="AS88" s="66"/>
      <c r="AT88" s="66"/>
    </row>
    <row r="89" spans="1:46" x14ac:dyDescent="0.3">
      <c r="A89" s="202">
        <v>11</v>
      </c>
      <c r="B89" s="477"/>
      <c r="C89" s="478"/>
      <c r="D89" s="478"/>
      <c r="E89" s="478"/>
      <c r="F89" s="478"/>
      <c r="G89" s="478"/>
      <c r="H89" s="478"/>
      <c r="I89" s="478"/>
      <c r="J89" s="479"/>
      <c r="K89" s="480"/>
      <c r="L89" s="481"/>
      <c r="M89" s="481"/>
      <c r="N89" s="481"/>
      <c r="O89" s="481"/>
      <c r="P89" s="482"/>
      <c r="Q89" s="680"/>
      <c r="R89" s="681"/>
      <c r="S89" s="681"/>
      <c r="T89" s="681"/>
      <c r="U89" s="681"/>
      <c r="V89" s="681"/>
      <c r="W89" s="688"/>
      <c r="X89" s="685"/>
      <c r="Y89" s="686"/>
      <c r="Z89" s="686"/>
      <c r="AA89" s="686"/>
      <c r="AB89" s="686"/>
      <c r="AC89" s="686"/>
      <c r="AD89" s="686"/>
      <c r="AE89" s="687"/>
      <c r="AF89" s="680"/>
      <c r="AG89" s="681"/>
      <c r="AH89" s="681"/>
      <c r="AI89" s="681"/>
      <c r="AJ89" s="681"/>
      <c r="AK89" s="680"/>
      <c r="AL89" s="681"/>
      <c r="AM89" s="66"/>
      <c r="AN89" s="66"/>
      <c r="AO89" s="66"/>
      <c r="AP89" s="66"/>
      <c r="AQ89" s="66"/>
      <c r="AR89" s="66"/>
      <c r="AS89" s="66"/>
      <c r="AT89" s="66"/>
    </row>
    <row r="90" spans="1:46" x14ac:dyDescent="0.3">
      <c r="A90" s="202">
        <v>12</v>
      </c>
      <c r="B90" s="477"/>
      <c r="C90" s="478"/>
      <c r="D90" s="478"/>
      <c r="E90" s="478"/>
      <c r="F90" s="478"/>
      <c r="G90" s="478"/>
      <c r="H90" s="478"/>
      <c r="I90" s="478"/>
      <c r="J90" s="479"/>
      <c r="K90" s="480"/>
      <c r="L90" s="481"/>
      <c r="M90" s="481"/>
      <c r="N90" s="481"/>
      <c r="O90" s="481"/>
      <c r="P90" s="482"/>
      <c r="Q90" s="680"/>
      <c r="R90" s="681"/>
      <c r="S90" s="681"/>
      <c r="T90" s="681"/>
      <c r="U90" s="681"/>
      <c r="V90" s="681"/>
      <c r="W90" s="688"/>
      <c r="X90" s="685"/>
      <c r="Y90" s="686"/>
      <c r="Z90" s="686"/>
      <c r="AA90" s="686"/>
      <c r="AB90" s="686"/>
      <c r="AC90" s="686"/>
      <c r="AD90" s="686"/>
      <c r="AE90" s="687"/>
      <c r="AF90" s="680"/>
      <c r="AG90" s="681"/>
      <c r="AH90" s="681"/>
      <c r="AI90" s="681"/>
      <c r="AJ90" s="681"/>
      <c r="AK90" s="680"/>
      <c r="AL90" s="681"/>
      <c r="AM90" s="66"/>
      <c r="AN90" s="66"/>
      <c r="AO90" s="66"/>
      <c r="AP90" s="66"/>
      <c r="AQ90" s="66"/>
      <c r="AR90" s="66"/>
      <c r="AS90" s="66"/>
      <c r="AT90" s="66"/>
    </row>
    <row r="91" spans="1:46" x14ac:dyDescent="0.3">
      <c r="A91" s="202">
        <v>13</v>
      </c>
      <c r="B91" s="477"/>
      <c r="C91" s="478"/>
      <c r="D91" s="478"/>
      <c r="E91" s="478"/>
      <c r="F91" s="478"/>
      <c r="G91" s="478"/>
      <c r="H91" s="478"/>
      <c r="I91" s="478"/>
      <c r="J91" s="479"/>
      <c r="K91" s="480"/>
      <c r="L91" s="481"/>
      <c r="M91" s="481"/>
      <c r="N91" s="481"/>
      <c r="O91" s="481"/>
      <c r="P91" s="482"/>
      <c r="Q91" s="680"/>
      <c r="R91" s="681"/>
      <c r="S91" s="681"/>
      <c r="T91" s="681"/>
      <c r="U91" s="681"/>
      <c r="V91" s="681"/>
      <c r="W91" s="688"/>
      <c r="X91" s="685"/>
      <c r="Y91" s="686"/>
      <c r="Z91" s="686"/>
      <c r="AA91" s="686"/>
      <c r="AB91" s="686"/>
      <c r="AC91" s="686"/>
      <c r="AD91" s="686"/>
      <c r="AE91" s="687"/>
      <c r="AF91" s="680"/>
      <c r="AG91" s="681"/>
      <c r="AH91" s="681"/>
      <c r="AI91" s="681"/>
      <c r="AJ91" s="681"/>
      <c r="AK91" s="680"/>
      <c r="AL91" s="681"/>
      <c r="AM91" s="66"/>
      <c r="AN91" s="66"/>
      <c r="AO91" s="66"/>
      <c r="AP91" s="66"/>
      <c r="AQ91" s="66"/>
      <c r="AR91" s="66"/>
      <c r="AS91" s="66"/>
      <c r="AT91" s="66"/>
    </row>
    <row r="92" spans="1:46" x14ac:dyDescent="0.3">
      <c r="A92" s="202">
        <v>14</v>
      </c>
      <c r="B92" s="477"/>
      <c r="C92" s="478"/>
      <c r="D92" s="478"/>
      <c r="E92" s="478"/>
      <c r="F92" s="478"/>
      <c r="G92" s="478"/>
      <c r="H92" s="478"/>
      <c r="I92" s="478"/>
      <c r="J92" s="479"/>
      <c r="K92" s="480"/>
      <c r="L92" s="481"/>
      <c r="M92" s="481"/>
      <c r="N92" s="481"/>
      <c r="O92" s="481"/>
      <c r="P92" s="482"/>
      <c r="Q92" s="680"/>
      <c r="R92" s="681"/>
      <c r="S92" s="681"/>
      <c r="T92" s="681"/>
      <c r="U92" s="681"/>
      <c r="V92" s="681"/>
      <c r="W92" s="688"/>
      <c r="X92" s="685"/>
      <c r="Y92" s="686"/>
      <c r="Z92" s="686"/>
      <c r="AA92" s="686"/>
      <c r="AB92" s="686"/>
      <c r="AC92" s="686"/>
      <c r="AD92" s="686"/>
      <c r="AE92" s="687"/>
      <c r="AF92" s="680"/>
      <c r="AG92" s="681"/>
      <c r="AH92" s="681"/>
      <c r="AI92" s="681"/>
      <c r="AJ92" s="681"/>
      <c r="AK92" s="680"/>
      <c r="AL92" s="681"/>
      <c r="AM92" s="66"/>
      <c r="AN92" s="66"/>
      <c r="AO92" s="66"/>
      <c r="AP92" s="66"/>
      <c r="AQ92" s="66"/>
      <c r="AR92" s="66"/>
      <c r="AS92" s="66"/>
      <c r="AT92" s="66"/>
    </row>
    <row r="93" spans="1:46" x14ac:dyDescent="0.3">
      <c r="A93" s="202">
        <v>15</v>
      </c>
      <c r="B93" s="477"/>
      <c r="C93" s="478"/>
      <c r="D93" s="478"/>
      <c r="E93" s="478"/>
      <c r="F93" s="478"/>
      <c r="G93" s="478"/>
      <c r="H93" s="478"/>
      <c r="I93" s="478"/>
      <c r="J93" s="479"/>
      <c r="K93" s="480"/>
      <c r="L93" s="481"/>
      <c r="M93" s="481"/>
      <c r="N93" s="481"/>
      <c r="O93" s="481"/>
      <c r="P93" s="482"/>
      <c r="Q93" s="680"/>
      <c r="R93" s="681"/>
      <c r="S93" s="681"/>
      <c r="T93" s="681"/>
      <c r="U93" s="681"/>
      <c r="V93" s="681"/>
      <c r="W93" s="688"/>
      <c r="X93" s="685"/>
      <c r="Y93" s="686"/>
      <c r="Z93" s="686"/>
      <c r="AA93" s="686"/>
      <c r="AB93" s="686"/>
      <c r="AC93" s="686"/>
      <c r="AD93" s="686"/>
      <c r="AE93" s="687"/>
      <c r="AF93" s="680"/>
      <c r="AG93" s="681"/>
      <c r="AH93" s="681"/>
      <c r="AI93" s="681"/>
      <c r="AJ93" s="681"/>
      <c r="AK93" s="680"/>
      <c r="AL93" s="681"/>
      <c r="AM93" s="66"/>
      <c r="AN93" s="66"/>
      <c r="AO93" s="66"/>
      <c r="AP93" s="66"/>
      <c r="AQ93" s="66"/>
      <c r="AR93" s="66"/>
      <c r="AS93" s="66"/>
      <c r="AT93" s="66"/>
    </row>
    <row r="94" spans="1:46" x14ac:dyDescent="0.3">
      <c r="A94" s="202">
        <v>16</v>
      </c>
      <c r="B94" s="477"/>
      <c r="C94" s="478"/>
      <c r="D94" s="478"/>
      <c r="E94" s="478"/>
      <c r="F94" s="478"/>
      <c r="G94" s="478"/>
      <c r="H94" s="478"/>
      <c r="I94" s="478"/>
      <c r="J94" s="479"/>
      <c r="K94" s="480"/>
      <c r="L94" s="481"/>
      <c r="M94" s="481"/>
      <c r="N94" s="481"/>
      <c r="O94" s="481"/>
      <c r="P94" s="482"/>
      <c r="Q94" s="680"/>
      <c r="R94" s="681"/>
      <c r="S94" s="681"/>
      <c r="T94" s="681"/>
      <c r="U94" s="681"/>
      <c r="V94" s="681"/>
      <c r="W94" s="688"/>
      <c r="X94" s="685"/>
      <c r="Y94" s="686"/>
      <c r="Z94" s="686"/>
      <c r="AA94" s="686"/>
      <c r="AB94" s="686"/>
      <c r="AC94" s="686"/>
      <c r="AD94" s="686"/>
      <c r="AE94" s="687"/>
      <c r="AF94" s="680"/>
      <c r="AG94" s="681"/>
      <c r="AH94" s="681"/>
      <c r="AI94" s="681"/>
      <c r="AJ94" s="681"/>
      <c r="AK94" s="680"/>
      <c r="AL94" s="681"/>
      <c r="AM94" s="66"/>
      <c r="AN94" s="66"/>
      <c r="AO94" s="66"/>
      <c r="AP94" s="66"/>
      <c r="AQ94" s="66"/>
      <c r="AR94" s="66"/>
      <c r="AS94" s="66"/>
      <c r="AT94" s="66"/>
    </row>
    <row r="95" spans="1:46" x14ac:dyDescent="0.3">
      <c r="A95" s="202">
        <v>17</v>
      </c>
      <c r="B95" s="477"/>
      <c r="C95" s="478"/>
      <c r="D95" s="478"/>
      <c r="E95" s="478"/>
      <c r="F95" s="478"/>
      <c r="G95" s="478"/>
      <c r="H95" s="478"/>
      <c r="I95" s="478"/>
      <c r="J95" s="479"/>
      <c r="K95" s="480"/>
      <c r="L95" s="481"/>
      <c r="M95" s="481"/>
      <c r="N95" s="481"/>
      <c r="O95" s="481"/>
      <c r="P95" s="482"/>
      <c r="Q95" s="680"/>
      <c r="R95" s="681"/>
      <c r="S95" s="681"/>
      <c r="T95" s="681"/>
      <c r="U95" s="681"/>
      <c r="V95" s="681"/>
      <c r="W95" s="688"/>
      <c r="X95" s="685"/>
      <c r="Y95" s="686"/>
      <c r="Z95" s="686"/>
      <c r="AA95" s="686"/>
      <c r="AB95" s="686"/>
      <c r="AC95" s="686"/>
      <c r="AD95" s="686"/>
      <c r="AE95" s="687"/>
      <c r="AF95" s="680"/>
      <c r="AG95" s="681"/>
      <c r="AH95" s="681"/>
      <c r="AI95" s="681"/>
      <c r="AJ95" s="681"/>
      <c r="AK95" s="680"/>
      <c r="AL95" s="681"/>
      <c r="AM95" s="66"/>
      <c r="AN95" s="66"/>
      <c r="AO95" s="66"/>
      <c r="AP95" s="66"/>
      <c r="AQ95" s="66"/>
      <c r="AR95" s="66"/>
      <c r="AS95" s="66"/>
      <c r="AT95" s="66"/>
    </row>
    <row r="96" spans="1:46" x14ac:dyDescent="0.3">
      <c r="A96" s="202">
        <v>18</v>
      </c>
      <c r="B96" s="477"/>
      <c r="C96" s="478"/>
      <c r="D96" s="478"/>
      <c r="E96" s="478"/>
      <c r="F96" s="478"/>
      <c r="G96" s="478"/>
      <c r="H96" s="478"/>
      <c r="I96" s="478"/>
      <c r="J96" s="479"/>
      <c r="K96" s="480"/>
      <c r="L96" s="481"/>
      <c r="M96" s="481"/>
      <c r="N96" s="481"/>
      <c r="O96" s="481"/>
      <c r="P96" s="482"/>
      <c r="Q96" s="680"/>
      <c r="R96" s="681"/>
      <c r="S96" s="681"/>
      <c r="T96" s="681"/>
      <c r="U96" s="681"/>
      <c r="V96" s="681"/>
      <c r="W96" s="688"/>
      <c r="X96" s="685"/>
      <c r="Y96" s="686"/>
      <c r="Z96" s="686"/>
      <c r="AA96" s="686"/>
      <c r="AB96" s="686"/>
      <c r="AC96" s="686"/>
      <c r="AD96" s="686"/>
      <c r="AE96" s="687"/>
      <c r="AF96" s="680"/>
      <c r="AG96" s="681"/>
      <c r="AH96" s="681"/>
      <c r="AI96" s="681"/>
      <c r="AJ96" s="681"/>
      <c r="AK96" s="680"/>
      <c r="AL96" s="681"/>
      <c r="AM96" s="66"/>
      <c r="AN96" s="66"/>
      <c r="AO96" s="66"/>
      <c r="AP96" s="66"/>
      <c r="AQ96" s="66"/>
      <c r="AR96" s="66"/>
      <c r="AS96" s="66"/>
      <c r="AT96" s="66"/>
    </row>
    <row r="97" spans="1:48" x14ac:dyDescent="0.3">
      <c r="A97" s="202">
        <v>19</v>
      </c>
      <c r="B97" s="477"/>
      <c r="C97" s="478"/>
      <c r="D97" s="478"/>
      <c r="E97" s="478"/>
      <c r="F97" s="478"/>
      <c r="G97" s="478"/>
      <c r="H97" s="478"/>
      <c r="I97" s="478"/>
      <c r="J97" s="479"/>
      <c r="K97" s="480"/>
      <c r="L97" s="481"/>
      <c r="M97" s="481"/>
      <c r="N97" s="481"/>
      <c r="O97" s="481"/>
      <c r="P97" s="482"/>
      <c r="Q97" s="680"/>
      <c r="R97" s="681"/>
      <c r="S97" s="681"/>
      <c r="T97" s="681"/>
      <c r="U97" s="681"/>
      <c r="V97" s="681"/>
      <c r="W97" s="688"/>
      <c r="X97" s="685"/>
      <c r="Y97" s="686"/>
      <c r="Z97" s="686"/>
      <c r="AA97" s="686"/>
      <c r="AB97" s="686"/>
      <c r="AC97" s="686"/>
      <c r="AD97" s="686"/>
      <c r="AE97" s="687"/>
      <c r="AF97" s="680"/>
      <c r="AG97" s="681"/>
      <c r="AH97" s="681"/>
      <c r="AI97" s="681"/>
      <c r="AJ97" s="681"/>
      <c r="AK97" s="680"/>
      <c r="AL97" s="681"/>
      <c r="AM97" s="66"/>
      <c r="AN97" s="66"/>
      <c r="AO97" s="66"/>
      <c r="AP97" s="66"/>
      <c r="AQ97" s="66"/>
      <c r="AR97" s="66"/>
      <c r="AS97" s="66"/>
      <c r="AT97" s="66"/>
    </row>
    <row r="98" spans="1:48" x14ac:dyDescent="0.3">
      <c r="A98" s="202">
        <v>20</v>
      </c>
      <c r="B98" s="477"/>
      <c r="C98" s="478"/>
      <c r="D98" s="478"/>
      <c r="E98" s="478"/>
      <c r="F98" s="478"/>
      <c r="G98" s="478"/>
      <c r="H98" s="478"/>
      <c r="I98" s="478"/>
      <c r="J98" s="479"/>
      <c r="K98" s="480"/>
      <c r="L98" s="481"/>
      <c r="M98" s="481"/>
      <c r="N98" s="481"/>
      <c r="O98" s="481"/>
      <c r="P98" s="482"/>
      <c r="Q98" s="680"/>
      <c r="R98" s="681"/>
      <c r="S98" s="681"/>
      <c r="T98" s="681"/>
      <c r="U98" s="681"/>
      <c r="V98" s="681"/>
      <c r="W98" s="688"/>
      <c r="X98" s="685"/>
      <c r="Y98" s="686"/>
      <c r="Z98" s="686"/>
      <c r="AA98" s="686"/>
      <c r="AB98" s="686"/>
      <c r="AC98" s="686"/>
      <c r="AD98" s="686"/>
      <c r="AE98" s="687"/>
      <c r="AF98" s="680"/>
      <c r="AG98" s="681"/>
      <c r="AH98" s="681"/>
      <c r="AI98" s="681"/>
      <c r="AJ98" s="681"/>
      <c r="AK98" s="680"/>
      <c r="AL98" s="681"/>
      <c r="AM98" s="66"/>
      <c r="AN98" s="66"/>
      <c r="AO98" s="66"/>
      <c r="AP98" s="66"/>
      <c r="AQ98" s="66"/>
      <c r="AR98" s="66"/>
      <c r="AS98" s="66"/>
      <c r="AT98" s="66"/>
    </row>
    <row r="99" spans="1:48" x14ac:dyDescent="0.3">
      <c r="A99" s="202">
        <v>21</v>
      </c>
      <c r="B99" s="488" t="s">
        <v>756</v>
      </c>
      <c r="C99" s="489"/>
      <c r="D99" s="489"/>
      <c r="E99" s="489"/>
      <c r="F99" s="489"/>
      <c r="G99" s="489"/>
      <c r="H99" s="489"/>
      <c r="I99" s="489"/>
      <c r="J99" s="490"/>
      <c r="K99" s="491" t="s">
        <v>757</v>
      </c>
      <c r="L99" s="492"/>
      <c r="M99" s="492"/>
      <c r="N99" s="492"/>
      <c r="O99" s="492"/>
      <c r="P99" s="493"/>
      <c r="Q99" s="561">
        <f>SUM(Q79:W98)</f>
        <v>0</v>
      </c>
      <c r="R99" s="562"/>
      <c r="S99" s="562"/>
      <c r="T99" s="562"/>
      <c r="U99" s="562"/>
      <c r="V99" s="562"/>
      <c r="W99" s="563"/>
      <c r="X99" s="682">
        <f>SUM(X79:AE98)</f>
        <v>0</v>
      </c>
      <c r="Y99" s="683"/>
      <c r="Z99" s="683"/>
      <c r="AA99" s="683"/>
      <c r="AB99" s="683"/>
      <c r="AC99" s="683"/>
      <c r="AD99" s="683"/>
      <c r="AE99" s="684"/>
      <c r="AF99" s="561">
        <f>SUM(AF79:AJ98)</f>
        <v>0</v>
      </c>
      <c r="AG99" s="562"/>
      <c r="AH99" s="562"/>
      <c r="AI99" s="562"/>
      <c r="AJ99" s="563"/>
      <c r="AK99" s="561">
        <f>SUM(AK79:AL98)</f>
        <v>0</v>
      </c>
      <c r="AL99" s="563"/>
      <c r="AM99" s="66"/>
      <c r="AN99" s="66"/>
      <c r="AO99" s="66"/>
      <c r="AP99" s="66"/>
      <c r="AQ99" s="66"/>
      <c r="AR99" s="66"/>
      <c r="AS99" s="66"/>
      <c r="AT99" s="66"/>
    </row>
    <row r="100" spans="1:48" ht="30.75" customHeight="1" x14ac:dyDescent="0.25">
      <c r="A100" s="332" t="s">
        <v>225</v>
      </c>
      <c r="B100" s="332"/>
      <c r="C100" s="332"/>
      <c r="D100" s="332"/>
      <c r="E100" s="332"/>
      <c r="F100" s="332"/>
      <c r="G100" s="332"/>
      <c r="H100" s="332"/>
      <c r="I100" s="332"/>
      <c r="J100" s="332"/>
      <c r="K100" s="332"/>
      <c r="L100" s="332"/>
      <c r="M100" s="332"/>
      <c r="N100" s="332"/>
      <c r="O100" s="332"/>
      <c r="P100" s="332"/>
      <c r="Q100" s="332"/>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119"/>
    </row>
    <row r="101" spans="1:48" x14ac:dyDescent="0.25">
      <c r="A101" s="621">
        <f>A71</f>
        <v>0</v>
      </c>
      <c r="B101" s="622"/>
      <c r="C101" s="622"/>
      <c r="D101" s="622"/>
      <c r="E101" s="622"/>
      <c r="F101" s="622"/>
      <c r="G101" s="622"/>
      <c r="H101" s="622"/>
      <c r="I101" s="622"/>
      <c r="J101" s="622"/>
      <c r="K101" s="622"/>
      <c r="L101" s="622"/>
      <c r="M101" s="622"/>
      <c r="N101" s="622"/>
      <c r="O101" s="622"/>
      <c r="P101" s="622"/>
      <c r="Q101" s="622"/>
      <c r="R101" s="622"/>
      <c r="S101" s="622"/>
      <c r="T101" s="622"/>
      <c r="U101" s="622"/>
      <c r="V101" s="622"/>
      <c r="W101" s="622"/>
      <c r="X101" s="622"/>
      <c r="Y101" s="622"/>
      <c r="Z101" s="622"/>
      <c r="AA101" s="622"/>
      <c r="AB101" s="622"/>
      <c r="AC101" s="622"/>
      <c r="AD101" s="622"/>
      <c r="AE101" s="622"/>
      <c r="AF101" s="622"/>
      <c r="AG101" s="622"/>
      <c r="AH101" s="622"/>
      <c r="AI101" s="622"/>
      <c r="AJ101" s="622"/>
      <c r="AK101" s="622"/>
      <c r="AL101" s="623"/>
    </row>
    <row r="102" spans="1:48" ht="18.75" customHeight="1" x14ac:dyDescent="0.25">
      <c r="A102" s="332" t="s">
        <v>173</v>
      </c>
      <c r="B102" s="332"/>
      <c r="C102" s="332"/>
      <c r="D102" s="332"/>
      <c r="E102" s="332"/>
      <c r="F102" s="332"/>
      <c r="G102" s="332"/>
      <c r="H102" s="332"/>
      <c r="I102" s="332"/>
      <c r="J102" s="332"/>
      <c r="K102" s="332"/>
      <c r="L102" s="332"/>
      <c r="M102" s="332"/>
      <c r="N102" s="332"/>
      <c r="O102" s="332"/>
      <c r="P102" s="332"/>
      <c r="Q102" s="332"/>
      <c r="R102" s="332"/>
      <c r="S102" s="332"/>
      <c r="T102" s="332"/>
      <c r="U102" s="332"/>
      <c r="V102" s="332"/>
      <c r="W102" s="332"/>
      <c r="X102" s="332"/>
      <c r="Y102" s="332"/>
      <c r="Z102" s="332"/>
      <c r="AA102" s="332"/>
      <c r="AB102" s="332"/>
      <c r="AC102" s="332"/>
      <c r="AD102" s="332"/>
      <c r="AE102" s="332"/>
      <c r="AF102" s="332"/>
      <c r="AG102" s="332"/>
      <c r="AH102" s="332"/>
      <c r="AI102" s="332"/>
      <c r="AJ102" s="332"/>
      <c r="AK102" s="332"/>
      <c r="AL102" s="332"/>
      <c r="AM102" s="119"/>
    </row>
    <row r="103" spans="1:48" x14ac:dyDescent="0.25">
      <c r="A103" s="632"/>
      <c r="B103" s="633"/>
      <c r="C103" s="633"/>
      <c r="D103" s="633"/>
      <c r="E103" s="633"/>
      <c r="F103" s="633"/>
      <c r="G103" s="633"/>
      <c r="H103" s="633"/>
      <c r="I103" s="633"/>
      <c r="J103" s="633"/>
      <c r="K103" s="633"/>
      <c r="L103" s="633"/>
      <c r="M103" s="633"/>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4"/>
    </row>
    <row r="104" spans="1:48" ht="34.5" customHeight="1" x14ac:dyDescent="0.25">
      <c r="A104" s="308" t="s">
        <v>791</v>
      </c>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335" t="s">
        <v>675</v>
      </c>
      <c r="AN104" s="335"/>
      <c r="AO104" s="335"/>
      <c r="AP104" s="335"/>
      <c r="AQ104" s="335"/>
      <c r="AR104" s="335"/>
      <c r="AS104" s="335"/>
      <c r="AT104" s="335"/>
    </row>
    <row r="105" spans="1:48" x14ac:dyDescent="0.25">
      <c r="A105" s="694">
        <f>Q99</f>
        <v>0</v>
      </c>
      <c r="B105" s="695"/>
      <c r="C105" s="695"/>
      <c r="D105" s="695"/>
      <c r="E105" s="695"/>
      <c r="F105" s="695"/>
      <c r="G105" s="695"/>
      <c r="H105" s="695"/>
      <c r="I105" s="695"/>
      <c r="J105" s="695"/>
      <c r="K105" s="695"/>
      <c r="L105" s="695"/>
      <c r="M105" s="695"/>
      <c r="N105" s="695"/>
      <c r="O105" s="695"/>
      <c r="P105" s="695"/>
      <c r="Q105" s="695"/>
      <c r="R105" s="695"/>
      <c r="S105" s="695"/>
      <c r="T105" s="695"/>
      <c r="U105" s="695"/>
      <c r="V105" s="695"/>
      <c r="W105" s="695"/>
      <c r="X105" s="695"/>
      <c r="Y105" s="695"/>
      <c r="Z105" s="695"/>
      <c r="AA105" s="695"/>
      <c r="AB105" s="695"/>
      <c r="AC105" s="695"/>
      <c r="AD105" s="695"/>
      <c r="AE105" s="695"/>
      <c r="AF105" s="695"/>
      <c r="AG105" s="695"/>
      <c r="AH105" s="695"/>
      <c r="AI105" s="695"/>
      <c r="AJ105" s="695"/>
      <c r="AK105" s="695"/>
      <c r="AL105" s="696"/>
    </row>
    <row r="106" spans="1:48" ht="28.2" customHeight="1" x14ac:dyDescent="0.25">
      <c r="A106" s="308" t="s">
        <v>696</v>
      </c>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35" t="s">
        <v>914</v>
      </c>
      <c r="AN106" s="335"/>
      <c r="AO106" s="335"/>
      <c r="AP106" s="335"/>
      <c r="AQ106" s="335"/>
      <c r="AR106" s="335"/>
      <c r="AS106" s="335"/>
      <c r="AT106" s="335"/>
      <c r="AU106" s="335"/>
      <c r="AV106" s="335"/>
    </row>
    <row r="107" spans="1:48" x14ac:dyDescent="0.25">
      <c r="A107" s="694">
        <f>AF99</f>
        <v>0</v>
      </c>
      <c r="B107" s="695"/>
      <c r="C107" s="695"/>
      <c r="D107" s="695"/>
      <c r="E107" s="695"/>
      <c r="F107" s="695"/>
      <c r="G107" s="695"/>
      <c r="H107" s="695"/>
      <c r="I107" s="695"/>
      <c r="J107" s="695"/>
      <c r="K107" s="695"/>
      <c r="L107" s="695"/>
      <c r="M107" s="695"/>
      <c r="N107" s="695"/>
      <c r="O107" s="695"/>
      <c r="P107" s="695"/>
      <c r="Q107" s="695"/>
      <c r="R107" s="695"/>
      <c r="S107" s="695"/>
      <c r="T107" s="695"/>
      <c r="U107" s="695"/>
      <c r="V107" s="695"/>
      <c r="W107" s="695"/>
      <c r="X107" s="695"/>
      <c r="Y107" s="695"/>
      <c r="Z107" s="695"/>
      <c r="AA107" s="695"/>
      <c r="AB107" s="695"/>
      <c r="AC107" s="695"/>
      <c r="AD107" s="695"/>
      <c r="AE107" s="695"/>
      <c r="AF107" s="695"/>
      <c r="AG107" s="695"/>
      <c r="AH107" s="695"/>
      <c r="AI107" s="695"/>
      <c r="AJ107" s="695"/>
      <c r="AK107" s="695"/>
      <c r="AL107" s="696"/>
    </row>
    <row r="108" spans="1:48" ht="30.75" customHeight="1" x14ac:dyDescent="0.25">
      <c r="A108" s="308" t="s">
        <v>792</v>
      </c>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c r="AJ108" s="308"/>
      <c r="AK108" s="308"/>
      <c r="AL108" s="308"/>
    </row>
    <row r="109" spans="1:48" x14ac:dyDescent="0.25">
      <c r="A109" s="694">
        <f>AK99</f>
        <v>0</v>
      </c>
      <c r="B109" s="695"/>
      <c r="C109" s="695"/>
      <c r="D109" s="695"/>
      <c r="E109" s="695"/>
      <c r="F109" s="695"/>
      <c r="G109" s="695"/>
      <c r="H109" s="695"/>
      <c r="I109" s="695"/>
      <c r="J109" s="695"/>
      <c r="K109" s="695"/>
      <c r="L109" s="695"/>
      <c r="M109" s="695"/>
      <c r="N109" s="695"/>
      <c r="O109" s="695"/>
      <c r="P109" s="695"/>
      <c r="Q109" s="695"/>
      <c r="R109" s="695"/>
      <c r="S109" s="695"/>
      <c r="T109" s="695"/>
      <c r="U109" s="695"/>
      <c r="V109" s="695"/>
      <c r="W109" s="695"/>
      <c r="X109" s="695"/>
      <c r="Y109" s="695"/>
      <c r="Z109" s="695"/>
      <c r="AA109" s="695"/>
      <c r="AB109" s="695"/>
      <c r="AC109" s="695"/>
      <c r="AD109" s="695"/>
      <c r="AE109" s="695"/>
      <c r="AF109" s="695"/>
      <c r="AG109" s="695"/>
      <c r="AH109" s="695"/>
      <c r="AI109" s="695"/>
      <c r="AJ109" s="695"/>
      <c r="AK109" s="695"/>
      <c r="AL109" s="696"/>
    </row>
    <row r="110" spans="1:48" x14ac:dyDescent="0.25">
      <c r="A110" s="328" t="s">
        <v>687</v>
      </c>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c r="X110" s="328"/>
      <c r="Y110" s="328"/>
      <c r="Z110" s="328"/>
      <c r="AA110" s="328"/>
      <c r="AB110" s="328"/>
      <c r="AC110" s="328"/>
      <c r="AD110" s="328"/>
      <c r="AE110" s="328"/>
      <c r="AF110" s="328"/>
      <c r="AG110" s="328"/>
      <c r="AH110" s="328"/>
      <c r="AI110" s="328"/>
      <c r="AJ110" s="328"/>
      <c r="AK110" s="328"/>
      <c r="AL110" s="328"/>
      <c r="AM110" s="119"/>
    </row>
    <row r="111" spans="1:48" ht="43.5" customHeight="1" x14ac:dyDescent="0.25">
      <c r="A111" s="391" t="s">
        <v>735</v>
      </c>
      <c r="B111" s="391"/>
      <c r="C111" s="391"/>
      <c r="D111" s="391"/>
      <c r="E111" s="391"/>
      <c r="F111" s="391"/>
      <c r="G111" s="391"/>
      <c r="H111" s="391"/>
      <c r="I111" s="391"/>
      <c r="J111" s="391"/>
      <c r="K111" s="391"/>
      <c r="L111" s="391"/>
      <c r="M111" s="391"/>
      <c r="N111" s="391"/>
      <c r="O111" s="391"/>
      <c r="P111" s="391"/>
      <c r="Q111" s="391"/>
      <c r="R111" s="391"/>
      <c r="S111" s="391"/>
      <c r="T111" s="391"/>
      <c r="U111" s="391"/>
      <c r="V111" s="391"/>
      <c r="W111" s="391"/>
      <c r="X111" s="391"/>
      <c r="Y111" s="391"/>
      <c r="Z111" s="391"/>
      <c r="AA111" s="391"/>
      <c r="AB111" s="391"/>
      <c r="AC111" s="391"/>
      <c r="AD111" s="391"/>
      <c r="AE111" s="391"/>
      <c r="AF111" s="391"/>
      <c r="AG111" s="391"/>
      <c r="AH111" s="391"/>
      <c r="AI111" s="391"/>
      <c r="AJ111" s="391"/>
      <c r="AK111" s="391"/>
      <c r="AL111" s="391"/>
      <c r="AM111" s="119"/>
    </row>
    <row r="112" spans="1:48" x14ac:dyDescent="0.25">
      <c r="A112" s="392" t="s">
        <v>736</v>
      </c>
      <c r="B112" s="392"/>
      <c r="C112" s="392"/>
      <c r="D112" s="392"/>
      <c r="E112" s="392"/>
      <c r="F112" s="392"/>
      <c r="G112" s="392"/>
      <c r="H112" s="392"/>
      <c r="I112" s="392"/>
      <c r="J112" s="392"/>
      <c r="K112" s="392"/>
      <c r="L112" s="392"/>
      <c r="M112" s="392"/>
      <c r="N112" s="392"/>
      <c r="O112" s="392"/>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c r="AK112" s="392"/>
      <c r="AL112" s="392"/>
      <c r="AM112" s="119"/>
    </row>
    <row r="113" spans="1:65" ht="111" customHeight="1" x14ac:dyDescent="0.25">
      <c r="A113" s="391" t="s">
        <v>925</v>
      </c>
      <c r="B113" s="391"/>
      <c r="C113" s="391"/>
      <c r="D113" s="391"/>
      <c r="E113" s="391"/>
      <c r="F113" s="391"/>
      <c r="G113" s="391"/>
      <c r="H113" s="391"/>
      <c r="I113" s="391"/>
      <c r="J113" s="391"/>
      <c r="K113" s="391"/>
      <c r="L113" s="391"/>
      <c r="M113" s="391"/>
      <c r="N113" s="391"/>
      <c r="O113" s="391"/>
      <c r="P113" s="391"/>
      <c r="Q113" s="391"/>
      <c r="R113" s="391"/>
      <c r="S113" s="391"/>
      <c r="T113" s="391"/>
      <c r="U113" s="391"/>
      <c r="V113" s="391"/>
      <c r="W113" s="391"/>
      <c r="X113" s="391"/>
      <c r="Y113" s="391"/>
      <c r="Z113" s="391"/>
      <c r="AA113" s="391"/>
      <c r="AB113" s="391"/>
      <c r="AC113" s="391"/>
      <c r="AD113" s="391"/>
      <c r="AE113" s="391"/>
      <c r="AF113" s="391"/>
      <c r="AG113" s="391"/>
      <c r="AH113" s="391"/>
      <c r="AI113" s="391"/>
      <c r="AJ113" s="391"/>
      <c r="AK113" s="391"/>
      <c r="AL113" s="391"/>
      <c r="AM113" s="119"/>
    </row>
    <row r="114" spans="1:65" ht="107.7" customHeight="1" x14ac:dyDescent="0.25">
      <c r="A114" s="618"/>
      <c r="B114" s="619"/>
      <c r="C114" s="619"/>
      <c r="D114" s="619"/>
      <c r="E114" s="619"/>
      <c r="F114" s="619"/>
      <c r="G114" s="619"/>
      <c r="H114" s="619"/>
      <c r="I114" s="619"/>
      <c r="J114" s="619"/>
      <c r="K114" s="619"/>
      <c r="L114" s="619"/>
      <c r="M114" s="619"/>
      <c r="N114" s="619"/>
      <c r="O114" s="619"/>
      <c r="P114" s="619"/>
      <c r="Q114" s="619"/>
      <c r="R114" s="619"/>
      <c r="S114" s="619"/>
      <c r="T114" s="619"/>
      <c r="U114" s="619"/>
      <c r="V114" s="619"/>
      <c r="W114" s="619"/>
      <c r="X114" s="619"/>
      <c r="Y114" s="619"/>
      <c r="Z114" s="619"/>
      <c r="AA114" s="619"/>
      <c r="AB114" s="619"/>
      <c r="AC114" s="619"/>
      <c r="AD114" s="619"/>
      <c r="AE114" s="619"/>
      <c r="AF114" s="619"/>
      <c r="AG114" s="619"/>
      <c r="AH114" s="619"/>
      <c r="AI114" s="619"/>
      <c r="AJ114" s="619"/>
      <c r="AK114" s="619"/>
      <c r="AL114" s="620"/>
      <c r="AM114" s="119"/>
    </row>
    <row r="115" spans="1:65" ht="55.5" customHeight="1" x14ac:dyDescent="0.25">
      <c r="A115" s="332" t="s">
        <v>738</v>
      </c>
      <c r="B115" s="332"/>
      <c r="C115" s="332"/>
      <c r="D115" s="332"/>
      <c r="E115" s="332"/>
      <c r="F115" s="332"/>
      <c r="G115" s="332"/>
      <c r="H115" s="332"/>
      <c r="I115" s="332"/>
      <c r="J115" s="332"/>
      <c r="K115" s="332"/>
      <c r="L115" s="332"/>
      <c r="M115" s="332"/>
      <c r="N115" s="332"/>
      <c r="O115" s="332"/>
      <c r="P115" s="332"/>
      <c r="Q115" s="332"/>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N115" s="116"/>
      <c r="AO115" s="116"/>
      <c r="AP115" s="116"/>
      <c r="AQ115" s="116"/>
      <c r="AR115" s="116"/>
      <c r="AS115" s="116"/>
      <c r="AT115" s="116"/>
    </row>
    <row r="116" spans="1:65" ht="46.95" customHeight="1" x14ac:dyDescent="0.25">
      <c r="A116" s="333" t="s">
        <v>739</v>
      </c>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row>
    <row r="117" spans="1:65" ht="45" customHeight="1" x14ac:dyDescent="0.25">
      <c r="A117" s="486" t="s">
        <v>848</v>
      </c>
      <c r="B117" s="487"/>
      <c r="C117" s="487"/>
      <c r="D117" s="487"/>
      <c r="E117" s="487"/>
      <c r="F117" s="487"/>
      <c r="G117" s="487"/>
      <c r="H117" s="487"/>
      <c r="I117" s="487"/>
      <c r="J117" s="487"/>
      <c r="K117" s="487"/>
      <c r="L117" s="487"/>
      <c r="M117" s="487"/>
      <c r="N117" s="487"/>
      <c r="O117" s="487"/>
      <c r="P117" s="487"/>
      <c r="Q117" s="487"/>
      <c r="R117" s="487"/>
      <c r="S117" s="487"/>
      <c r="T117" s="487"/>
      <c r="U117" s="487"/>
      <c r="V117" s="487"/>
      <c r="W117" s="487"/>
      <c r="X117" s="487"/>
      <c r="Y117" s="487"/>
      <c r="Z117" s="487"/>
      <c r="AA117" s="487"/>
      <c r="AB117" s="487"/>
      <c r="AC117" s="487"/>
      <c r="AD117" s="487"/>
      <c r="AE117" s="487"/>
      <c r="AF117" s="487"/>
      <c r="AG117" s="487"/>
      <c r="AH117" s="487"/>
      <c r="AI117" s="487"/>
      <c r="AJ117" s="487"/>
      <c r="AK117" s="487"/>
      <c r="AL117" s="487"/>
    </row>
    <row r="118" spans="1:65" ht="45" customHeight="1" x14ac:dyDescent="0.25">
      <c r="A118" s="308" t="s">
        <v>1109</v>
      </c>
      <c r="B118" s="332"/>
      <c r="C118" s="332"/>
      <c r="D118" s="332"/>
      <c r="E118" s="332"/>
      <c r="F118" s="332"/>
      <c r="G118" s="332"/>
      <c r="H118" s="332"/>
      <c r="I118" s="332"/>
      <c r="J118" s="332"/>
      <c r="K118" s="332"/>
      <c r="L118" s="332"/>
      <c r="M118" s="332"/>
      <c r="N118" s="332"/>
      <c r="O118" s="332"/>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row>
    <row r="119" spans="1:65" ht="48" customHeight="1" x14ac:dyDescent="0.25">
      <c r="A119" s="333" t="s">
        <v>742</v>
      </c>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row>
    <row r="120" spans="1:65" ht="48" customHeight="1" x14ac:dyDescent="0.25">
      <c r="A120" s="404" t="s">
        <v>929</v>
      </c>
      <c r="B120" s="404"/>
      <c r="C120" s="404"/>
      <c r="D120" s="404"/>
      <c r="E120" s="404"/>
      <c r="F120" s="404"/>
      <c r="G120" s="404"/>
      <c r="H120" s="404"/>
      <c r="I120" s="404"/>
      <c r="J120" s="404"/>
      <c r="K120" s="404"/>
      <c r="L120" s="404"/>
      <c r="M120" s="404"/>
      <c r="N120" s="404"/>
      <c r="O120" s="404"/>
      <c r="P120" s="404"/>
      <c r="Q120" s="404"/>
      <c r="R120" s="404"/>
      <c r="S120" s="404"/>
      <c r="T120" s="404"/>
      <c r="U120" s="404"/>
      <c r="V120" s="404"/>
      <c r="W120" s="404"/>
      <c r="X120" s="404"/>
      <c r="Y120" s="404"/>
      <c r="Z120" s="404"/>
      <c r="AA120" s="404"/>
      <c r="AB120" s="404"/>
      <c r="AC120" s="404"/>
      <c r="AD120" s="404"/>
      <c r="AE120" s="404"/>
      <c r="AF120" s="404"/>
      <c r="AG120" s="404"/>
      <c r="AH120" s="404"/>
      <c r="AI120" s="404"/>
      <c r="AJ120" s="404"/>
      <c r="AK120" s="404"/>
      <c r="AL120" s="404"/>
    </row>
    <row r="121" spans="1:65" ht="88.95" customHeight="1" x14ac:dyDescent="0.25">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row>
    <row r="122" spans="1:65" ht="160.19999999999999" customHeight="1" x14ac:dyDescent="0.3">
      <c r="A122" s="318" t="s">
        <v>1006</v>
      </c>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20"/>
      <c r="AJ122" s="321">
        <f>IF(A121=Słowniki!C$50,ROUNDDOWN(A105/(A105+A109),4),100%)</f>
        <v>1</v>
      </c>
      <c r="AK122" s="322"/>
      <c r="AL122" s="322"/>
    </row>
    <row r="123" spans="1:65" ht="71.7" customHeight="1" x14ac:dyDescent="0.25">
      <c r="A123" s="314" t="s">
        <v>1031</v>
      </c>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c r="AA123" s="315"/>
      <c r="AB123" s="315"/>
      <c r="AC123" s="315"/>
      <c r="AD123" s="315"/>
      <c r="AE123" s="315"/>
      <c r="AF123" s="315"/>
      <c r="AG123" s="315"/>
      <c r="AH123" s="315"/>
      <c r="AI123" s="315"/>
      <c r="AJ123" s="315"/>
      <c r="AK123" s="315"/>
      <c r="AL123" s="315"/>
    </row>
    <row r="124" spans="1:65" ht="111" customHeight="1" x14ac:dyDescent="0.25">
      <c r="A124" s="316"/>
      <c r="B124" s="317"/>
      <c r="C124" s="317"/>
      <c r="D124" s="317"/>
      <c r="E124" s="317"/>
      <c r="F124" s="317"/>
      <c r="G124" s="317"/>
      <c r="H124" s="317"/>
      <c r="I124" s="317"/>
      <c r="J124" s="317"/>
      <c r="K124" s="317"/>
      <c r="L124" s="317"/>
      <c r="M124" s="317"/>
      <c r="N124" s="317"/>
      <c r="O124" s="317"/>
      <c r="P124" s="317"/>
      <c r="Q124" s="317"/>
      <c r="R124" s="317"/>
      <c r="S124" s="317"/>
      <c r="T124" s="317"/>
      <c r="U124" s="317"/>
      <c r="V124" s="317"/>
      <c r="W124" s="317"/>
      <c r="X124" s="317"/>
      <c r="Y124" s="317"/>
      <c r="Z124" s="317"/>
      <c r="AA124" s="317"/>
      <c r="AB124" s="317"/>
      <c r="AC124" s="317"/>
      <c r="AD124" s="317"/>
      <c r="AE124" s="317"/>
      <c r="AF124" s="317"/>
      <c r="AG124" s="317"/>
      <c r="AH124" s="317"/>
      <c r="AI124" s="317"/>
      <c r="AJ124" s="317"/>
      <c r="AK124" s="317"/>
      <c r="AL124" s="317"/>
    </row>
    <row r="125" spans="1:65" ht="141.44999999999999" customHeight="1" x14ac:dyDescent="0.25">
      <c r="A125" s="308" t="s">
        <v>1110</v>
      </c>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c r="AH125" s="308"/>
      <c r="AI125" s="308"/>
      <c r="AJ125" s="308"/>
      <c r="AK125" s="308"/>
      <c r="AL125" s="308"/>
    </row>
    <row r="126" spans="1:65" ht="83.7" customHeight="1" x14ac:dyDescent="0.25">
      <c r="A126" s="135" t="s">
        <v>127</v>
      </c>
      <c r="B126" s="311" t="s">
        <v>812</v>
      </c>
      <c r="C126" s="312"/>
      <c r="D126" s="312"/>
      <c r="E126" s="312"/>
      <c r="F126" s="313"/>
      <c r="G126" s="325" t="s">
        <v>813</v>
      </c>
      <c r="H126" s="325"/>
      <c r="I126" s="325"/>
      <c r="J126" s="325"/>
      <c r="K126" s="325"/>
      <c r="L126" s="311" t="s">
        <v>819</v>
      </c>
      <c r="M126" s="312"/>
      <c r="N126" s="312"/>
      <c r="O126" s="313"/>
      <c r="P126" s="311" t="s">
        <v>185</v>
      </c>
      <c r="Q126" s="312"/>
      <c r="R126" s="312"/>
      <c r="S126" s="312"/>
      <c r="T126" s="312"/>
      <c r="U126" s="312"/>
      <c r="V126" s="313"/>
      <c r="W126" s="311" t="s">
        <v>184</v>
      </c>
      <c r="X126" s="312"/>
      <c r="Y126" s="312"/>
      <c r="Z126" s="313"/>
      <c r="AA126" s="311" t="s">
        <v>820</v>
      </c>
      <c r="AB126" s="312"/>
      <c r="AC126" s="312"/>
      <c r="AD126" s="312"/>
      <c r="AE126" s="312"/>
      <c r="AF126" s="312"/>
      <c r="AG126" s="313"/>
      <c r="AH126" s="311" t="s">
        <v>179</v>
      </c>
      <c r="AI126" s="312"/>
      <c r="AJ126" s="313"/>
      <c r="AK126" s="311" t="s">
        <v>186</v>
      </c>
      <c r="AL126" s="313"/>
      <c r="AM126" s="137" t="s">
        <v>221</v>
      </c>
      <c r="AN126" s="61"/>
      <c r="AO126" s="61"/>
    </row>
    <row r="127" spans="1:65" s="86" customFormat="1" ht="19.2" customHeight="1" x14ac:dyDescent="0.25">
      <c r="A127" s="135">
        <v>1</v>
      </c>
      <c r="B127" s="325">
        <v>2</v>
      </c>
      <c r="C127" s="325"/>
      <c r="D127" s="325"/>
      <c r="E127" s="325"/>
      <c r="F127" s="325"/>
      <c r="G127" s="325">
        <v>3</v>
      </c>
      <c r="H127" s="325"/>
      <c r="I127" s="325"/>
      <c r="J127" s="325"/>
      <c r="K127" s="325"/>
      <c r="L127" s="325">
        <v>4</v>
      </c>
      <c r="M127" s="325"/>
      <c r="N127" s="325"/>
      <c r="O127" s="325"/>
      <c r="P127" s="325">
        <v>5</v>
      </c>
      <c r="Q127" s="325"/>
      <c r="R127" s="325"/>
      <c r="S127" s="325"/>
      <c r="T127" s="325"/>
      <c r="U127" s="325"/>
      <c r="V127" s="325"/>
      <c r="W127" s="325">
        <v>6</v>
      </c>
      <c r="X127" s="325"/>
      <c r="Y127" s="325"/>
      <c r="Z127" s="325"/>
      <c r="AA127" s="311" t="s">
        <v>823</v>
      </c>
      <c r="AB127" s="312"/>
      <c r="AC127" s="312"/>
      <c r="AD127" s="312"/>
      <c r="AE127" s="312"/>
      <c r="AF127" s="312"/>
      <c r="AG127" s="313"/>
      <c r="AH127" s="311">
        <v>8</v>
      </c>
      <c r="AI127" s="312"/>
      <c r="AJ127" s="313"/>
      <c r="AK127" s="311" t="s">
        <v>666</v>
      </c>
      <c r="AL127" s="313"/>
      <c r="AM127" s="137"/>
      <c r="AN127" s="61"/>
      <c r="AO127" s="61"/>
      <c r="AP127" s="60"/>
      <c r="AQ127" s="60"/>
      <c r="AR127" s="60"/>
      <c r="AS127" s="60"/>
      <c r="AT127" s="60"/>
      <c r="AU127" s="116"/>
      <c r="AV127" s="116"/>
      <c r="AW127" s="116"/>
      <c r="AX127" s="116"/>
      <c r="AY127" s="116"/>
      <c r="AZ127" s="116"/>
      <c r="BA127" s="116"/>
      <c r="BB127" s="116"/>
      <c r="BC127" s="116"/>
      <c r="BD127" s="116"/>
      <c r="BE127" s="116"/>
      <c r="BF127" s="116"/>
      <c r="BG127" s="116"/>
      <c r="BH127" s="116"/>
      <c r="BI127" s="116"/>
      <c r="BJ127" s="116"/>
      <c r="BK127" s="116"/>
      <c r="BL127" s="116"/>
      <c r="BM127" s="116"/>
    </row>
    <row r="128" spans="1:65" s="224" customFormat="1" ht="55.2" customHeight="1" x14ac:dyDescent="0.25">
      <c r="A128" s="220">
        <v>1</v>
      </c>
      <c r="B128" s="467"/>
      <c r="C128" s="468"/>
      <c r="D128" s="468"/>
      <c r="E128" s="468"/>
      <c r="F128" s="469"/>
      <c r="G128" s="470"/>
      <c r="H128" s="471"/>
      <c r="I128" s="471"/>
      <c r="J128" s="471"/>
      <c r="K128" s="471"/>
      <c r="L128" s="470"/>
      <c r="M128" s="471"/>
      <c r="N128" s="471"/>
      <c r="O128" s="471"/>
      <c r="P128" s="677"/>
      <c r="Q128" s="678"/>
      <c r="R128" s="678"/>
      <c r="S128" s="678"/>
      <c r="T128" s="678"/>
      <c r="U128" s="678"/>
      <c r="V128" s="679"/>
      <c r="W128" s="475">
        <f>IF(OR(B128=Słowniki!A$46,B128=Słowniki!A$56,B128=Słowniki!A$58,,B128=Słowniki!A$59),0.08,0.23)</f>
        <v>0.23</v>
      </c>
      <c r="X128" s="476"/>
      <c r="Y128" s="476"/>
      <c r="Z128" s="476"/>
      <c r="AA128" s="462">
        <f>P128+ROUNDDOWN(P128*W128,2)</f>
        <v>0</v>
      </c>
      <c r="AB128" s="462"/>
      <c r="AC128" s="462"/>
      <c r="AD128" s="462"/>
      <c r="AE128" s="462"/>
      <c r="AF128" s="462"/>
      <c r="AG128" s="462"/>
      <c r="AH128" s="329">
        <f>AJ$122</f>
        <v>1</v>
      </c>
      <c r="AI128" s="330"/>
      <c r="AJ128" s="331"/>
      <c r="AK128" s="291">
        <f>ROUND(AA128*AH128,2)</f>
        <v>0</v>
      </c>
      <c r="AL128" s="293"/>
      <c r="AM128" s="221"/>
      <c r="AN128" s="221"/>
      <c r="AO128" s="222"/>
      <c r="AP128" s="223"/>
      <c r="AQ128" s="223"/>
      <c r="AR128" s="223"/>
      <c r="AS128" s="223"/>
      <c r="AT128" s="223"/>
      <c r="AU128" s="223"/>
      <c r="AV128" s="223"/>
      <c r="AW128" s="223"/>
      <c r="AX128" s="223"/>
      <c r="AY128" s="223"/>
      <c r="AZ128" s="223"/>
      <c r="BA128" s="223"/>
      <c r="BB128" s="223"/>
      <c r="BC128" s="223"/>
      <c r="BD128" s="223"/>
      <c r="BE128" s="223"/>
      <c r="BF128" s="223"/>
      <c r="BG128" s="223"/>
      <c r="BH128" s="223"/>
      <c r="BI128" s="223"/>
      <c r="BJ128" s="223"/>
      <c r="BK128" s="223"/>
      <c r="BL128" s="223"/>
      <c r="BM128" s="223"/>
    </row>
    <row r="129" spans="1:65" s="224" customFormat="1" ht="55.2" customHeight="1" x14ac:dyDescent="0.25">
      <c r="A129" s="220">
        <v>2</v>
      </c>
      <c r="B129" s="467"/>
      <c r="C129" s="468"/>
      <c r="D129" s="468"/>
      <c r="E129" s="468"/>
      <c r="F129" s="469"/>
      <c r="G129" s="470"/>
      <c r="H129" s="471"/>
      <c r="I129" s="471"/>
      <c r="J129" s="471"/>
      <c r="K129" s="471"/>
      <c r="L129" s="470"/>
      <c r="M129" s="471"/>
      <c r="N129" s="471"/>
      <c r="O129" s="471"/>
      <c r="P129" s="677"/>
      <c r="Q129" s="678"/>
      <c r="R129" s="678"/>
      <c r="S129" s="678"/>
      <c r="T129" s="678"/>
      <c r="U129" s="678"/>
      <c r="V129" s="679"/>
      <c r="W129" s="475">
        <f>IF(OR(B129=Słowniki!A$46,B129=Słowniki!A$56,B129=Słowniki!A$58,,B129=Słowniki!A$59),0.08,0.23)</f>
        <v>0.23</v>
      </c>
      <c r="X129" s="476"/>
      <c r="Y129" s="476"/>
      <c r="Z129" s="476"/>
      <c r="AA129" s="462">
        <f>P129+ROUNDDOWN(P129*W129,2)</f>
        <v>0</v>
      </c>
      <c r="AB129" s="462"/>
      <c r="AC129" s="462"/>
      <c r="AD129" s="462"/>
      <c r="AE129" s="462"/>
      <c r="AF129" s="462"/>
      <c r="AG129" s="462"/>
      <c r="AH129" s="329">
        <f t="shared" ref="AH129:AH149" si="1">AJ$122</f>
        <v>1</v>
      </c>
      <c r="AI129" s="330"/>
      <c r="AJ129" s="331"/>
      <c r="AK129" s="291">
        <f t="shared" ref="AK129:AK149" si="2">ROUND(AA129*AH129,2)</f>
        <v>0</v>
      </c>
      <c r="AL129" s="293"/>
      <c r="AM129" s="221"/>
      <c r="AN129" s="221"/>
      <c r="AO129" s="222"/>
      <c r="AP129" s="223"/>
      <c r="AQ129" s="223"/>
      <c r="AR129" s="223"/>
      <c r="AS129" s="223"/>
      <c r="AT129" s="223"/>
      <c r="AU129" s="223"/>
      <c r="AV129" s="223"/>
      <c r="AW129" s="223"/>
      <c r="AX129" s="223"/>
      <c r="AY129" s="223"/>
      <c r="AZ129" s="223"/>
      <c r="BA129" s="223"/>
      <c r="BB129" s="223"/>
      <c r="BC129" s="223"/>
      <c r="BD129" s="223"/>
      <c r="BE129" s="223"/>
      <c r="BF129" s="223"/>
      <c r="BG129" s="223"/>
      <c r="BH129" s="223"/>
      <c r="BI129" s="223"/>
      <c r="BJ129" s="223"/>
      <c r="BK129" s="223"/>
      <c r="BL129" s="223"/>
      <c r="BM129" s="223"/>
    </row>
    <row r="130" spans="1:65" s="224" customFormat="1" ht="55.2" customHeight="1" x14ac:dyDescent="0.25">
      <c r="A130" s="220">
        <v>3</v>
      </c>
      <c r="B130" s="467"/>
      <c r="C130" s="468"/>
      <c r="D130" s="468"/>
      <c r="E130" s="468"/>
      <c r="F130" s="469"/>
      <c r="G130" s="470"/>
      <c r="H130" s="471"/>
      <c r="I130" s="471"/>
      <c r="J130" s="471"/>
      <c r="K130" s="471"/>
      <c r="L130" s="470"/>
      <c r="M130" s="471"/>
      <c r="N130" s="471"/>
      <c r="O130" s="471"/>
      <c r="P130" s="677"/>
      <c r="Q130" s="678"/>
      <c r="R130" s="678"/>
      <c r="S130" s="678"/>
      <c r="T130" s="678"/>
      <c r="U130" s="678"/>
      <c r="V130" s="679"/>
      <c r="W130" s="475">
        <f>IF(OR(B130=Słowniki!A$46,B130=Słowniki!A$56,B130=Słowniki!A$58,,B130=Słowniki!A$59),0.08,0.23)</f>
        <v>0.23</v>
      </c>
      <c r="X130" s="476"/>
      <c r="Y130" s="476"/>
      <c r="Z130" s="476"/>
      <c r="AA130" s="462">
        <f t="shared" ref="AA130:AA149" si="3">P130+ROUNDDOWN(P130*W130,2)</f>
        <v>0</v>
      </c>
      <c r="AB130" s="462"/>
      <c r="AC130" s="462"/>
      <c r="AD130" s="462"/>
      <c r="AE130" s="462"/>
      <c r="AF130" s="462"/>
      <c r="AG130" s="462"/>
      <c r="AH130" s="329">
        <f t="shared" si="1"/>
        <v>1</v>
      </c>
      <c r="AI130" s="330"/>
      <c r="AJ130" s="331"/>
      <c r="AK130" s="291">
        <f t="shared" si="2"/>
        <v>0</v>
      </c>
      <c r="AL130" s="293"/>
      <c r="AM130" s="221"/>
      <c r="AN130" s="221"/>
      <c r="AO130" s="222"/>
      <c r="AP130" s="223"/>
      <c r="AQ130" s="223"/>
      <c r="AR130" s="223"/>
      <c r="AS130" s="223"/>
      <c r="AT130" s="223"/>
      <c r="AU130" s="223"/>
      <c r="AV130" s="223"/>
      <c r="AW130" s="223"/>
      <c r="AX130" s="223"/>
      <c r="AY130" s="223"/>
      <c r="AZ130" s="223"/>
      <c r="BA130" s="223"/>
      <c r="BB130" s="223"/>
      <c r="BC130" s="223"/>
      <c r="BD130" s="223"/>
      <c r="BE130" s="223"/>
      <c r="BF130" s="223"/>
      <c r="BG130" s="223"/>
      <c r="BH130" s="223"/>
      <c r="BI130" s="223"/>
      <c r="BJ130" s="223"/>
      <c r="BK130" s="223"/>
      <c r="BL130" s="223"/>
      <c r="BM130" s="223"/>
    </row>
    <row r="131" spans="1:65" s="224" customFormat="1" ht="55.2" customHeight="1" x14ac:dyDescent="0.25">
      <c r="A131" s="220">
        <v>4</v>
      </c>
      <c r="B131" s="467"/>
      <c r="C131" s="468"/>
      <c r="D131" s="468"/>
      <c r="E131" s="468"/>
      <c r="F131" s="469"/>
      <c r="G131" s="470"/>
      <c r="H131" s="471"/>
      <c r="I131" s="471"/>
      <c r="J131" s="471"/>
      <c r="K131" s="471"/>
      <c r="L131" s="470"/>
      <c r="M131" s="471"/>
      <c r="N131" s="471"/>
      <c r="O131" s="471"/>
      <c r="P131" s="677"/>
      <c r="Q131" s="678"/>
      <c r="R131" s="678"/>
      <c r="S131" s="678"/>
      <c r="T131" s="678"/>
      <c r="U131" s="678"/>
      <c r="V131" s="679"/>
      <c r="W131" s="475">
        <f>IF(OR(B131=Słowniki!A$46,B131=Słowniki!A$56,B131=Słowniki!A$58,,B131=Słowniki!A$59),0.08,0.23)</f>
        <v>0.23</v>
      </c>
      <c r="X131" s="476"/>
      <c r="Y131" s="476"/>
      <c r="Z131" s="476"/>
      <c r="AA131" s="462">
        <f t="shared" si="3"/>
        <v>0</v>
      </c>
      <c r="AB131" s="462"/>
      <c r="AC131" s="462"/>
      <c r="AD131" s="462"/>
      <c r="AE131" s="462"/>
      <c r="AF131" s="462"/>
      <c r="AG131" s="462"/>
      <c r="AH131" s="329">
        <f t="shared" si="1"/>
        <v>1</v>
      </c>
      <c r="AI131" s="330"/>
      <c r="AJ131" s="331"/>
      <c r="AK131" s="291">
        <f t="shared" si="2"/>
        <v>0</v>
      </c>
      <c r="AL131" s="293"/>
      <c r="AM131" s="221"/>
      <c r="AN131" s="221"/>
      <c r="AO131" s="222"/>
      <c r="AP131" s="223"/>
      <c r="AQ131" s="223"/>
      <c r="AR131" s="223"/>
      <c r="AS131" s="223"/>
      <c r="AT131" s="223"/>
      <c r="AU131" s="223"/>
      <c r="AV131" s="223"/>
      <c r="AW131" s="223"/>
      <c r="AX131" s="223"/>
      <c r="AY131" s="223"/>
      <c r="AZ131" s="223"/>
      <c r="BA131" s="223"/>
      <c r="BB131" s="223"/>
      <c r="BC131" s="223"/>
      <c r="BD131" s="223"/>
      <c r="BE131" s="223"/>
      <c r="BF131" s="223"/>
      <c r="BG131" s="223"/>
      <c r="BH131" s="223"/>
      <c r="BI131" s="223"/>
      <c r="BJ131" s="223"/>
      <c r="BK131" s="223"/>
      <c r="BL131" s="223"/>
      <c r="BM131" s="223"/>
    </row>
    <row r="132" spans="1:65" s="224" customFormat="1" ht="55.2" customHeight="1" x14ac:dyDescent="0.25">
      <c r="A132" s="220">
        <v>5</v>
      </c>
      <c r="B132" s="467"/>
      <c r="C132" s="468"/>
      <c r="D132" s="468"/>
      <c r="E132" s="468"/>
      <c r="F132" s="469"/>
      <c r="G132" s="470"/>
      <c r="H132" s="471"/>
      <c r="I132" s="471"/>
      <c r="J132" s="471"/>
      <c r="K132" s="471"/>
      <c r="L132" s="470"/>
      <c r="M132" s="471"/>
      <c r="N132" s="471"/>
      <c r="O132" s="471"/>
      <c r="P132" s="677"/>
      <c r="Q132" s="678"/>
      <c r="R132" s="678"/>
      <c r="S132" s="678"/>
      <c r="T132" s="678"/>
      <c r="U132" s="678"/>
      <c r="V132" s="679"/>
      <c r="W132" s="475">
        <f>IF(OR(B132=Słowniki!A$46,B132=Słowniki!A$56,B132=Słowniki!A$58,,B132=Słowniki!A$59),0.08,0.23)</f>
        <v>0.23</v>
      </c>
      <c r="X132" s="476"/>
      <c r="Y132" s="476"/>
      <c r="Z132" s="476"/>
      <c r="AA132" s="462">
        <f t="shared" si="3"/>
        <v>0</v>
      </c>
      <c r="AB132" s="462"/>
      <c r="AC132" s="462"/>
      <c r="AD132" s="462"/>
      <c r="AE132" s="462"/>
      <c r="AF132" s="462"/>
      <c r="AG132" s="462"/>
      <c r="AH132" s="329">
        <f t="shared" si="1"/>
        <v>1</v>
      </c>
      <c r="AI132" s="330"/>
      <c r="AJ132" s="331"/>
      <c r="AK132" s="291">
        <f t="shared" si="2"/>
        <v>0</v>
      </c>
      <c r="AL132" s="293"/>
      <c r="AM132" s="221"/>
      <c r="AN132" s="221"/>
      <c r="AO132" s="222"/>
      <c r="AP132" s="223"/>
      <c r="AQ132" s="223"/>
      <c r="AR132" s="223"/>
      <c r="AS132" s="223"/>
      <c r="AT132" s="223"/>
      <c r="AU132" s="223"/>
      <c r="AV132" s="223"/>
      <c r="AW132" s="223"/>
      <c r="AX132" s="223"/>
      <c r="AY132" s="223"/>
      <c r="AZ132" s="223"/>
      <c r="BA132" s="223"/>
      <c r="BB132" s="223"/>
      <c r="BC132" s="223"/>
      <c r="BD132" s="223"/>
      <c r="BE132" s="223"/>
      <c r="BF132" s="223"/>
      <c r="BG132" s="223"/>
      <c r="BH132" s="223"/>
      <c r="BI132" s="223"/>
      <c r="BJ132" s="223"/>
      <c r="BK132" s="223"/>
      <c r="BL132" s="223"/>
      <c r="BM132" s="223"/>
    </row>
    <row r="133" spans="1:65" s="224" customFormat="1" ht="55.2" customHeight="1" x14ac:dyDescent="0.25">
      <c r="A133" s="220">
        <v>6</v>
      </c>
      <c r="B133" s="467"/>
      <c r="C133" s="468"/>
      <c r="D133" s="468"/>
      <c r="E133" s="468"/>
      <c r="F133" s="469"/>
      <c r="G133" s="470"/>
      <c r="H133" s="471"/>
      <c r="I133" s="471"/>
      <c r="J133" s="471"/>
      <c r="K133" s="471"/>
      <c r="L133" s="470"/>
      <c r="M133" s="471"/>
      <c r="N133" s="471"/>
      <c r="O133" s="471"/>
      <c r="P133" s="677"/>
      <c r="Q133" s="678"/>
      <c r="R133" s="678"/>
      <c r="S133" s="678"/>
      <c r="T133" s="678"/>
      <c r="U133" s="678"/>
      <c r="V133" s="679"/>
      <c r="W133" s="475">
        <f>IF(OR(B133=Słowniki!A$46,B133=Słowniki!A$56,B133=Słowniki!A$58,,B133=Słowniki!A$59),0.08,0.23)</f>
        <v>0.23</v>
      </c>
      <c r="X133" s="476"/>
      <c r="Y133" s="476"/>
      <c r="Z133" s="476"/>
      <c r="AA133" s="462">
        <f t="shared" si="3"/>
        <v>0</v>
      </c>
      <c r="AB133" s="462"/>
      <c r="AC133" s="462"/>
      <c r="AD133" s="462"/>
      <c r="AE133" s="462"/>
      <c r="AF133" s="462"/>
      <c r="AG133" s="462"/>
      <c r="AH133" s="329">
        <f t="shared" si="1"/>
        <v>1</v>
      </c>
      <c r="AI133" s="330"/>
      <c r="AJ133" s="331"/>
      <c r="AK133" s="291">
        <f t="shared" si="2"/>
        <v>0</v>
      </c>
      <c r="AL133" s="293"/>
      <c r="AM133" s="221"/>
      <c r="AN133" s="221"/>
      <c r="AO133" s="222"/>
      <c r="AP133" s="223"/>
      <c r="AQ133" s="223"/>
      <c r="AR133" s="223"/>
      <c r="AS133" s="223"/>
      <c r="AT133" s="223"/>
      <c r="AU133" s="223"/>
      <c r="AV133" s="223"/>
      <c r="AW133" s="223"/>
      <c r="AX133" s="223"/>
      <c r="AY133" s="223"/>
      <c r="AZ133" s="223"/>
      <c r="BA133" s="223"/>
      <c r="BB133" s="223"/>
      <c r="BC133" s="223"/>
      <c r="BD133" s="223"/>
      <c r="BE133" s="223"/>
      <c r="BF133" s="223"/>
      <c r="BG133" s="223"/>
      <c r="BH133" s="223"/>
      <c r="BI133" s="223"/>
      <c r="BJ133" s="223"/>
      <c r="BK133" s="223"/>
      <c r="BL133" s="223"/>
      <c r="BM133" s="223"/>
    </row>
    <row r="134" spans="1:65" s="224" customFormat="1" ht="55.2" customHeight="1" x14ac:dyDescent="0.25">
      <c r="A134" s="220">
        <v>7</v>
      </c>
      <c r="B134" s="467"/>
      <c r="C134" s="468"/>
      <c r="D134" s="468"/>
      <c r="E134" s="468"/>
      <c r="F134" s="469"/>
      <c r="G134" s="470"/>
      <c r="H134" s="471"/>
      <c r="I134" s="471"/>
      <c r="J134" s="471"/>
      <c r="K134" s="471"/>
      <c r="L134" s="470"/>
      <c r="M134" s="471"/>
      <c r="N134" s="471"/>
      <c r="O134" s="471"/>
      <c r="P134" s="677"/>
      <c r="Q134" s="678"/>
      <c r="R134" s="678"/>
      <c r="S134" s="678"/>
      <c r="T134" s="678"/>
      <c r="U134" s="678"/>
      <c r="V134" s="679"/>
      <c r="W134" s="475">
        <f>IF(OR(B134=Słowniki!A$46,B134=Słowniki!A$56,B134=Słowniki!A$58,,B134=Słowniki!A$59),0.08,0.23)</f>
        <v>0.23</v>
      </c>
      <c r="X134" s="476"/>
      <c r="Y134" s="476"/>
      <c r="Z134" s="476"/>
      <c r="AA134" s="462">
        <f t="shared" si="3"/>
        <v>0</v>
      </c>
      <c r="AB134" s="462"/>
      <c r="AC134" s="462"/>
      <c r="AD134" s="462"/>
      <c r="AE134" s="462"/>
      <c r="AF134" s="462"/>
      <c r="AG134" s="462"/>
      <c r="AH134" s="329">
        <f t="shared" si="1"/>
        <v>1</v>
      </c>
      <c r="AI134" s="330"/>
      <c r="AJ134" s="331"/>
      <c r="AK134" s="291">
        <f t="shared" si="2"/>
        <v>0</v>
      </c>
      <c r="AL134" s="293"/>
      <c r="AM134" s="221"/>
      <c r="AN134" s="221"/>
      <c r="AO134" s="222"/>
      <c r="AP134" s="223"/>
      <c r="AQ134" s="223"/>
      <c r="AR134" s="223"/>
      <c r="AS134" s="223"/>
      <c r="AT134" s="223"/>
      <c r="AU134" s="223"/>
      <c r="AV134" s="223"/>
      <c r="AW134" s="223"/>
      <c r="AX134" s="223"/>
      <c r="AY134" s="223"/>
      <c r="AZ134" s="223"/>
      <c r="BA134" s="223"/>
      <c r="BB134" s="223"/>
      <c r="BC134" s="223"/>
      <c r="BD134" s="223"/>
      <c r="BE134" s="223"/>
      <c r="BF134" s="223"/>
      <c r="BG134" s="223"/>
      <c r="BH134" s="223"/>
      <c r="BI134" s="223"/>
      <c r="BJ134" s="223"/>
      <c r="BK134" s="223"/>
      <c r="BL134" s="223"/>
      <c r="BM134" s="223"/>
    </row>
    <row r="135" spans="1:65" s="224" customFormat="1" ht="55.2" customHeight="1" x14ac:dyDescent="0.25">
      <c r="A135" s="220">
        <v>8</v>
      </c>
      <c r="B135" s="467"/>
      <c r="C135" s="468"/>
      <c r="D135" s="468"/>
      <c r="E135" s="468"/>
      <c r="F135" s="469"/>
      <c r="G135" s="470"/>
      <c r="H135" s="471"/>
      <c r="I135" s="471"/>
      <c r="J135" s="471"/>
      <c r="K135" s="471"/>
      <c r="L135" s="470"/>
      <c r="M135" s="471"/>
      <c r="N135" s="471"/>
      <c r="O135" s="471"/>
      <c r="P135" s="677"/>
      <c r="Q135" s="678"/>
      <c r="R135" s="678"/>
      <c r="S135" s="678"/>
      <c r="T135" s="678"/>
      <c r="U135" s="678"/>
      <c r="V135" s="679"/>
      <c r="W135" s="475">
        <f>IF(OR(B135=Słowniki!A$46,B135=Słowniki!A$56,B135=Słowniki!A$58,,B135=Słowniki!A$59),0.08,0.23)</f>
        <v>0.23</v>
      </c>
      <c r="X135" s="476"/>
      <c r="Y135" s="476"/>
      <c r="Z135" s="476"/>
      <c r="AA135" s="462">
        <f t="shared" si="3"/>
        <v>0</v>
      </c>
      <c r="AB135" s="462"/>
      <c r="AC135" s="462"/>
      <c r="AD135" s="462"/>
      <c r="AE135" s="462"/>
      <c r="AF135" s="462"/>
      <c r="AG135" s="462"/>
      <c r="AH135" s="329">
        <f t="shared" si="1"/>
        <v>1</v>
      </c>
      <c r="AI135" s="330"/>
      <c r="AJ135" s="331"/>
      <c r="AK135" s="291">
        <f t="shared" si="2"/>
        <v>0</v>
      </c>
      <c r="AL135" s="293"/>
      <c r="AM135" s="221"/>
      <c r="AN135" s="221"/>
      <c r="AO135" s="222"/>
      <c r="AP135" s="223"/>
      <c r="AQ135" s="223"/>
      <c r="AR135" s="223"/>
      <c r="AS135" s="223"/>
      <c r="AT135" s="223"/>
      <c r="AU135" s="223"/>
      <c r="AV135" s="223"/>
      <c r="AW135" s="223"/>
      <c r="AX135" s="223"/>
      <c r="AY135" s="223"/>
      <c r="AZ135" s="223"/>
      <c r="BA135" s="223"/>
      <c r="BB135" s="223"/>
      <c r="BC135" s="223"/>
      <c r="BD135" s="223"/>
      <c r="BE135" s="223"/>
      <c r="BF135" s="223"/>
      <c r="BG135" s="223"/>
      <c r="BH135" s="223"/>
      <c r="BI135" s="223"/>
      <c r="BJ135" s="223"/>
      <c r="BK135" s="223"/>
      <c r="BL135" s="223"/>
      <c r="BM135" s="223"/>
    </row>
    <row r="136" spans="1:65" s="224" customFormat="1" ht="55.2" customHeight="1" x14ac:dyDescent="0.25">
      <c r="A136" s="220">
        <v>9</v>
      </c>
      <c r="B136" s="467"/>
      <c r="C136" s="468"/>
      <c r="D136" s="468"/>
      <c r="E136" s="468"/>
      <c r="F136" s="469"/>
      <c r="G136" s="470"/>
      <c r="H136" s="471"/>
      <c r="I136" s="471"/>
      <c r="J136" s="471"/>
      <c r="K136" s="471"/>
      <c r="L136" s="470"/>
      <c r="M136" s="471"/>
      <c r="N136" s="471"/>
      <c r="O136" s="471"/>
      <c r="P136" s="677"/>
      <c r="Q136" s="678"/>
      <c r="R136" s="678"/>
      <c r="S136" s="678"/>
      <c r="T136" s="678"/>
      <c r="U136" s="678"/>
      <c r="V136" s="679"/>
      <c r="W136" s="475">
        <f>IF(OR(B136=Słowniki!A$46,B136=Słowniki!A$56,B136=Słowniki!A$58,,B136=Słowniki!A$59),0.08,0.23)</f>
        <v>0.23</v>
      </c>
      <c r="X136" s="476"/>
      <c r="Y136" s="476"/>
      <c r="Z136" s="476"/>
      <c r="AA136" s="462">
        <f t="shared" si="3"/>
        <v>0</v>
      </c>
      <c r="AB136" s="462"/>
      <c r="AC136" s="462"/>
      <c r="AD136" s="462"/>
      <c r="AE136" s="462"/>
      <c r="AF136" s="462"/>
      <c r="AG136" s="462"/>
      <c r="AH136" s="329">
        <f t="shared" si="1"/>
        <v>1</v>
      </c>
      <c r="AI136" s="330"/>
      <c r="AJ136" s="331"/>
      <c r="AK136" s="291">
        <f t="shared" si="2"/>
        <v>0</v>
      </c>
      <c r="AL136" s="293"/>
      <c r="AM136" s="221"/>
      <c r="AN136" s="221"/>
      <c r="AO136" s="222"/>
      <c r="AP136" s="223"/>
      <c r="AQ136" s="223"/>
      <c r="AR136" s="223"/>
      <c r="AS136" s="223"/>
      <c r="AT136" s="223"/>
      <c r="AU136" s="223"/>
      <c r="AV136" s="223"/>
      <c r="AW136" s="223"/>
      <c r="AX136" s="223"/>
      <c r="AY136" s="223"/>
      <c r="AZ136" s="223"/>
      <c r="BA136" s="223"/>
      <c r="BB136" s="223"/>
      <c r="BC136" s="223"/>
      <c r="BD136" s="223"/>
      <c r="BE136" s="223"/>
      <c r="BF136" s="223"/>
      <c r="BG136" s="223"/>
      <c r="BH136" s="223"/>
      <c r="BI136" s="223"/>
      <c r="BJ136" s="223"/>
      <c r="BK136" s="223"/>
      <c r="BL136" s="223"/>
      <c r="BM136" s="223"/>
    </row>
    <row r="137" spans="1:65" s="224" customFormat="1" ht="55.2" customHeight="1" x14ac:dyDescent="0.25">
      <c r="A137" s="220">
        <v>10</v>
      </c>
      <c r="B137" s="467"/>
      <c r="C137" s="468"/>
      <c r="D137" s="468"/>
      <c r="E137" s="468"/>
      <c r="F137" s="469"/>
      <c r="G137" s="470"/>
      <c r="H137" s="471"/>
      <c r="I137" s="471"/>
      <c r="J137" s="471"/>
      <c r="K137" s="471"/>
      <c r="L137" s="470"/>
      <c r="M137" s="471"/>
      <c r="N137" s="471"/>
      <c r="O137" s="471"/>
      <c r="P137" s="677"/>
      <c r="Q137" s="678"/>
      <c r="R137" s="678"/>
      <c r="S137" s="678"/>
      <c r="T137" s="678"/>
      <c r="U137" s="678"/>
      <c r="V137" s="679"/>
      <c r="W137" s="475">
        <f>IF(OR(B137=Słowniki!A$46,B137=Słowniki!A$56,B137=Słowniki!A$58,,B137=Słowniki!A$59),0.08,0.23)</f>
        <v>0.23</v>
      </c>
      <c r="X137" s="476"/>
      <c r="Y137" s="476"/>
      <c r="Z137" s="476"/>
      <c r="AA137" s="462">
        <f t="shared" si="3"/>
        <v>0</v>
      </c>
      <c r="AB137" s="462"/>
      <c r="AC137" s="462"/>
      <c r="AD137" s="462"/>
      <c r="AE137" s="462"/>
      <c r="AF137" s="462"/>
      <c r="AG137" s="462"/>
      <c r="AH137" s="329">
        <f t="shared" si="1"/>
        <v>1</v>
      </c>
      <c r="AI137" s="330"/>
      <c r="AJ137" s="331"/>
      <c r="AK137" s="291">
        <f t="shared" si="2"/>
        <v>0</v>
      </c>
      <c r="AL137" s="293"/>
      <c r="AM137" s="221"/>
      <c r="AN137" s="221"/>
      <c r="AO137" s="222"/>
      <c r="AP137" s="223"/>
      <c r="AQ137" s="223"/>
      <c r="AR137" s="223"/>
      <c r="AS137" s="223"/>
      <c r="AT137" s="223"/>
      <c r="AU137" s="223"/>
      <c r="AV137" s="223"/>
      <c r="AW137" s="223"/>
      <c r="AX137" s="223"/>
      <c r="AY137" s="223"/>
      <c r="AZ137" s="223"/>
      <c r="BA137" s="223"/>
      <c r="BB137" s="223"/>
      <c r="BC137" s="223"/>
      <c r="BD137" s="223"/>
      <c r="BE137" s="223"/>
      <c r="BF137" s="223"/>
      <c r="BG137" s="223"/>
      <c r="BH137" s="223"/>
      <c r="BI137" s="223"/>
      <c r="BJ137" s="223"/>
      <c r="BK137" s="223"/>
      <c r="BL137" s="223"/>
      <c r="BM137" s="223"/>
    </row>
    <row r="138" spans="1:65" s="224" customFormat="1" ht="55.2" customHeight="1" x14ac:dyDescent="0.25">
      <c r="A138" s="220">
        <v>11</v>
      </c>
      <c r="B138" s="467"/>
      <c r="C138" s="468"/>
      <c r="D138" s="468"/>
      <c r="E138" s="468"/>
      <c r="F138" s="469"/>
      <c r="G138" s="470"/>
      <c r="H138" s="471"/>
      <c r="I138" s="471"/>
      <c r="J138" s="471"/>
      <c r="K138" s="471"/>
      <c r="L138" s="470"/>
      <c r="M138" s="471"/>
      <c r="N138" s="471"/>
      <c r="O138" s="471"/>
      <c r="P138" s="677"/>
      <c r="Q138" s="678"/>
      <c r="R138" s="678"/>
      <c r="S138" s="678"/>
      <c r="T138" s="678"/>
      <c r="U138" s="678"/>
      <c r="V138" s="679"/>
      <c r="W138" s="475">
        <f>IF(OR(B138=Słowniki!A$46,B138=Słowniki!A$56,B138=Słowniki!A$58,,B138=Słowniki!A$59),0.08,0.23)</f>
        <v>0.23</v>
      </c>
      <c r="X138" s="476"/>
      <c r="Y138" s="476"/>
      <c r="Z138" s="476"/>
      <c r="AA138" s="462">
        <f t="shared" si="3"/>
        <v>0</v>
      </c>
      <c r="AB138" s="462"/>
      <c r="AC138" s="462"/>
      <c r="AD138" s="462"/>
      <c r="AE138" s="462"/>
      <c r="AF138" s="462"/>
      <c r="AG138" s="462"/>
      <c r="AH138" s="329">
        <f t="shared" si="1"/>
        <v>1</v>
      </c>
      <c r="AI138" s="330"/>
      <c r="AJ138" s="331"/>
      <c r="AK138" s="291">
        <f t="shared" si="2"/>
        <v>0</v>
      </c>
      <c r="AL138" s="293"/>
      <c r="AM138" s="221"/>
      <c r="AN138" s="221"/>
      <c r="AO138" s="222"/>
      <c r="AP138" s="223"/>
      <c r="AQ138" s="223"/>
      <c r="AR138" s="223"/>
      <c r="AS138" s="223"/>
      <c r="AT138" s="223"/>
      <c r="AU138" s="223"/>
      <c r="AV138" s="223"/>
      <c r="AW138" s="223"/>
      <c r="AX138" s="223"/>
      <c r="AY138" s="223"/>
      <c r="AZ138" s="223"/>
      <c r="BA138" s="223"/>
      <c r="BB138" s="223"/>
      <c r="BC138" s="223"/>
      <c r="BD138" s="223"/>
      <c r="BE138" s="223"/>
      <c r="BF138" s="223"/>
      <c r="BG138" s="223"/>
      <c r="BH138" s="223"/>
      <c r="BI138" s="223"/>
      <c r="BJ138" s="223"/>
      <c r="BK138" s="223"/>
      <c r="BL138" s="223"/>
      <c r="BM138" s="223"/>
    </row>
    <row r="139" spans="1:65" s="224" customFormat="1" ht="55.2" customHeight="1" x14ac:dyDescent="0.25">
      <c r="A139" s="220">
        <v>12</v>
      </c>
      <c r="B139" s="467"/>
      <c r="C139" s="468"/>
      <c r="D139" s="468"/>
      <c r="E139" s="468"/>
      <c r="F139" s="469"/>
      <c r="G139" s="470"/>
      <c r="H139" s="471"/>
      <c r="I139" s="471"/>
      <c r="J139" s="471"/>
      <c r="K139" s="471"/>
      <c r="L139" s="470"/>
      <c r="M139" s="471"/>
      <c r="N139" s="471"/>
      <c r="O139" s="471"/>
      <c r="P139" s="677"/>
      <c r="Q139" s="678"/>
      <c r="R139" s="678"/>
      <c r="S139" s="678"/>
      <c r="T139" s="678"/>
      <c r="U139" s="678"/>
      <c r="V139" s="679"/>
      <c r="W139" s="475">
        <f>IF(OR(B139=Słowniki!A$46,B139=Słowniki!A$56,B139=Słowniki!A$58,,B139=Słowniki!A$59),0.08,0.23)</f>
        <v>0.23</v>
      </c>
      <c r="X139" s="476"/>
      <c r="Y139" s="476"/>
      <c r="Z139" s="476"/>
      <c r="AA139" s="462">
        <f t="shared" si="3"/>
        <v>0</v>
      </c>
      <c r="AB139" s="462"/>
      <c r="AC139" s="462"/>
      <c r="AD139" s="462"/>
      <c r="AE139" s="462"/>
      <c r="AF139" s="462"/>
      <c r="AG139" s="462"/>
      <c r="AH139" s="329">
        <f t="shared" si="1"/>
        <v>1</v>
      </c>
      <c r="AI139" s="330"/>
      <c r="AJ139" s="331"/>
      <c r="AK139" s="291">
        <f t="shared" si="2"/>
        <v>0</v>
      </c>
      <c r="AL139" s="293"/>
      <c r="AM139" s="221"/>
      <c r="AN139" s="221"/>
      <c r="AO139" s="222"/>
      <c r="AP139" s="223"/>
      <c r="AQ139" s="223"/>
      <c r="AR139" s="223"/>
      <c r="AS139" s="223"/>
      <c r="AT139" s="223"/>
      <c r="AU139" s="223"/>
      <c r="AV139" s="223"/>
      <c r="AW139" s="223"/>
      <c r="AX139" s="223"/>
      <c r="AY139" s="223"/>
      <c r="AZ139" s="223"/>
      <c r="BA139" s="223"/>
      <c r="BB139" s="223"/>
      <c r="BC139" s="223"/>
      <c r="BD139" s="223"/>
      <c r="BE139" s="223"/>
      <c r="BF139" s="223"/>
      <c r="BG139" s="223"/>
      <c r="BH139" s="223"/>
      <c r="BI139" s="223"/>
      <c r="BJ139" s="223"/>
      <c r="BK139" s="223"/>
      <c r="BL139" s="223"/>
      <c r="BM139" s="223"/>
    </row>
    <row r="140" spans="1:65" s="224" customFormat="1" ht="55.2" customHeight="1" x14ac:dyDescent="0.25">
      <c r="A140" s="220">
        <v>13</v>
      </c>
      <c r="B140" s="467"/>
      <c r="C140" s="468"/>
      <c r="D140" s="468"/>
      <c r="E140" s="468"/>
      <c r="F140" s="469"/>
      <c r="G140" s="470"/>
      <c r="H140" s="471"/>
      <c r="I140" s="471"/>
      <c r="J140" s="471"/>
      <c r="K140" s="471"/>
      <c r="L140" s="470"/>
      <c r="M140" s="471"/>
      <c r="N140" s="471"/>
      <c r="O140" s="471"/>
      <c r="P140" s="677"/>
      <c r="Q140" s="678"/>
      <c r="R140" s="678"/>
      <c r="S140" s="678"/>
      <c r="T140" s="678"/>
      <c r="U140" s="678"/>
      <c r="V140" s="679"/>
      <c r="W140" s="475">
        <f>IF(OR(B140=Słowniki!A$46,B140=Słowniki!A$56,B140=Słowniki!A$58,,B140=Słowniki!A$59),0.08,0.23)</f>
        <v>0.23</v>
      </c>
      <c r="X140" s="476"/>
      <c r="Y140" s="476"/>
      <c r="Z140" s="476"/>
      <c r="AA140" s="462">
        <f t="shared" si="3"/>
        <v>0</v>
      </c>
      <c r="AB140" s="462"/>
      <c r="AC140" s="462"/>
      <c r="AD140" s="462"/>
      <c r="AE140" s="462"/>
      <c r="AF140" s="462"/>
      <c r="AG140" s="462"/>
      <c r="AH140" s="329">
        <f t="shared" si="1"/>
        <v>1</v>
      </c>
      <c r="AI140" s="330"/>
      <c r="AJ140" s="331"/>
      <c r="AK140" s="291">
        <f t="shared" si="2"/>
        <v>0</v>
      </c>
      <c r="AL140" s="293"/>
      <c r="AM140" s="221"/>
      <c r="AN140" s="221"/>
      <c r="AO140" s="222"/>
      <c r="AP140" s="223"/>
      <c r="AQ140" s="223"/>
      <c r="AR140" s="223"/>
      <c r="AS140" s="223"/>
      <c r="AT140" s="223"/>
      <c r="AU140" s="223"/>
      <c r="AV140" s="223"/>
      <c r="AW140" s="223"/>
      <c r="AX140" s="223"/>
      <c r="AY140" s="223"/>
      <c r="AZ140" s="223"/>
      <c r="BA140" s="223"/>
      <c r="BB140" s="223"/>
      <c r="BC140" s="223"/>
      <c r="BD140" s="223"/>
      <c r="BE140" s="223"/>
      <c r="BF140" s="223"/>
      <c r="BG140" s="223"/>
      <c r="BH140" s="223"/>
      <c r="BI140" s="223"/>
      <c r="BJ140" s="223"/>
      <c r="BK140" s="223"/>
      <c r="BL140" s="223"/>
      <c r="BM140" s="223"/>
    </row>
    <row r="141" spans="1:65" s="224" customFormat="1" ht="55.2" customHeight="1" x14ac:dyDescent="0.25">
      <c r="A141" s="220">
        <v>14</v>
      </c>
      <c r="B141" s="467"/>
      <c r="C141" s="468"/>
      <c r="D141" s="468"/>
      <c r="E141" s="468"/>
      <c r="F141" s="469"/>
      <c r="G141" s="470"/>
      <c r="H141" s="471"/>
      <c r="I141" s="471"/>
      <c r="J141" s="471"/>
      <c r="K141" s="471"/>
      <c r="L141" s="470"/>
      <c r="M141" s="471"/>
      <c r="N141" s="471"/>
      <c r="O141" s="471"/>
      <c r="P141" s="677"/>
      <c r="Q141" s="678"/>
      <c r="R141" s="678"/>
      <c r="S141" s="678"/>
      <c r="T141" s="678"/>
      <c r="U141" s="678"/>
      <c r="V141" s="679"/>
      <c r="W141" s="475">
        <f>IF(OR(B141=Słowniki!A$46,B141=Słowniki!A$56,B141=Słowniki!A$58,,B141=Słowniki!A$59),0.08,0.23)</f>
        <v>0.23</v>
      </c>
      <c r="X141" s="476"/>
      <c r="Y141" s="476"/>
      <c r="Z141" s="476"/>
      <c r="AA141" s="462">
        <f t="shared" si="3"/>
        <v>0</v>
      </c>
      <c r="AB141" s="462"/>
      <c r="AC141" s="462"/>
      <c r="AD141" s="462"/>
      <c r="AE141" s="462"/>
      <c r="AF141" s="462"/>
      <c r="AG141" s="462"/>
      <c r="AH141" s="329">
        <f t="shared" si="1"/>
        <v>1</v>
      </c>
      <c r="AI141" s="330"/>
      <c r="AJ141" s="331"/>
      <c r="AK141" s="291">
        <f t="shared" si="2"/>
        <v>0</v>
      </c>
      <c r="AL141" s="293"/>
      <c r="AM141" s="221"/>
      <c r="AN141" s="221"/>
      <c r="AO141" s="222"/>
      <c r="AP141" s="223"/>
      <c r="AQ141" s="223"/>
      <c r="AR141" s="223"/>
      <c r="AS141" s="223"/>
      <c r="AT141" s="223"/>
      <c r="AU141" s="223"/>
      <c r="AV141" s="223"/>
      <c r="AW141" s="223"/>
      <c r="AX141" s="223"/>
      <c r="AY141" s="223"/>
      <c r="AZ141" s="223"/>
      <c r="BA141" s="223"/>
      <c r="BB141" s="223"/>
      <c r="BC141" s="223"/>
      <c r="BD141" s="223"/>
      <c r="BE141" s="223"/>
      <c r="BF141" s="223"/>
      <c r="BG141" s="223"/>
      <c r="BH141" s="223"/>
      <c r="BI141" s="223"/>
      <c r="BJ141" s="223"/>
      <c r="BK141" s="223"/>
      <c r="BL141" s="223"/>
      <c r="BM141" s="223"/>
    </row>
    <row r="142" spans="1:65" s="224" customFormat="1" ht="55.2" customHeight="1" x14ac:dyDescent="0.25">
      <c r="A142" s="220">
        <v>15</v>
      </c>
      <c r="B142" s="467"/>
      <c r="C142" s="468"/>
      <c r="D142" s="468"/>
      <c r="E142" s="468"/>
      <c r="F142" s="469"/>
      <c r="G142" s="470"/>
      <c r="H142" s="471"/>
      <c r="I142" s="471"/>
      <c r="J142" s="471"/>
      <c r="K142" s="471"/>
      <c r="L142" s="470"/>
      <c r="M142" s="471"/>
      <c r="N142" s="471"/>
      <c r="O142" s="471"/>
      <c r="P142" s="677"/>
      <c r="Q142" s="678"/>
      <c r="R142" s="678"/>
      <c r="S142" s="678"/>
      <c r="T142" s="678"/>
      <c r="U142" s="678"/>
      <c r="V142" s="679"/>
      <c r="W142" s="475">
        <f>IF(OR(B142=Słowniki!A$46,B142=Słowniki!A$56,B142=Słowniki!A$58,,B142=Słowniki!A$59),0.08,0.23)</f>
        <v>0.23</v>
      </c>
      <c r="X142" s="476"/>
      <c r="Y142" s="476"/>
      <c r="Z142" s="476"/>
      <c r="AA142" s="462">
        <f t="shared" si="3"/>
        <v>0</v>
      </c>
      <c r="AB142" s="462"/>
      <c r="AC142" s="462"/>
      <c r="AD142" s="462"/>
      <c r="AE142" s="462"/>
      <c r="AF142" s="462"/>
      <c r="AG142" s="462"/>
      <c r="AH142" s="329">
        <f t="shared" si="1"/>
        <v>1</v>
      </c>
      <c r="AI142" s="330"/>
      <c r="AJ142" s="331"/>
      <c r="AK142" s="291">
        <f t="shared" si="2"/>
        <v>0</v>
      </c>
      <c r="AL142" s="293"/>
      <c r="AM142" s="221"/>
      <c r="AN142" s="221"/>
      <c r="AO142" s="222"/>
      <c r="AP142" s="223"/>
      <c r="AQ142" s="223"/>
      <c r="AR142" s="223"/>
      <c r="AS142" s="223"/>
      <c r="AT142" s="223"/>
      <c r="AU142" s="223"/>
      <c r="AV142" s="223"/>
      <c r="AW142" s="223"/>
      <c r="AX142" s="223"/>
      <c r="AY142" s="223"/>
      <c r="AZ142" s="223"/>
      <c r="BA142" s="223"/>
      <c r="BB142" s="223"/>
      <c r="BC142" s="223"/>
      <c r="BD142" s="223"/>
      <c r="BE142" s="223"/>
      <c r="BF142" s="223"/>
      <c r="BG142" s="223"/>
      <c r="BH142" s="223"/>
      <c r="BI142" s="223"/>
      <c r="BJ142" s="223"/>
      <c r="BK142" s="223"/>
      <c r="BL142" s="223"/>
      <c r="BM142" s="223"/>
    </row>
    <row r="143" spans="1:65" s="224" customFormat="1" ht="55.2" customHeight="1" x14ac:dyDescent="0.25">
      <c r="A143" s="220">
        <v>16</v>
      </c>
      <c r="B143" s="467"/>
      <c r="C143" s="468"/>
      <c r="D143" s="468"/>
      <c r="E143" s="468"/>
      <c r="F143" s="469"/>
      <c r="G143" s="470"/>
      <c r="H143" s="471"/>
      <c r="I143" s="471"/>
      <c r="J143" s="471"/>
      <c r="K143" s="471"/>
      <c r="L143" s="470"/>
      <c r="M143" s="471"/>
      <c r="N143" s="471"/>
      <c r="O143" s="471"/>
      <c r="P143" s="677"/>
      <c r="Q143" s="678"/>
      <c r="R143" s="678"/>
      <c r="S143" s="678"/>
      <c r="T143" s="678"/>
      <c r="U143" s="678"/>
      <c r="V143" s="679"/>
      <c r="W143" s="475">
        <f>IF(OR(B143=Słowniki!A$46,B143=Słowniki!A$56,B143=Słowniki!A$58,,B143=Słowniki!A$59),0.08,0.23)</f>
        <v>0.23</v>
      </c>
      <c r="X143" s="476"/>
      <c r="Y143" s="476"/>
      <c r="Z143" s="476"/>
      <c r="AA143" s="462">
        <f t="shared" si="3"/>
        <v>0</v>
      </c>
      <c r="AB143" s="462"/>
      <c r="AC143" s="462"/>
      <c r="AD143" s="462"/>
      <c r="AE143" s="462"/>
      <c r="AF143" s="462"/>
      <c r="AG143" s="462"/>
      <c r="AH143" s="329">
        <f t="shared" si="1"/>
        <v>1</v>
      </c>
      <c r="AI143" s="330"/>
      <c r="AJ143" s="331"/>
      <c r="AK143" s="291">
        <f t="shared" si="2"/>
        <v>0</v>
      </c>
      <c r="AL143" s="293"/>
      <c r="AM143" s="221"/>
      <c r="AN143" s="221"/>
      <c r="AO143" s="222"/>
      <c r="AP143" s="223"/>
      <c r="AQ143" s="223"/>
      <c r="AR143" s="223"/>
      <c r="AS143" s="223"/>
      <c r="AT143" s="223"/>
      <c r="AU143" s="223"/>
      <c r="AV143" s="223"/>
      <c r="AW143" s="223"/>
      <c r="AX143" s="223"/>
      <c r="AY143" s="223"/>
      <c r="AZ143" s="223"/>
      <c r="BA143" s="223"/>
      <c r="BB143" s="223"/>
      <c r="BC143" s="223"/>
      <c r="BD143" s="223"/>
      <c r="BE143" s="223"/>
      <c r="BF143" s="223"/>
      <c r="BG143" s="223"/>
      <c r="BH143" s="223"/>
      <c r="BI143" s="223"/>
      <c r="BJ143" s="223"/>
      <c r="BK143" s="223"/>
      <c r="BL143" s="223"/>
      <c r="BM143" s="223"/>
    </row>
    <row r="144" spans="1:65" s="224" customFormat="1" ht="55.2" customHeight="1" x14ac:dyDescent="0.25">
      <c r="A144" s="220">
        <v>17</v>
      </c>
      <c r="B144" s="467"/>
      <c r="C144" s="468"/>
      <c r="D144" s="468"/>
      <c r="E144" s="468"/>
      <c r="F144" s="469"/>
      <c r="G144" s="470"/>
      <c r="H144" s="471"/>
      <c r="I144" s="471"/>
      <c r="J144" s="471"/>
      <c r="K144" s="471"/>
      <c r="L144" s="470"/>
      <c r="M144" s="471"/>
      <c r="N144" s="471"/>
      <c r="O144" s="471"/>
      <c r="P144" s="677"/>
      <c r="Q144" s="678"/>
      <c r="R144" s="678"/>
      <c r="S144" s="678"/>
      <c r="T144" s="678"/>
      <c r="U144" s="678"/>
      <c r="V144" s="679"/>
      <c r="W144" s="475">
        <f>IF(OR(B144=Słowniki!A$46,B144=Słowniki!A$56,B144=Słowniki!A$58,,B144=Słowniki!A$59),0.08,0.23)</f>
        <v>0.23</v>
      </c>
      <c r="X144" s="476"/>
      <c r="Y144" s="476"/>
      <c r="Z144" s="476"/>
      <c r="AA144" s="462">
        <f t="shared" si="3"/>
        <v>0</v>
      </c>
      <c r="AB144" s="462"/>
      <c r="AC144" s="462"/>
      <c r="AD144" s="462"/>
      <c r="AE144" s="462"/>
      <c r="AF144" s="462"/>
      <c r="AG144" s="462"/>
      <c r="AH144" s="329">
        <f t="shared" si="1"/>
        <v>1</v>
      </c>
      <c r="AI144" s="330"/>
      <c r="AJ144" s="331"/>
      <c r="AK144" s="291">
        <f t="shared" si="2"/>
        <v>0</v>
      </c>
      <c r="AL144" s="293"/>
      <c r="AM144" s="221"/>
      <c r="AN144" s="221"/>
      <c r="AO144" s="222"/>
      <c r="AP144" s="223"/>
      <c r="AQ144" s="223"/>
      <c r="AR144" s="223"/>
      <c r="AS144" s="223"/>
      <c r="AT144" s="223"/>
      <c r="AU144" s="223"/>
      <c r="AV144" s="223"/>
      <c r="AW144" s="223"/>
      <c r="AX144" s="223"/>
      <c r="AY144" s="223"/>
      <c r="AZ144" s="223"/>
      <c r="BA144" s="223"/>
      <c r="BB144" s="223"/>
      <c r="BC144" s="223"/>
      <c r="BD144" s="223"/>
      <c r="BE144" s="223"/>
      <c r="BF144" s="223"/>
      <c r="BG144" s="223"/>
      <c r="BH144" s="223"/>
      <c r="BI144" s="223"/>
      <c r="BJ144" s="223"/>
      <c r="BK144" s="223"/>
      <c r="BL144" s="223"/>
      <c r="BM144" s="223"/>
    </row>
    <row r="145" spans="1:65" s="224" customFormat="1" ht="55.2" customHeight="1" x14ac:dyDescent="0.25">
      <c r="A145" s="220">
        <v>18</v>
      </c>
      <c r="B145" s="467"/>
      <c r="C145" s="468"/>
      <c r="D145" s="468"/>
      <c r="E145" s="468"/>
      <c r="F145" s="469"/>
      <c r="G145" s="470"/>
      <c r="H145" s="471"/>
      <c r="I145" s="471"/>
      <c r="J145" s="471"/>
      <c r="K145" s="471"/>
      <c r="L145" s="470"/>
      <c r="M145" s="471"/>
      <c r="N145" s="471"/>
      <c r="O145" s="471"/>
      <c r="P145" s="677"/>
      <c r="Q145" s="678"/>
      <c r="R145" s="678"/>
      <c r="S145" s="678"/>
      <c r="T145" s="678"/>
      <c r="U145" s="678"/>
      <c r="V145" s="679"/>
      <c r="W145" s="475">
        <f>IF(OR(B145=Słowniki!A$46,B145=Słowniki!A$56,B145=Słowniki!A$58,,B145=Słowniki!A$59),0.08,0.23)</f>
        <v>0.23</v>
      </c>
      <c r="X145" s="476"/>
      <c r="Y145" s="476"/>
      <c r="Z145" s="476"/>
      <c r="AA145" s="462">
        <f t="shared" si="3"/>
        <v>0</v>
      </c>
      <c r="AB145" s="462"/>
      <c r="AC145" s="462"/>
      <c r="AD145" s="462"/>
      <c r="AE145" s="462"/>
      <c r="AF145" s="462"/>
      <c r="AG145" s="462"/>
      <c r="AH145" s="329">
        <f t="shared" si="1"/>
        <v>1</v>
      </c>
      <c r="AI145" s="330"/>
      <c r="AJ145" s="331"/>
      <c r="AK145" s="291">
        <f t="shared" si="2"/>
        <v>0</v>
      </c>
      <c r="AL145" s="293"/>
      <c r="AM145" s="221"/>
      <c r="AN145" s="221"/>
      <c r="AO145" s="222"/>
      <c r="AP145" s="223"/>
      <c r="AQ145" s="223"/>
      <c r="AR145" s="223"/>
      <c r="AS145" s="223"/>
      <c r="AT145" s="223"/>
      <c r="AU145" s="223"/>
      <c r="AV145" s="223"/>
      <c r="AW145" s="223"/>
      <c r="AX145" s="223"/>
      <c r="AY145" s="223"/>
      <c r="AZ145" s="223"/>
      <c r="BA145" s="223"/>
      <c r="BB145" s="223"/>
      <c r="BC145" s="223"/>
      <c r="BD145" s="223"/>
      <c r="BE145" s="223"/>
      <c r="BF145" s="223"/>
      <c r="BG145" s="223"/>
      <c r="BH145" s="223"/>
      <c r="BI145" s="223"/>
      <c r="BJ145" s="223"/>
      <c r="BK145" s="223"/>
      <c r="BL145" s="223"/>
      <c r="BM145" s="223"/>
    </row>
    <row r="146" spans="1:65" s="224" customFormat="1" ht="55.2" customHeight="1" x14ac:dyDescent="0.25">
      <c r="A146" s="220">
        <v>19</v>
      </c>
      <c r="B146" s="467"/>
      <c r="C146" s="468"/>
      <c r="D146" s="468"/>
      <c r="E146" s="468"/>
      <c r="F146" s="469"/>
      <c r="G146" s="470"/>
      <c r="H146" s="471"/>
      <c r="I146" s="471"/>
      <c r="J146" s="471"/>
      <c r="K146" s="471"/>
      <c r="L146" s="470"/>
      <c r="M146" s="471"/>
      <c r="N146" s="471"/>
      <c r="O146" s="471"/>
      <c r="P146" s="677"/>
      <c r="Q146" s="678"/>
      <c r="R146" s="678"/>
      <c r="S146" s="678"/>
      <c r="T146" s="678"/>
      <c r="U146" s="678"/>
      <c r="V146" s="679"/>
      <c r="W146" s="475">
        <f>IF(OR(B146=Słowniki!A$46,B146=Słowniki!A$56,B146=Słowniki!A$58,,B146=Słowniki!A$59),0.08,0.23)</f>
        <v>0.23</v>
      </c>
      <c r="X146" s="476"/>
      <c r="Y146" s="476"/>
      <c r="Z146" s="476"/>
      <c r="AA146" s="462">
        <f t="shared" si="3"/>
        <v>0</v>
      </c>
      <c r="AB146" s="462"/>
      <c r="AC146" s="462"/>
      <c r="AD146" s="462"/>
      <c r="AE146" s="462"/>
      <c r="AF146" s="462"/>
      <c r="AG146" s="462"/>
      <c r="AH146" s="329">
        <f t="shared" si="1"/>
        <v>1</v>
      </c>
      <c r="AI146" s="330"/>
      <c r="AJ146" s="331"/>
      <c r="AK146" s="291">
        <f t="shared" si="2"/>
        <v>0</v>
      </c>
      <c r="AL146" s="293"/>
      <c r="AM146" s="221"/>
      <c r="AN146" s="221"/>
      <c r="AO146" s="222"/>
      <c r="AP146" s="223"/>
      <c r="AQ146" s="223"/>
      <c r="AR146" s="223"/>
      <c r="AS146" s="223"/>
      <c r="AT146" s="223"/>
      <c r="AU146" s="223"/>
      <c r="AV146" s="223"/>
      <c r="AW146" s="223"/>
      <c r="AX146" s="223"/>
      <c r="AY146" s="223"/>
      <c r="AZ146" s="223"/>
      <c r="BA146" s="223"/>
      <c r="BB146" s="223"/>
      <c r="BC146" s="223"/>
      <c r="BD146" s="223"/>
      <c r="BE146" s="223"/>
      <c r="BF146" s="223"/>
      <c r="BG146" s="223"/>
      <c r="BH146" s="223"/>
      <c r="BI146" s="223"/>
      <c r="BJ146" s="223"/>
      <c r="BK146" s="223"/>
      <c r="BL146" s="223"/>
      <c r="BM146" s="223"/>
    </row>
    <row r="147" spans="1:65" s="224" customFormat="1" ht="55.2" customHeight="1" x14ac:dyDescent="0.25">
      <c r="A147" s="220">
        <v>20</v>
      </c>
      <c r="B147" s="467"/>
      <c r="C147" s="468"/>
      <c r="D147" s="468"/>
      <c r="E147" s="468"/>
      <c r="F147" s="469"/>
      <c r="G147" s="470"/>
      <c r="H147" s="471"/>
      <c r="I147" s="471"/>
      <c r="J147" s="471"/>
      <c r="K147" s="471"/>
      <c r="L147" s="470"/>
      <c r="M147" s="471"/>
      <c r="N147" s="471"/>
      <c r="O147" s="471"/>
      <c r="P147" s="677"/>
      <c r="Q147" s="678"/>
      <c r="R147" s="678"/>
      <c r="S147" s="678"/>
      <c r="T147" s="678"/>
      <c r="U147" s="678"/>
      <c r="V147" s="679"/>
      <c r="W147" s="475">
        <f>IF(OR(B147=Słowniki!A$46,B147=Słowniki!A$56,B147=Słowniki!A$58,,B147=Słowniki!A$59),0.08,0.23)</f>
        <v>0.23</v>
      </c>
      <c r="X147" s="476"/>
      <c r="Y147" s="476"/>
      <c r="Z147" s="476"/>
      <c r="AA147" s="462">
        <f t="shared" si="3"/>
        <v>0</v>
      </c>
      <c r="AB147" s="462"/>
      <c r="AC147" s="462"/>
      <c r="AD147" s="462"/>
      <c r="AE147" s="462"/>
      <c r="AF147" s="462"/>
      <c r="AG147" s="462"/>
      <c r="AH147" s="329">
        <f t="shared" si="1"/>
        <v>1</v>
      </c>
      <c r="AI147" s="330"/>
      <c r="AJ147" s="331"/>
      <c r="AK147" s="291">
        <f t="shared" si="2"/>
        <v>0</v>
      </c>
      <c r="AL147" s="293"/>
      <c r="AM147" s="221"/>
      <c r="AN147" s="221"/>
      <c r="AO147" s="222"/>
      <c r="AP147" s="223"/>
      <c r="AQ147" s="223"/>
      <c r="AR147" s="223"/>
      <c r="AS147" s="223"/>
      <c r="AT147" s="223"/>
      <c r="AU147" s="223"/>
      <c r="AV147" s="223"/>
      <c r="AW147" s="223"/>
      <c r="AX147" s="223"/>
      <c r="AY147" s="223"/>
      <c r="AZ147" s="223"/>
      <c r="BA147" s="223"/>
      <c r="BB147" s="223"/>
      <c r="BC147" s="223"/>
      <c r="BD147" s="223"/>
      <c r="BE147" s="223"/>
      <c r="BF147" s="223"/>
      <c r="BG147" s="223"/>
      <c r="BH147" s="223"/>
      <c r="BI147" s="223"/>
      <c r="BJ147" s="223"/>
      <c r="BK147" s="223"/>
      <c r="BL147" s="223"/>
      <c r="BM147" s="223"/>
    </row>
    <row r="148" spans="1:65" s="224" customFormat="1" ht="55.2" customHeight="1" x14ac:dyDescent="0.25">
      <c r="A148" s="220">
        <v>21</v>
      </c>
      <c r="B148" s="467"/>
      <c r="C148" s="468"/>
      <c r="D148" s="468"/>
      <c r="E148" s="468"/>
      <c r="F148" s="469"/>
      <c r="G148" s="470"/>
      <c r="H148" s="471"/>
      <c r="I148" s="471"/>
      <c r="J148" s="471"/>
      <c r="K148" s="471"/>
      <c r="L148" s="470"/>
      <c r="M148" s="471"/>
      <c r="N148" s="471"/>
      <c r="O148" s="471"/>
      <c r="P148" s="677"/>
      <c r="Q148" s="678"/>
      <c r="R148" s="678"/>
      <c r="S148" s="678"/>
      <c r="T148" s="678"/>
      <c r="U148" s="678"/>
      <c r="V148" s="679"/>
      <c r="W148" s="475">
        <f>IF(OR(B148=Słowniki!A$46,B148=Słowniki!A$56,B148=Słowniki!A$58,,B148=Słowniki!A$59),0.08,0.23)</f>
        <v>0.23</v>
      </c>
      <c r="X148" s="476"/>
      <c r="Y148" s="476"/>
      <c r="Z148" s="476"/>
      <c r="AA148" s="462">
        <f t="shared" si="3"/>
        <v>0</v>
      </c>
      <c r="AB148" s="462"/>
      <c r="AC148" s="462"/>
      <c r="AD148" s="462"/>
      <c r="AE148" s="462"/>
      <c r="AF148" s="462"/>
      <c r="AG148" s="462"/>
      <c r="AH148" s="329">
        <f t="shared" si="1"/>
        <v>1</v>
      </c>
      <c r="AI148" s="330"/>
      <c r="AJ148" s="331"/>
      <c r="AK148" s="291">
        <f t="shared" si="2"/>
        <v>0</v>
      </c>
      <c r="AL148" s="293"/>
      <c r="AM148" s="221"/>
      <c r="AN148" s="221"/>
      <c r="AO148" s="222"/>
      <c r="AP148" s="223"/>
      <c r="AQ148" s="223"/>
      <c r="AR148" s="223"/>
      <c r="AS148" s="223"/>
      <c r="AT148" s="223"/>
      <c r="AU148" s="223"/>
      <c r="AV148" s="223"/>
      <c r="AW148" s="223"/>
      <c r="AX148" s="223"/>
      <c r="AY148" s="223"/>
      <c r="AZ148" s="223"/>
      <c r="BA148" s="223"/>
      <c r="BB148" s="223"/>
      <c r="BC148" s="223"/>
      <c r="BD148" s="223"/>
      <c r="BE148" s="223"/>
      <c r="BF148" s="223"/>
      <c r="BG148" s="223"/>
      <c r="BH148" s="223"/>
      <c r="BI148" s="223"/>
      <c r="BJ148" s="223"/>
      <c r="BK148" s="223"/>
      <c r="BL148" s="223"/>
      <c r="BM148" s="223"/>
    </row>
    <row r="149" spans="1:65" s="224" customFormat="1" ht="55.2" customHeight="1" x14ac:dyDescent="0.25">
      <c r="A149" s="220">
        <v>22</v>
      </c>
      <c r="B149" s="467"/>
      <c r="C149" s="468"/>
      <c r="D149" s="468"/>
      <c r="E149" s="468"/>
      <c r="F149" s="469"/>
      <c r="G149" s="470"/>
      <c r="H149" s="471"/>
      <c r="I149" s="471"/>
      <c r="J149" s="471"/>
      <c r="K149" s="471"/>
      <c r="L149" s="470"/>
      <c r="M149" s="471"/>
      <c r="N149" s="471"/>
      <c r="O149" s="471"/>
      <c r="P149" s="677"/>
      <c r="Q149" s="678"/>
      <c r="R149" s="678"/>
      <c r="S149" s="678"/>
      <c r="T149" s="678"/>
      <c r="U149" s="678"/>
      <c r="V149" s="679"/>
      <c r="W149" s="475">
        <f>IF(OR(B149=Słowniki!A$46,B149=Słowniki!A$56,B149=Słowniki!A$58,,B149=Słowniki!A$59),0.08,0.23)</f>
        <v>0.23</v>
      </c>
      <c r="X149" s="476"/>
      <c r="Y149" s="476"/>
      <c r="Z149" s="476"/>
      <c r="AA149" s="462">
        <f t="shared" si="3"/>
        <v>0</v>
      </c>
      <c r="AB149" s="462"/>
      <c r="AC149" s="462"/>
      <c r="AD149" s="462"/>
      <c r="AE149" s="462"/>
      <c r="AF149" s="462"/>
      <c r="AG149" s="462"/>
      <c r="AH149" s="329">
        <f t="shared" si="1"/>
        <v>1</v>
      </c>
      <c r="AI149" s="330"/>
      <c r="AJ149" s="331"/>
      <c r="AK149" s="291">
        <f t="shared" si="2"/>
        <v>0</v>
      </c>
      <c r="AL149" s="293"/>
      <c r="AM149" s="221"/>
      <c r="AN149" s="221"/>
      <c r="AO149" s="222"/>
      <c r="AP149" s="223"/>
      <c r="AQ149" s="223"/>
      <c r="AR149" s="223"/>
      <c r="AS149" s="223"/>
      <c r="AT149" s="223"/>
      <c r="AU149" s="223"/>
      <c r="AV149" s="223"/>
      <c r="AW149" s="223"/>
      <c r="AX149" s="223"/>
      <c r="AY149" s="223"/>
      <c r="AZ149" s="223"/>
      <c r="BA149" s="223"/>
      <c r="BB149" s="223"/>
      <c r="BC149" s="223"/>
      <c r="BD149" s="223"/>
      <c r="BE149" s="223"/>
      <c r="BF149" s="223"/>
      <c r="BG149" s="223"/>
      <c r="BH149" s="223"/>
      <c r="BI149" s="223"/>
      <c r="BJ149" s="223"/>
      <c r="BK149" s="223"/>
      <c r="BL149" s="223"/>
      <c r="BM149" s="223"/>
    </row>
    <row r="150" spans="1:65" s="223" customFormat="1" ht="36" customHeight="1" x14ac:dyDescent="0.25">
      <c r="A150" s="220">
        <v>23</v>
      </c>
      <c r="B150" s="451" t="s">
        <v>128</v>
      </c>
      <c r="C150" s="452"/>
      <c r="D150" s="452"/>
      <c r="E150" s="452"/>
      <c r="F150" s="452"/>
      <c r="G150" s="452"/>
      <c r="H150" s="452"/>
      <c r="I150" s="452"/>
      <c r="J150" s="452"/>
      <c r="K150" s="452"/>
      <c r="L150" s="452"/>
      <c r="M150" s="452"/>
      <c r="N150" s="452"/>
      <c r="O150" s="504"/>
      <c r="P150" s="502">
        <f>SUM(P128:V149)</f>
        <v>0</v>
      </c>
      <c r="Q150" s="503"/>
      <c r="R150" s="503"/>
      <c r="S150" s="503"/>
      <c r="T150" s="503"/>
      <c r="U150" s="503"/>
      <c r="V150" s="503"/>
      <c r="W150" s="500" t="s">
        <v>129</v>
      </c>
      <c r="X150" s="500"/>
      <c r="Y150" s="500"/>
      <c r="Z150" s="501"/>
      <c r="AA150" s="457">
        <f>SUM(AA128:AG149)</f>
        <v>0</v>
      </c>
      <c r="AB150" s="457"/>
      <c r="AC150" s="457"/>
      <c r="AD150" s="457"/>
      <c r="AE150" s="457"/>
      <c r="AF150" s="457"/>
      <c r="AG150" s="457"/>
      <c r="AH150" s="461" t="s">
        <v>129</v>
      </c>
      <c r="AI150" s="461"/>
      <c r="AJ150" s="461"/>
      <c r="AK150" s="457">
        <f>ROUND(SUM(AK128:AL149),2)</f>
        <v>0</v>
      </c>
      <c r="AL150" s="457"/>
      <c r="AM150" s="221"/>
      <c r="AN150" s="221"/>
      <c r="AO150" s="222"/>
    </row>
    <row r="151" spans="1:65" s="60" customFormat="1" ht="120.45" customHeight="1" x14ac:dyDescent="0.25">
      <c r="A151" s="334" t="s">
        <v>1111</v>
      </c>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c r="AI151" s="334"/>
      <c r="AJ151" s="334"/>
      <c r="AK151" s="334"/>
      <c r="AL151" s="334"/>
      <c r="AM151" s="77"/>
      <c r="AN151" s="61"/>
      <c r="AO151" s="61"/>
    </row>
    <row r="152" spans="1:65" s="60" customFormat="1" ht="13.95" customHeight="1" x14ac:dyDescent="0.25">
      <c r="A152" s="129"/>
      <c r="B152" s="453" t="s">
        <v>181</v>
      </c>
      <c r="C152" s="453"/>
      <c r="D152" s="453"/>
      <c r="E152" s="453"/>
      <c r="F152" s="453"/>
      <c r="G152" s="453"/>
      <c r="H152" s="453"/>
      <c r="I152" s="453"/>
      <c r="J152" s="453"/>
      <c r="K152" s="453"/>
      <c r="L152" s="453"/>
      <c r="M152" s="453"/>
      <c r="N152" s="453"/>
      <c r="O152" s="453"/>
      <c r="P152" s="453"/>
      <c r="Q152" s="453"/>
      <c r="R152" s="453"/>
      <c r="S152" s="453"/>
      <c r="T152" s="458">
        <v>0.35</v>
      </c>
      <c r="U152" s="458"/>
      <c r="V152" s="458"/>
      <c r="W152" s="458"/>
      <c r="X152" s="458"/>
      <c r="Y152" s="458"/>
      <c r="Z152" s="458"/>
      <c r="AA152" s="458"/>
      <c r="AB152" s="458"/>
      <c r="AC152" s="458"/>
      <c r="AD152" s="458"/>
      <c r="AE152" s="458"/>
      <c r="AF152" s="458"/>
      <c r="AG152" s="458"/>
      <c r="AH152" s="458"/>
      <c r="AI152" s="458"/>
      <c r="AJ152" s="458"/>
      <c r="AK152" s="130"/>
      <c r="AL152" s="131"/>
      <c r="AM152" s="77"/>
      <c r="AN152" s="61"/>
      <c r="AO152" s="61"/>
    </row>
    <row r="153" spans="1:65" s="60" customFormat="1" ht="25.2" customHeight="1" x14ac:dyDescent="0.25">
      <c r="A153" s="129"/>
      <c r="B153" s="453" t="s">
        <v>695</v>
      </c>
      <c r="C153" s="453"/>
      <c r="D153" s="453"/>
      <c r="E153" s="453"/>
      <c r="F153" s="453"/>
      <c r="G153" s="453"/>
      <c r="H153" s="453"/>
      <c r="I153" s="453"/>
      <c r="J153" s="453"/>
      <c r="K153" s="453"/>
      <c r="L153" s="453"/>
      <c r="M153" s="453"/>
      <c r="N153" s="453"/>
      <c r="O153" s="453"/>
      <c r="P153" s="453"/>
      <c r="Q153" s="453"/>
      <c r="R153" s="453"/>
      <c r="S153" s="453"/>
      <c r="T153" s="641">
        <f>S64</f>
        <v>0</v>
      </c>
      <c r="U153" s="641"/>
      <c r="V153" s="641"/>
      <c r="W153" s="641"/>
      <c r="X153" s="641"/>
      <c r="Y153" s="641"/>
      <c r="Z153" s="641"/>
      <c r="AA153" s="641"/>
      <c r="AB153" s="641"/>
      <c r="AC153" s="641"/>
      <c r="AD153" s="641"/>
      <c r="AE153" s="641"/>
      <c r="AF153" s="641"/>
      <c r="AG153" s="641"/>
      <c r="AH153" s="641"/>
      <c r="AI153" s="641"/>
      <c r="AJ153" s="641"/>
      <c r="AK153" s="130"/>
      <c r="AL153" s="131"/>
      <c r="AM153" s="77"/>
      <c r="AN153" s="61"/>
      <c r="AO153" s="61"/>
    </row>
    <row r="154" spans="1:65" s="60" customFormat="1" ht="48.45" customHeight="1" x14ac:dyDescent="0.25">
      <c r="A154" s="129"/>
      <c r="B154" s="628" t="s">
        <v>867</v>
      </c>
      <c r="C154" s="628"/>
      <c r="D154" s="628"/>
      <c r="E154" s="628"/>
      <c r="F154" s="628"/>
      <c r="G154" s="628"/>
      <c r="H154" s="628"/>
      <c r="I154" s="628"/>
      <c r="J154" s="628"/>
      <c r="K154" s="628"/>
      <c r="L154" s="628"/>
      <c r="M154" s="628"/>
      <c r="N154" s="628"/>
      <c r="O154" s="628"/>
      <c r="P154" s="628"/>
      <c r="Q154" s="628"/>
      <c r="R154" s="628"/>
      <c r="S154" s="628"/>
      <c r="T154" s="698" t="e">
        <f>T153/AK150</f>
        <v>#DIV/0!</v>
      </c>
      <c r="U154" s="698"/>
      <c r="V154" s="698"/>
      <c r="W154" s="698"/>
      <c r="X154" s="698"/>
      <c r="Y154" s="698"/>
      <c r="Z154" s="698"/>
      <c r="AA154" s="698"/>
      <c r="AB154" s="698"/>
      <c r="AC154" s="698"/>
      <c r="AD154" s="698"/>
      <c r="AE154" s="698"/>
      <c r="AF154" s="698"/>
      <c r="AG154" s="698"/>
      <c r="AH154" s="698"/>
      <c r="AI154" s="698"/>
      <c r="AJ154" s="698"/>
      <c r="AK154" s="130"/>
      <c r="AL154" s="131"/>
      <c r="AM154" s="77"/>
      <c r="AN154" s="61"/>
      <c r="AO154" s="61"/>
    </row>
    <row r="155" spans="1:65" s="60" customFormat="1" ht="13.95" customHeight="1" x14ac:dyDescent="0.3">
      <c r="A155" s="129"/>
      <c r="B155" s="453" t="s">
        <v>183</v>
      </c>
      <c r="C155" s="453"/>
      <c r="D155" s="453"/>
      <c r="E155" s="453"/>
      <c r="F155" s="453"/>
      <c r="G155" s="453"/>
      <c r="H155" s="453"/>
      <c r="I155" s="453"/>
      <c r="J155" s="453"/>
      <c r="K155" s="453"/>
      <c r="L155" s="453"/>
      <c r="M155" s="453"/>
      <c r="N155" s="453"/>
      <c r="O155" s="453"/>
      <c r="P155" s="453"/>
      <c r="Q155" s="453"/>
      <c r="R155" s="453"/>
      <c r="S155" s="453"/>
      <c r="T155" s="459"/>
      <c r="U155" s="459"/>
      <c r="V155" s="459"/>
      <c r="W155" s="459"/>
      <c r="X155" s="459"/>
      <c r="Y155" s="459"/>
      <c r="Z155" s="459"/>
      <c r="AA155" s="459"/>
      <c r="AB155" s="459"/>
      <c r="AC155" s="459"/>
      <c r="AD155" s="459"/>
      <c r="AE155" s="459"/>
      <c r="AF155" s="459"/>
      <c r="AG155" s="459"/>
      <c r="AH155" s="459"/>
      <c r="AI155" s="459"/>
      <c r="AJ155" s="459"/>
      <c r="AK155" s="130"/>
      <c r="AL155" s="131"/>
      <c r="AM155" s="100" t="s">
        <v>215</v>
      </c>
      <c r="AN155" s="61"/>
      <c r="AO155" s="61"/>
    </row>
    <row r="156" spans="1:65" s="60" customFormat="1" ht="13.95" customHeight="1" x14ac:dyDescent="0.25">
      <c r="A156" s="129"/>
      <c r="B156" s="453" t="s">
        <v>182</v>
      </c>
      <c r="C156" s="453"/>
      <c r="D156" s="453"/>
      <c r="E156" s="453"/>
      <c r="F156" s="453"/>
      <c r="G156" s="453"/>
      <c r="H156" s="453"/>
      <c r="I156" s="453"/>
      <c r="J156" s="453"/>
      <c r="K156" s="453"/>
      <c r="L156" s="453"/>
      <c r="M156" s="453"/>
      <c r="N156" s="453"/>
      <c r="O156" s="453"/>
      <c r="P156" s="453"/>
      <c r="Q156" s="453"/>
      <c r="R156" s="453"/>
      <c r="S156" s="453"/>
      <c r="T156" s="466" t="e">
        <f>ROUNDDOWN(AK150*(T152+T155),2)+IF(T154&lt;=10%,ROUNDDOWN(AK150*T154,2),ROUNDDOWN(AK150*10%,2))</f>
        <v>#DIV/0!</v>
      </c>
      <c r="U156" s="466"/>
      <c r="V156" s="466"/>
      <c r="W156" s="466"/>
      <c r="X156" s="466"/>
      <c r="Y156" s="466"/>
      <c r="Z156" s="466"/>
      <c r="AA156" s="466"/>
      <c r="AB156" s="466"/>
      <c r="AC156" s="466"/>
      <c r="AD156" s="466"/>
      <c r="AE156" s="466"/>
      <c r="AF156" s="466"/>
      <c r="AG156" s="466"/>
      <c r="AH156" s="466"/>
      <c r="AI156" s="466"/>
      <c r="AJ156" s="466"/>
      <c r="AK156" s="130"/>
      <c r="AL156" s="131"/>
      <c r="AM156" s="77"/>
      <c r="AN156" s="61"/>
      <c r="AO156" s="61"/>
    </row>
    <row r="157" spans="1:65" s="60" customFormat="1" ht="45" customHeight="1" x14ac:dyDescent="0.25">
      <c r="A157" s="332" t="s">
        <v>790</v>
      </c>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77"/>
      <c r="AN157" s="61"/>
      <c r="AO157" s="61"/>
    </row>
    <row r="158" spans="1:65" s="60" customFormat="1" ht="35.700000000000003" customHeight="1" x14ac:dyDescent="0.25">
      <c r="A158" s="333"/>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120"/>
    </row>
    <row r="159" spans="1:65" s="60" customFormat="1" ht="43.5" customHeight="1" x14ac:dyDescent="0.25">
      <c r="A159" s="332" t="s">
        <v>831</v>
      </c>
      <c r="B159" s="332"/>
      <c r="C159" s="332"/>
      <c r="D159" s="332"/>
      <c r="E159" s="332"/>
      <c r="F159" s="332"/>
      <c r="G159" s="332"/>
      <c r="H159" s="332"/>
      <c r="I159" s="332"/>
      <c r="J159" s="332"/>
      <c r="K159" s="332"/>
      <c r="L159" s="332"/>
      <c r="M159" s="332"/>
      <c r="N159" s="332"/>
      <c r="O159" s="332"/>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120"/>
    </row>
    <row r="160" spans="1:65" s="60" customFormat="1" ht="35.700000000000003" customHeight="1" x14ac:dyDescent="0.25">
      <c r="A160" s="333"/>
      <c r="B160" s="333"/>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120"/>
    </row>
    <row r="161" spans="1:65" s="60" customFormat="1" ht="40.200000000000003" customHeight="1" x14ac:dyDescent="0.25">
      <c r="A161" s="332" t="s">
        <v>1115</v>
      </c>
      <c r="B161" s="332"/>
      <c r="C161" s="332"/>
      <c r="D161" s="332"/>
      <c r="E161" s="332"/>
      <c r="F161" s="332"/>
      <c r="G161" s="332"/>
      <c r="H161" s="332"/>
      <c r="I161" s="332"/>
      <c r="J161" s="332"/>
      <c r="K161" s="332"/>
      <c r="L161" s="332"/>
      <c r="M161" s="332"/>
      <c r="N161" s="332"/>
      <c r="O161" s="332"/>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101"/>
    </row>
    <row r="162" spans="1:65" s="60" customFormat="1" ht="45" customHeight="1" x14ac:dyDescent="0.25">
      <c r="A162" s="333" t="s">
        <v>961</v>
      </c>
      <c r="B162" s="333"/>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117"/>
    </row>
    <row r="163" spans="1:65" ht="63" customHeight="1" x14ac:dyDescent="0.25">
      <c r="A163" s="308" t="s">
        <v>1116</v>
      </c>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c r="AD163" s="308"/>
      <c r="AE163" s="308"/>
      <c r="AF163" s="308"/>
      <c r="AG163" s="308"/>
      <c r="AH163" s="308"/>
      <c r="AI163" s="308"/>
      <c r="AJ163" s="308"/>
      <c r="AK163" s="308"/>
      <c r="AL163" s="308"/>
    </row>
    <row r="164" spans="1:65" ht="34.5" customHeight="1" x14ac:dyDescent="0.25">
      <c r="A164" s="626" t="s">
        <v>795</v>
      </c>
      <c r="B164" s="626"/>
      <c r="C164" s="626"/>
      <c r="D164" s="626"/>
      <c r="E164" s="626"/>
      <c r="F164" s="626"/>
      <c r="G164" s="626"/>
      <c r="H164" s="626"/>
      <c r="I164" s="626"/>
      <c r="J164" s="626"/>
      <c r="K164" s="626"/>
      <c r="L164" s="626"/>
      <c r="M164" s="626"/>
      <c r="N164" s="626"/>
      <c r="O164" s="626"/>
      <c r="P164" s="626"/>
      <c r="Q164" s="626"/>
      <c r="R164" s="626"/>
      <c r="S164" s="626"/>
      <c r="T164" s="626"/>
      <c r="U164" s="626"/>
      <c r="V164" s="626"/>
      <c r="W164" s="626"/>
      <c r="X164" s="626"/>
      <c r="Y164" s="626"/>
      <c r="Z164" s="626"/>
      <c r="AA164" s="626"/>
      <c r="AB164" s="626"/>
      <c r="AC164" s="626"/>
      <c r="AD164" s="626"/>
      <c r="AE164" s="626"/>
      <c r="AF164" s="626"/>
      <c r="AG164" s="626"/>
      <c r="AH164" s="626"/>
      <c r="AI164" s="626"/>
      <c r="AJ164" s="626"/>
      <c r="AK164" s="626"/>
      <c r="AL164" s="626"/>
    </row>
    <row r="165" spans="1:65" ht="76.2" customHeight="1" x14ac:dyDescent="0.25">
      <c r="A165" s="308" t="s">
        <v>1117</v>
      </c>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c r="AH165" s="308"/>
      <c r="AI165" s="308"/>
      <c r="AJ165" s="308"/>
      <c r="AK165" s="308"/>
      <c r="AL165" s="308"/>
    </row>
    <row r="166" spans="1:65" s="86" customFormat="1" ht="45" customHeight="1" x14ac:dyDescent="0.2">
      <c r="A166" s="626" t="s">
        <v>940</v>
      </c>
      <c r="B166" s="626"/>
      <c r="C166" s="626"/>
      <c r="D166" s="626"/>
      <c r="E166" s="626"/>
      <c r="F166" s="626"/>
      <c r="G166" s="626"/>
      <c r="H166" s="626"/>
      <c r="I166" s="626"/>
      <c r="J166" s="626"/>
      <c r="K166" s="626"/>
      <c r="L166" s="626"/>
      <c r="M166" s="626"/>
      <c r="N166" s="626"/>
      <c r="O166" s="626"/>
      <c r="P166" s="626"/>
      <c r="Q166" s="626"/>
      <c r="R166" s="626"/>
      <c r="S166" s="626"/>
      <c r="T166" s="626"/>
      <c r="U166" s="626"/>
      <c r="V166" s="626"/>
      <c r="W166" s="626"/>
      <c r="X166" s="626"/>
      <c r="Y166" s="626"/>
      <c r="Z166" s="626"/>
      <c r="AA166" s="626"/>
      <c r="AB166" s="626"/>
      <c r="AC166" s="626"/>
      <c r="AD166" s="626"/>
      <c r="AE166" s="626"/>
      <c r="AF166" s="626"/>
      <c r="AG166" s="626"/>
      <c r="AH166" s="626"/>
      <c r="AI166" s="626"/>
      <c r="AJ166" s="626"/>
      <c r="AK166" s="626"/>
      <c r="AL166" s="626"/>
      <c r="AM166" s="101"/>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row>
    <row r="167" spans="1:65" s="86" customFormat="1" ht="45" customHeight="1" x14ac:dyDescent="0.25">
      <c r="A167" s="308" t="s">
        <v>1120</v>
      </c>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101"/>
      <c r="AN167" s="60"/>
      <c r="AO167" s="60"/>
      <c r="AP167" s="60"/>
      <c r="AQ167" s="60"/>
      <c r="AR167" s="60"/>
      <c r="AS167" s="60"/>
      <c r="AT167" s="60"/>
      <c r="AU167" s="116"/>
      <c r="AV167" s="116"/>
      <c r="AW167" s="116"/>
      <c r="AX167" s="116"/>
      <c r="AY167" s="116"/>
      <c r="AZ167" s="116"/>
      <c r="BA167" s="116"/>
      <c r="BB167" s="116"/>
      <c r="BC167" s="116"/>
      <c r="BD167" s="116"/>
      <c r="BE167" s="116"/>
      <c r="BF167" s="116"/>
      <c r="BG167" s="116"/>
      <c r="BH167" s="116"/>
      <c r="BI167" s="116"/>
      <c r="BJ167" s="116"/>
      <c r="BK167" s="116"/>
      <c r="BL167" s="116"/>
      <c r="BM167" s="116"/>
    </row>
    <row r="168" spans="1:65" s="86" customFormat="1" ht="45" customHeight="1" x14ac:dyDescent="0.25">
      <c r="A168" s="333" t="str">
        <f>IF(A73=Słowniki!AA3,Słowniki!W6,Słowniki!W5)</f>
        <v>Żaden lokal nie będzie przeznaczony dla rodzin z dziećmi posiadającymi zaświadczenie, o którym mowa w art. 4 ust. 3 ustawy z dnia 4 listopada 2016 r. o wsparciu kobiet w ciąży i rodzin „Za życiem” (Dz. U. z 2024 r. poz. 1829).</v>
      </c>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101" t="str">
        <f>IF(A$166=Słowniki!P3,"Po wydrukowaniu należy przystawić imienną pieczęć i podpisać oświadczenie","")</f>
        <v/>
      </c>
      <c r="AN168" s="60"/>
      <c r="AO168" s="60"/>
      <c r="AP168" s="60"/>
      <c r="AQ168" s="60"/>
      <c r="AR168" s="60"/>
      <c r="AS168" s="60"/>
      <c r="AT168" s="60"/>
      <c r="AU168" s="116"/>
      <c r="AV168" s="116"/>
      <c r="AW168" s="116"/>
      <c r="AX168" s="116"/>
      <c r="AY168" s="116"/>
      <c r="AZ168" s="116"/>
      <c r="BA168" s="116"/>
      <c r="BB168" s="116"/>
      <c r="BC168" s="116"/>
      <c r="BD168" s="116"/>
      <c r="BE168" s="116"/>
      <c r="BF168" s="116"/>
      <c r="BG168" s="116"/>
      <c r="BH168" s="116"/>
      <c r="BI168" s="116"/>
      <c r="BJ168" s="116"/>
      <c r="BK168" s="116"/>
      <c r="BL168" s="116"/>
      <c r="BM168" s="116"/>
    </row>
    <row r="169" spans="1:65" ht="115.2" customHeight="1" x14ac:dyDescent="0.25">
      <c r="A169" s="308" t="s">
        <v>1123</v>
      </c>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117"/>
    </row>
    <row r="170" spans="1:65" ht="76.5" customHeight="1" x14ac:dyDescent="0.25">
      <c r="A170" s="333" t="s">
        <v>784</v>
      </c>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row>
    <row r="171" spans="1:65" ht="79.5" customHeight="1" x14ac:dyDescent="0.25">
      <c r="A171" s="308" t="s">
        <v>1126</v>
      </c>
      <c r="B171" s="332"/>
      <c r="C171" s="332"/>
      <c r="D171" s="332"/>
      <c r="E171" s="332"/>
      <c r="F171" s="332"/>
      <c r="G171" s="332"/>
      <c r="H171" s="332"/>
      <c r="I171" s="332"/>
      <c r="J171" s="332"/>
      <c r="K171" s="332"/>
      <c r="L171" s="332"/>
      <c r="M171" s="332"/>
      <c r="N171" s="332"/>
      <c r="O171" s="332"/>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c r="AM171" s="117"/>
    </row>
    <row r="172" spans="1:65" ht="70.95" customHeight="1" x14ac:dyDescent="0.25">
      <c r="A172" s="333" t="str">
        <f>IF(AND(A75&gt;Słowniki!AA3,A107&gt;Słowniki!AA3),Słowniki!Z$1,Słowniki!Z$2)</f>
        <v>NIE DOTYCZY</v>
      </c>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row>
    <row r="173" spans="1:65" ht="82.5" customHeight="1" x14ac:dyDescent="0.25">
      <c r="A173" s="332" t="s">
        <v>1130</v>
      </c>
      <c r="B173" s="332"/>
      <c r="C173" s="332"/>
      <c r="D173" s="332"/>
      <c r="E173" s="332"/>
      <c r="F173" s="332"/>
      <c r="G173" s="332"/>
      <c r="H173" s="332"/>
      <c r="I173" s="332"/>
      <c r="J173" s="332"/>
      <c r="K173" s="332"/>
      <c r="L173" s="332"/>
      <c r="M173" s="332"/>
      <c r="N173" s="332"/>
      <c r="O173" s="332"/>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77"/>
    </row>
    <row r="174" spans="1:65" ht="56.7" customHeight="1" x14ac:dyDescent="0.25">
      <c r="A174" s="333"/>
      <c r="B174" s="333"/>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c r="AM174" s="117"/>
    </row>
    <row r="175" spans="1:65" ht="49.2" customHeight="1" x14ac:dyDescent="0.25">
      <c r="A175" s="308" t="s">
        <v>1133</v>
      </c>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c r="AH175" s="308"/>
      <c r="AI175" s="308"/>
      <c r="AJ175" s="308"/>
      <c r="AK175" s="308"/>
      <c r="AL175" s="308"/>
      <c r="AM175" s="77"/>
    </row>
    <row r="176" spans="1:65" ht="46.95" customHeight="1" x14ac:dyDescent="0.25">
      <c r="A176" s="630" t="s">
        <v>1028</v>
      </c>
      <c r="B176" s="630"/>
      <c r="C176" s="630"/>
      <c r="D176" s="630"/>
      <c r="E176" s="630"/>
      <c r="F176" s="630"/>
      <c r="G176" s="630"/>
      <c r="H176" s="630"/>
      <c r="I176" s="630"/>
      <c r="J176" s="630"/>
      <c r="K176" s="630"/>
      <c r="L176" s="630"/>
      <c r="M176" s="630"/>
      <c r="N176" s="630"/>
      <c r="O176" s="630"/>
      <c r="P176" s="630"/>
      <c r="Q176" s="630"/>
      <c r="R176" s="630"/>
      <c r="S176" s="630"/>
      <c r="T176" s="630" t="s">
        <v>947</v>
      </c>
      <c r="U176" s="630"/>
      <c r="V176" s="630"/>
      <c r="W176" s="630"/>
      <c r="X176" s="630"/>
      <c r="Y176" s="630"/>
      <c r="Z176" s="630"/>
      <c r="AA176" s="630"/>
      <c r="AB176" s="630"/>
      <c r="AC176" s="630"/>
      <c r="AD176" s="630"/>
      <c r="AE176" s="630"/>
      <c r="AF176" s="630"/>
      <c r="AG176" s="630"/>
      <c r="AH176" s="630"/>
      <c r="AI176" s="630"/>
      <c r="AJ176" s="630"/>
      <c r="AK176" s="630"/>
      <c r="AL176" s="630"/>
      <c r="AM176" s="77"/>
    </row>
    <row r="177" spans="1:41" ht="124.5" customHeight="1" x14ac:dyDescent="0.25">
      <c r="A177" s="629">
        <f>B49</f>
        <v>0</v>
      </c>
      <c r="B177" s="629"/>
      <c r="C177" s="629"/>
      <c r="D177" s="629"/>
      <c r="E177" s="629"/>
      <c r="F177" s="629"/>
      <c r="G177" s="629"/>
      <c r="H177" s="629"/>
      <c r="I177" s="629"/>
      <c r="J177" s="629"/>
      <c r="K177" s="629"/>
      <c r="L177" s="629"/>
      <c r="M177" s="629"/>
      <c r="N177" s="629"/>
      <c r="O177" s="629"/>
      <c r="P177" s="629"/>
      <c r="Q177" s="629"/>
      <c r="R177" s="629"/>
      <c r="S177" s="629"/>
      <c r="T177" s="627" t="s">
        <v>1144</v>
      </c>
      <c r="U177" s="627"/>
      <c r="V177" s="627"/>
      <c r="W177" s="627"/>
      <c r="X177" s="627"/>
      <c r="Y177" s="627"/>
      <c r="Z177" s="627"/>
      <c r="AA177" s="627"/>
      <c r="AB177" s="627"/>
      <c r="AC177" s="627"/>
      <c r="AD177" s="627"/>
      <c r="AE177" s="627"/>
      <c r="AF177" s="627"/>
      <c r="AG177" s="627"/>
      <c r="AH177" s="627"/>
      <c r="AI177" s="627"/>
      <c r="AJ177" s="627"/>
      <c r="AK177" s="627"/>
      <c r="AL177" s="627"/>
      <c r="AM177" s="77"/>
    </row>
    <row r="178" spans="1:41" ht="59.7" customHeight="1" x14ac:dyDescent="0.25">
      <c r="A178" s="315" t="s">
        <v>1135</v>
      </c>
      <c r="B178" s="315"/>
      <c r="C178" s="315"/>
      <c r="D178" s="315"/>
      <c r="E178" s="315"/>
      <c r="F178" s="315"/>
      <c r="G178" s="315"/>
      <c r="H178" s="315"/>
      <c r="I178" s="315"/>
      <c r="J178" s="315"/>
      <c r="K178" s="315"/>
      <c r="L178" s="315"/>
      <c r="M178" s="315"/>
      <c r="N178" s="315"/>
      <c r="O178" s="315"/>
      <c r="P178" s="315"/>
      <c r="Q178" s="315"/>
      <c r="R178" s="315"/>
      <c r="S178" s="315"/>
      <c r="T178" s="315"/>
      <c r="U178" s="315"/>
      <c r="V178" s="315"/>
      <c r="W178" s="315"/>
      <c r="X178" s="315"/>
      <c r="Y178" s="315"/>
      <c r="Z178" s="315"/>
      <c r="AA178" s="315"/>
      <c r="AB178" s="315"/>
      <c r="AC178" s="315"/>
      <c r="AD178" s="315"/>
      <c r="AE178" s="315"/>
      <c r="AF178" s="315"/>
      <c r="AG178" s="315"/>
      <c r="AH178" s="315"/>
      <c r="AI178" s="315"/>
      <c r="AJ178" s="315"/>
      <c r="AK178" s="315"/>
      <c r="AL178" s="315"/>
      <c r="AM178" s="77"/>
    </row>
    <row r="179" spans="1:41" ht="96" customHeight="1" x14ac:dyDescent="0.25">
      <c r="A179" s="333"/>
      <c r="B179" s="333"/>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77"/>
    </row>
    <row r="180" spans="1:41" ht="52.2" customHeight="1" x14ac:dyDescent="0.25">
      <c r="A180" s="308" t="s">
        <v>1138</v>
      </c>
      <c r="B180" s="332"/>
      <c r="C180" s="332"/>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77"/>
    </row>
    <row r="181" spans="1:41" ht="54.45" customHeight="1" x14ac:dyDescent="0.25">
      <c r="A181" s="333" t="s">
        <v>1139</v>
      </c>
      <c r="B181" s="333"/>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c r="Z181" s="333"/>
      <c r="AA181" s="333"/>
      <c r="AB181" s="333"/>
      <c r="AC181" s="333"/>
      <c r="AD181" s="333"/>
      <c r="AE181" s="333"/>
      <c r="AF181" s="333"/>
      <c r="AG181" s="333"/>
      <c r="AH181" s="333"/>
      <c r="AI181" s="333"/>
      <c r="AJ181" s="333"/>
      <c r="AK181" s="333"/>
      <c r="AL181" s="333"/>
      <c r="AM181" s="77"/>
    </row>
    <row r="182" spans="1:41" ht="45" customHeight="1" x14ac:dyDescent="0.25">
      <c r="A182" s="649" t="s">
        <v>752</v>
      </c>
      <c r="B182" s="649"/>
      <c r="C182" s="649"/>
      <c r="D182" s="649"/>
      <c r="E182" s="649"/>
      <c r="F182" s="649"/>
      <c r="G182" s="649"/>
      <c r="H182" s="649"/>
      <c r="I182" s="649"/>
      <c r="J182" s="649"/>
      <c r="K182" s="649"/>
      <c r="L182" s="649"/>
      <c r="M182" s="649"/>
      <c r="N182" s="649"/>
      <c r="O182" s="649"/>
      <c r="P182" s="649"/>
      <c r="Q182" s="649"/>
      <c r="R182" s="649"/>
      <c r="S182" s="649"/>
      <c r="T182" s="649"/>
      <c r="U182" s="649"/>
      <c r="V182" s="649"/>
      <c r="W182" s="649"/>
      <c r="X182" s="649"/>
      <c r="Y182" s="649"/>
      <c r="Z182" s="649"/>
      <c r="AA182" s="649"/>
      <c r="AB182" s="649"/>
      <c r="AC182" s="649"/>
      <c r="AD182" s="649"/>
      <c r="AE182" s="649"/>
      <c r="AF182" s="649"/>
      <c r="AG182" s="649"/>
      <c r="AH182" s="649"/>
      <c r="AI182" s="649"/>
      <c r="AJ182" s="649"/>
      <c r="AK182" s="649"/>
      <c r="AL182" s="649"/>
      <c r="AM182" s="77"/>
      <c r="AN182" s="61"/>
      <c r="AO182" s="61"/>
    </row>
    <row r="183" spans="1:41" ht="61.95" customHeight="1" x14ac:dyDescent="0.25">
      <c r="A183" s="308" t="s">
        <v>979</v>
      </c>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c r="AM183" s="77"/>
      <c r="AN183" s="61"/>
      <c r="AO183" s="61"/>
    </row>
    <row r="184" spans="1:41" ht="39.450000000000003" customHeight="1" x14ac:dyDescent="0.25">
      <c r="A184" s="308" t="s">
        <v>1024</v>
      </c>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c r="AD184" s="308"/>
      <c r="AE184" s="308"/>
      <c r="AF184" s="308"/>
      <c r="AG184" s="308"/>
      <c r="AH184" s="308"/>
      <c r="AI184" s="308"/>
      <c r="AJ184" s="308"/>
      <c r="AK184" s="308"/>
      <c r="AL184" s="308"/>
      <c r="AM184" s="77"/>
      <c r="AN184" s="61"/>
      <c r="AO184" s="61"/>
    </row>
    <row r="185" spans="1:41" ht="82.95" customHeight="1" x14ac:dyDescent="0.25">
      <c r="A185" s="308" t="s">
        <v>1153</v>
      </c>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c r="AH185" s="308"/>
      <c r="AI185" s="308"/>
      <c r="AJ185" s="308"/>
      <c r="AK185" s="308"/>
      <c r="AL185" s="308"/>
      <c r="AM185" s="77"/>
      <c r="AN185" s="61"/>
      <c r="AO185" s="61"/>
    </row>
    <row r="186" spans="1:41" ht="70.2" customHeight="1" x14ac:dyDescent="0.25">
      <c r="A186" s="308" t="s">
        <v>1011</v>
      </c>
      <c r="B186" s="328"/>
      <c r="C186" s="328"/>
      <c r="D186" s="328"/>
      <c r="E186" s="328"/>
      <c r="F186" s="328"/>
      <c r="G186" s="328"/>
      <c r="H186" s="328"/>
      <c r="I186" s="328"/>
      <c r="J186" s="328"/>
      <c r="K186" s="328"/>
      <c r="L186" s="328"/>
      <c r="M186" s="328"/>
      <c r="N186" s="328"/>
      <c r="O186" s="328"/>
      <c r="P186" s="328"/>
      <c r="Q186" s="328"/>
      <c r="R186" s="328"/>
      <c r="S186" s="328"/>
      <c r="T186" s="328"/>
      <c r="U186" s="328"/>
      <c r="V186" s="328"/>
      <c r="W186" s="328"/>
      <c r="X186" s="328"/>
      <c r="Y186" s="328"/>
      <c r="Z186" s="328"/>
      <c r="AA186" s="328"/>
      <c r="AB186" s="328"/>
      <c r="AC186" s="328"/>
      <c r="AD186" s="328"/>
      <c r="AE186" s="328"/>
      <c r="AF186" s="328"/>
      <c r="AG186" s="328"/>
      <c r="AH186" s="328"/>
      <c r="AI186" s="328"/>
      <c r="AJ186" s="328"/>
      <c r="AK186" s="328"/>
      <c r="AL186" s="328"/>
      <c r="AM186" s="77"/>
      <c r="AN186" s="61"/>
      <c r="AO186" s="61"/>
    </row>
    <row r="187" spans="1:41" ht="22.2" customHeight="1" x14ac:dyDescent="0.25">
      <c r="A187" s="308" t="s">
        <v>1051</v>
      </c>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c r="AD187" s="308"/>
      <c r="AE187" s="308"/>
      <c r="AF187" s="308"/>
      <c r="AG187" s="308"/>
      <c r="AH187" s="308"/>
      <c r="AI187" s="308"/>
      <c r="AJ187" s="308"/>
      <c r="AK187" s="308"/>
      <c r="AL187" s="308"/>
      <c r="AM187" s="77"/>
      <c r="AN187" s="61"/>
      <c r="AO187" s="61"/>
    </row>
    <row r="188" spans="1:41" ht="31.5" customHeight="1" x14ac:dyDescent="0.25">
      <c r="A188" s="505" t="str">
        <f>IF(B17="Gmina","1)  w przypadku gminy - wójta (burmistrza, prezydenta miasta)",IF(B17="Powiat","3)  w przypadku powiatu - starostę)",IF(B17="Związek międzygminny","2)  w przypadku związku międzygminnego - zarząd związku",IF(B17="",""))))</f>
        <v/>
      </c>
      <c r="B188" s="505"/>
      <c r="C188" s="505"/>
      <c r="D188" s="505"/>
      <c r="E188" s="505"/>
      <c r="F188" s="505"/>
      <c r="G188" s="505"/>
      <c r="H188" s="505"/>
      <c r="I188" s="505"/>
      <c r="J188" s="505"/>
      <c r="K188" s="505"/>
      <c r="L188" s="505"/>
      <c r="M188" s="505"/>
      <c r="N188" s="505"/>
      <c r="O188" s="505"/>
      <c r="P188" s="505"/>
      <c r="Q188" s="505"/>
      <c r="R188" s="505"/>
      <c r="S188" s="505"/>
      <c r="T188" s="505"/>
      <c r="U188" s="505"/>
      <c r="V188" s="505"/>
      <c r="W188" s="505"/>
      <c r="X188" s="505"/>
      <c r="Y188" s="505"/>
      <c r="Z188" s="505"/>
      <c r="AA188" s="505"/>
      <c r="AB188" s="505"/>
      <c r="AC188" s="505"/>
      <c r="AD188" s="505"/>
      <c r="AE188" s="505"/>
      <c r="AF188" s="505"/>
      <c r="AG188" s="505"/>
      <c r="AH188" s="505"/>
      <c r="AI188" s="505"/>
      <c r="AJ188" s="505"/>
      <c r="AK188" s="505"/>
      <c r="AL188" s="505"/>
      <c r="AM188" s="454" t="s">
        <v>976</v>
      </c>
    </row>
    <row r="189" spans="1:41" ht="45" customHeight="1" x14ac:dyDescent="0.3">
      <c r="A189" s="460" t="s">
        <v>753</v>
      </c>
      <c r="B189" s="460"/>
      <c r="C189" s="460"/>
      <c r="D189" s="460"/>
      <c r="E189" s="460"/>
      <c r="F189" s="460"/>
      <c r="G189" s="460"/>
      <c r="H189" s="460"/>
      <c r="I189" s="460"/>
      <c r="J189" s="460"/>
      <c r="K189" s="460"/>
      <c r="L189" s="460"/>
      <c r="M189" s="460"/>
      <c r="N189" s="460"/>
      <c r="O189" s="460"/>
      <c r="P189" s="460"/>
      <c r="Q189" s="460"/>
      <c r="R189" s="460"/>
      <c r="S189" s="460"/>
      <c r="T189" s="460"/>
      <c r="U189" s="460"/>
      <c r="V189" s="460"/>
      <c r="W189" s="460"/>
      <c r="X189" s="460"/>
      <c r="Y189" s="460"/>
      <c r="Z189" s="460"/>
      <c r="AA189" s="460"/>
      <c r="AB189" s="460"/>
      <c r="AC189" s="460"/>
      <c r="AD189" s="460"/>
      <c r="AE189" s="460"/>
      <c r="AF189" s="460"/>
      <c r="AG189" s="460"/>
      <c r="AH189" s="460"/>
      <c r="AI189" s="460"/>
      <c r="AJ189" s="460"/>
      <c r="AK189" s="460"/>
      <c r="AL189" s="460"/>
      <c r="AM189" s="455"/>
    </row>
    <row r="190" spans="1:41" s="60" customFormat="1" ht="14.25" customHeight="1" x14ac:dyDescent="0.25">
      <c r="A190" s="449" t="s">
        <v>1148</v>
      </c>
      <c r="B190" s="449"/>
      <c r="C190" s="449"/>
      <c r="D190" s="449"/>
      <c r="E190" s="449"/>
      <c r="F190" s="449"/>
      <c r="G190" s="449"/>
      <c r="H190" s="449"/>
      <c r="I190" s="449"/>
      <c r="J190" s="449"/>
      <c r="K190" s="449"/>
      <c r="L190" s="449"/>
      <c r="M190" s="449"/>
      <c r="N190" s="449"/>
      <c r="O190" s="449"/>
      <c r="P190" s="449"/>
      <c r="Q190" s="449"/>
      <c r="R190" s="449"/>
      <c r="S190" s="449"/>
      <c r="T190" s="449"/>
      <c r="U190" s="449"/>
      <c r="V190" s="449"/>
      <c r="W190" s="449"/>
      <c r="X190" s="449"/>
      <c r="Y190" s="449"/>
      <c r="Z190" s="449"/>
      <c r="AA190" s="449"/>
      <c r="AB190" s="449"/>
      <c r="AC190" s="449"/>
      <c r="AD190" s="449"/>
      <c r="AE190" s="449"/>
      <c r="AF190" s="449"/>
      <c r="AG190" s="449"/>
      <c r="AH190" s="449"/>
      <c r="AI190" s="449"/>
      <c r="AJ190" s="449"/>
      <c r="AK190" s="449"/>
      <c r="AL190" s="449"/>
      <c r="AM190" s="101"/>
    </row>
    <row r="191" spans="1:41" s="60" customFormat="1" ht="14.25" customHeight="1" x14ac:dyDescent="0.25">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c r="W191" s="450"/>
      <c r="X191" s="450"/>
      <c r="Y191" s="450"/>
      <c r="Z191" s="450"/>
      <c r="AA191" s="450"/>
      <c r="AB191" s="450"/>
      <c r="AC191" s="450"/>
      <c r="AD191" s="450"/>
      <c r="AE191" s="450"/>
      <c r="AF191" s="450"/>
      <c r="AG191" s="450"/>
      <c r="AH191" s="450"/>
      <c r="AI191" s="450"/>
      <c r="AJ191" s="450"/>
      <c r="AK191" s="450"/>
      <c r="AL191" s="450"/>
      <c r="AM191" s="101"/>
    </row>
    <row r="192" spans="1:41" s="60" customFormat="1" ht="14.25" customHeight="1" x14ac:dyDescent="0.25">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c r="W192" s="450"/>
      <c r="X192" s="450"/>
      <c r="Y192" s="450"/>
      <c r="Z192" s="450"/>
      <c r="AA192" s="450"/>
      <c r="AB192" s="450"/>
      <c r="AC192" s="450"/>
      <c r="AD192" s="450"/>
      <c r="AE192" s="450"/>
      <c r="AF192" s="450"/>
      <c r="AG192" s="450"/>
      <c r="AH192" s="450"/>
      <c r="AI192" s="450"/>
      <c r="AJ192" s="450"/>
      <c r="AK192" s="450"/>
      <c r="AL192" s="450"/>
      <c r="AM192" s="101"/>
    </row>
    <row r="193" spans="1:39" s="60" customFormat="1" ht="14.25" customHeight="1" x14ac:dyDescent="0.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c r="W193" s="450"/>
      <c r="X193" s="450"/>
      <c r="Y193" s="450"/>
      <c r="Z193" s="450"/>
      <c r="AA193" s="450"/>
      <c r="AB193" s="450"/>
      <c r="AC193" s="450"/>
      <c r="AD193" s="450"/>
      <c r="AE193" s="450"/>
      <c r="AF193" s="450"/>
      <c r="AG193" s="450"/>
      <c r="AH193" s="450"/>
      <c r="AI193" s="450"/>
      <c r="AJ193" s="450"/>
      <c r="AK193" s="450"/>
      <c r="AL193" s="450"/>
      <c r="AM193" s="256" t="s">
        <v>1155</v>
      </c>
    </row>
    <row r="194" spans="1:39" s="60" customFormat="1" ht="148.19999999999999" customHeight="1" x14ac:dyDescent="0.25">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c r="AB194" s="450"/>
      <c r="AC194" s="450"/>
      <c r="AD194" s="450"/>
      <c r="AE194" s="450"/>
      <c r="AF194" s="450"/>
      <c r="AG194" s="450"/>
      <c r="AH194" s="450"/>
      <c r="AI194" s="450"/>
      <c r="AJ194" s="450"/>
      <c r="AK194" s="450"/>
      <c r="AL194" s="450"/>
      <c r="AM194" s="255" t="s">
        <v>1156</v>
      </c>
    </row>
    <row r="195" spans="1:39" s="60" customFormat="1" ht="14.25" customHeight="1" x14ac:dyDescent="0.3">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101"/>
    </row>
    <row r="196" spans="1:39" s="60" customFormat="1" ht="14.25" customHeight="1" x14ac:dyDescent="0.3">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101"/>
    </row>
    <row r="197" spans="1:39" s="60" customFormat="1" ht="14.25" customHeight="1" x14ac:dyDescent="0.3">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101"/>
    </row>
    <row r="198" spans="1:39" s="60" customFormat="1" ht="14.25" customHeight="1" x14ac:dyDescent="0.3">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101"/>
    </row>
    <row r="199" spans="1:39" s="60" customFormat="1" ht="14.25" customHeight="1" x14ac:dyDescent="0.3">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101"/>
    </row>
    <row r="200" spans="1:39" s="60" customFormat="1" ht="14.25" customHeight="1" x14ac:dyDescent="0.3">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101"/>
    </row>
    <row r="201" spans="1:39" s="60" customFormat="1" ht="14.25" customHeight="1" x14ac:dyDescent="0.3">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101"/>
    </row>
    <row r="202" spans="1:39" s="60" customFormat="1" ht="14.25" customHeight="1" x14ac:dyDescent="0.3">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101"/>
    </row>
    <row r="203" spans="1:39" s="60" customFormat="1" ht="14.25" customHeight="1" x14ac:dyDescent="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101"/>
    </row>
    <row r="204" spans="1:39" s="60" customFormat="1" ht="14.25" customHeight="1" x14ac:dyDescent="0.3">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101"/>
    </row>
    <row r="205" spans="1:39" s="60" customFormat="1" ht="14.25" customHeight="1" x14ac:dyDescent="0.3">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101"/>
    </row>
    <row r="206" spans="1:39" s="60" customFormat="1" ht="14.25" customHeight="1" x14ac:dyDescent="0.3">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101"/>
    </row>
    <row r="207" spans="1:39" s="60" customFormat="1" ht="14.25" customHeight="1" x14ac:dyDescent="0.3">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101"/>
    </row>
    <row r="208" spans="1:39" s="60" customFormat="1" ht="14.25" customHeight="1" x14ac:dyDescent="0.3">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101"/>
    </row>
    <row r="209" spans="1:39" s="60" customFormat="1" ht="14.25" customHeight="1" x14ac:dyDescent="0.3">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101"/>
    </row>
    <row r="210" spans="1:39" s="60" customFormat="1" ht="14.25" customHeight="1" x14ac:dyDescent="0.3">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101"/>
    </row>
    <row r="211" spans="1:39" s="60" customFormat="1" ht="14.25" customHeight="1" x14ac:dyDescent="0.3">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101"/>
    </row>
    <row r="212" spans="1:39" s="60" customFormat="1" ht="14.25" customHeight="1" x14ac:dyDescent="0.3">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101"/>
    </row>
    <row r="213" spans="1:39" s="60" customFormat="1" ht="14.25" customHeight="1" x14ac:dyDescent="0.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101"/>
    </row>
    <row r="214" spans="1:39" s="60" customFormat="1" ht="14.25" customHeight="1" x14ac:dyDescent="0.3">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101"/>
    </row>
    <row r="215" spans="1:39" s="60" customFormat="1" ht="14.25" customHeight="1" x14ac:dyDescent="0.3">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101"/>
    </row>
    <row r="216" spans="1:39" s="60" customFormat="1" ht="14.25" customHeight="1" x14ac:dyDescent="0.3">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101"/>
    </row>
    <row r="217" spans="1:39" s="60" customFormat="1" x14ac:dyDescent="0.3">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101"/>
    </row>
    <row r="218" spans="1:39" s="60" customFormat="1" x14ac:dyDescent="0.3">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101"/>
    </row>
    <row r="219" spans="1:39" s="60" customFormat="1" x14ac:dyDescent="0.3">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101"/>
    </row>
    <row r="220" spans="1:39" s="60" customFormat="1" x14ac:dyDescent="0.3">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101"/>
    </row>
    <row r="221" spans="1:39" s="60" customFormat="1" x14ac:dyDescent="0.3">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101"/>
    </row>
    <row r="222" spans="1:39" s="60" customFormat="1" x14ac:dyDescent="0.3">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101"/>
    </row>
    <row r="223" spans="1:39" s="60" customFormat="1" x14ac:dyDescent="0.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101"/>
    </row>
    <row r="224" spans="1:39" s="60" customFormat="1" x14ac:dyDescent="0.3">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101"/>
    </row>
    <row r="225" spans="1:39" s="60" customFormat="1" x14ac:dyDescent="0.3">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101"/>
    </row>
    <row r="226" spans="1:39" s="60" customFormat="1" x14ac:dyDescent="0.3">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101"/>
    </row>
    <row r="227" spans="1:39" s="60" customFormat="1" x14ac:dyDescent="0.3">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101"/>
    </row>
    <row r="228" spans="1:39" s="60" customFormat="1" x14ac:dyDescent="0.3">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101"/>
    </row>
    <row r="229" spans="1:39" s="60" customFormat="1" x14ac:dyDescent="0.3">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101"/>
    </row>
    <row r="230" spans="1:39" s="60" customFormat="1" x14ac:dyDescent="0.3">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101"/>
    </row>
    <row r="231" spans="1:39" s="60" customFormat="1" x14ac:dyDescent="0.3">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101"/>
    </row>
    <row r="232" spans="1:39" s="60" customFormat="1" x14ac:dyDescent="0.3">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101"/>
    </row>
    <row r="233" spans="1:39" s="60" customFormat="1" x14ac:dyDescent="0.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101"/>
    </row>
    <row r="234" spans="1:39" s="60" customFormat="1" x14ac:dyDescent="0.3">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101"/>
    </row>
    <row r="235" spans="1:39" s="60" customFormat="1" x14ac:dyDescent="0.3">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101"/>
    </row>
    <row r="236" spans="1:39" s="60" customFormat="1" x14ac:dyDescent="0.3">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101"/>
    </row>
    <row r="237" spans="1:39" s="60" customFormat="1" x14ac:dyDescent="0.3">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101"/>
    </row>
    <row r="238" spans="1:39" s="60" customFormat="1" x14ac:dyDescent="0.3">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101"/>
    </row>
    <row r="239" spans="1:39" s="60" customFormat="1" x14ac:dyDescent="0.3">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101"/>
    </row>
    <row r="240" spans="1:39" s="60" customFormat="1" x14ac:dyDescent="0.3">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101"/>
    </row>
    <row r="241" spans="1:39" s="60" customFormat="1" x14ac:dyDescent="0.3">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101"/>
    </row>
    <row r="242" spans="1:39" s="60" customFormat="1" x14ac:dyDescent="0.3">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101"/>
    </row>
    <row r="243" spans="1:39" s="60" customFormat="1" x14ac:dyDescent="0.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101"/>
    </row>
    <row r="244" spans="1:39" s="60" customFormat="1" x14ac:dyDescent="0.3">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101"/>
    </row>
    <row r="245" spans="1:39" s="60" customFormat="1" x14ac:dyDescent="0.3">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101"/>
    </row>
    <row r="246" spans="1:39" s="60" customFormat="1" x14ac:dyDescent="0.3">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101"/>
    </row>
    <row r="247" spans="1:39" s="60" customFormat="1" x14ac:dyDescent="0.3">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101"/>
    </row>
    <row r="248" spans="1:39" s="60" customFormat="1" x14ac:dyDescent="0.3">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101"/>
    </row>
    <row r="249" spans="1:39" s="60" customFormat="1" x14ac:dyDescent="0.3">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101"/>
    </row>
    <row r="250" spans="1:39" s="60" customFormat="1" x14ac:dyDescent="0.3">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101"/>
    </row>
    <row r="251" spans="1:39" s="60" customFormat="1" x14ac:dyDescent="0.3">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101"/>
    </row>
    <row r="252" spans="1:39" s="60" customFormat="1" x14ac:dyDescent="0.3">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101"/>
    </row>
    <row r="253" spans="1:39" s="60" customFormat="1" x14ac:dyDescent="0.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101"/>
    </row>
    <row r="254" spans="1:39" s="60" customFormat="1" x14ac:dyDescent="0.3">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101"/>
    </row>
    <row r="255" spans="1:39" s="60" customFormat="1" x14ac:dyDescent="0.3">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101"/>
    </row>
    <row r="256" spans="1:39" s="60" customFormat="1" x14ac:dyDescent="0.3">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101"/>
    </row>
    <row r="257" spans="1:39" s="60" customFormat="1" x14ac:dyDescent="0.3">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101"/>
    </row>
    <row r="258" spans="1:39" s="60" customFormat="1" x14ac:dyDescent="0.3">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101"/>
    </row>
    <row r="259" spans="1:39" s="60" customFormat="1" x14ac:dyDescent="0.3">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101"/>
    </row>
    <row r="260" spans="1:39" s="60" customFormat="1" x14ac:dyDescent="0.3">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101"/>
    </row>
    <row r="261" spans="1:39" s="60" customFormat="1" x14ac:dyDescent="0.3">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101"/>
    </row>
    <row r="262" spans="1:39" s="60" customFormat="1" x14ac:dyDescent="0.3">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101"/>
    </row>
    <row r="263" spans="1:39" s="60" customFormat="1" x14ac:dyDescent="0.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101"/>
    </row>
    <row r="264" spans="1:39" s="60" customFormat="1" x14ac:dyDescent="0.3">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101"/>
    </row>
    <row r="265" spans="1:39" s="60" customFormat="1" x14ac:dyDescent="0.3">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101"/>
    </row>
    <row r="266" spans="1:39" s="60" customFormat="1" x14ac:dyDescent="0.3">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101"/>
    </row>
    <row r="267" spans="1:39" s="60" customFormat="1" x14ac:dyDescent="0.3">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101"/>
    </row>
    <row r="268" spans="1:39" s="60" customFormat="1" x14ac:dyDescent="0.3">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101"/>
    </row>
    <row r="269" spans="1:39" s="60" customFormat="1" x14ac:dyDescent="0.3">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101"/>
    </row>
    <row r="270" spans="1:39" s="60" customFormat="1" x14ac:dyDescent="0.3">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101"/>
    </row>
    <row r="271" spans="1:39" s="60" customFormat="1" x14ac:dyDescent="0.3">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101"/>
    </row>
    <row r="272" spans="1:39" s="60" customFormat="1" x14ac:dyDescent="0.3">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101"/>
    </row>
    <row r="273" spans="1:39" s="60" customFormat="1" x14ac:dyDescent="0.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101"/>
    </row>
    <row r="274" spans="1:39" s="60" customFormat="1" x14ac:dyDescent="0.3">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101"/>
    </row>
    <row r="275" spans="1:39" s="60" customFormat="1" x14ac:dyDescent="0.3">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101"/>
    </row>
    <row r="276" spans="1:39" s="60" customFormat="1" x14ac:dyDescent="0.3">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101"/>
    </row>
    <row r="277" spans="1:39" s="60" customFormat="1" x14ac:dyDescent="0.3">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101"/>
    </row>
    <row r="278" spans="1:39" s="60" customFormat="1" x14ac:dyDescent="0.3">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101"/>
    </row>
    <row r="279" spans="1:39" s="60" customFormat="1" x14ac:dyDescent="0.3">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101"/>
    </row>
    <row r="280" spans="1:39" s="60" customFormat="1" x14ac:dyDescent="0.3">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101"/>
    </row>
    <row r="281" spans="1:39" s="60" customFormat="1" x14ac:dyDescent="0.3">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101"/>
    </row>
    <row r="282" spans="1:39" s="60" customFormat="1" x14ac:dyDescent="0.3">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101"/>
    </row>
    <row r="283" spans="1:39" s="60" customFormat="1" x14ac:dyDescent="0.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101"/>
    </row>
    <row r="284" spans="1:39" s="60" customFormat="1" x14ac:dyDescent="0.3">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101"/>
    </row>
    <row r="285" spans="1:39" s="60" customFormat="1" x14ac:dyDescent="0.3">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101"/>
    </row>
    <row r="286" spans="1:39" s="60" customFormat="1" x14ac:dyDescent="0.3">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101"/>
    </row>
    <row r="287" spans="1:39" s="60" customFormat="1" x14ac:dyDescent="0.3">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101"/>
    </row>
    <row r="288" spans="1:39" s="60" customFormat="1" x14ac:dyDescent="0.3">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101"/>
    </row>
    <row r="289" spans="1:39" s="60" customFormat="1" x14ac:dyDescent="0.3">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101"/>
    </row>
    <row r="290" spans="1:39" s="60" customFormat="1" x14ac:dyDescent="0.3">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101"/>
    </row>
    <row r="291" spans="1:39" s="60" customFormat="1" x14ac:dyDescent="0.3">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101"/>
    </row>
    <row r="292" spans="1:39" s="60" customFormat="1" x14ac:dyDescent="0.3">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101"/>
    </row>
    <row r="293" spans="1:39" s="60" customFormat="1" x14ac:dyDescent="0.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101"/>
    </row>
    <row r="294" spans="1:39" s="60" customFormat="1" x14ac:dyDescent="0.3">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101"/>
    </row>
    <row r="295" spans="1:39" s="60" customFormat="1" x14ac:dyDescent="0.3">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101"/>
    </row>
    <row r="296" spans="1:39" s="60" customFormat="1" x14ac:dyDescent="0.3">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101"/>
    </row>
    <row r="297" spans="1:39" s="60" customFormat="1" x14ac:dyDescent="0.3">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101"/>
    </row>
    <row r="298" spans="1:39" s="60" customFormat="1" x14ac:dyDescent="0.3">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101"/>
    </row>
    <row r="299" spans="1:39" s="60" customFormat="1" x14ac:dyDescent="0.3">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101"/>
    </row>
    <row r="300" spans="1:39" s="60" customFormat="1" x14ac:dyDescent="0.3">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101"/>
    </row>
    <row r="301" spans="1:39" s="60" customFormat="1" x14ac:dyDescent="0.3">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101"/>
    </row>
    <row r="302" spans="1:39" s="60" customFormat="1" x14ac:dyDescent="0.3">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101"/>
    </row>
    <row r="303" spans="1:39" s="60" customFormat="1" x14ac:dyDescent="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101"/>
    </row>
    <row r="304" spans="1:39" s="60" customFormat="1" x14ac:dyDescent="0.3">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101"/>
    </row>
    <row r="305" spans="1:39" s="60" customFormat="1" x14ac:dyDescent="0.3">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101"/>
    </row>
    <row r="306" spans="1:39" s="60" customFormat="1" x14ac:dyDescent="0.3">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101"/>
    </row>
    <row r="307" spans="1:39" s="60" customFormat="1" x14ac:dyDescent="0.3">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101"/>
    </row>
    <row r="308" spans="1:39" s="60" customFormat="1" x14ac:dyDescent="0.3">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101"/>
    </row>
    <row r="309" spans="1:39" s="60" customFormat="1" x14ac:dyDescent="0.3">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101"/>
    </row>
    <row r="310" spans="1:39" s="60" customFormat="1" x14ac:dyDescent="0.3">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101"/>
    </row>
    <row r="311" spans="1:39" s="60" customFormat="1" x14ac:dyDescent="0.3">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101"/>
    </row>
    <row r="312" spans="1:39" s="60" customFormat="1" x14ac:dyDescent="0.3">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101"/>
    </row>
    <row r="313" spans="1:39" s="60" customFormat="1" x14ac:dyDescent="0.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101"/>
    </row>
    <row r="314" spans="1:39" s="60" customFormat="1" x14ac:dyDescent="0.3">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101"/>
    </row>
    <row r="315" spans="1:39" s="60" customFormat="1" x14ac:dyDescent="0.3">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101"/>
    </row>
    <row r="316" spans="1:39" s="60" customFormat="1" x14ac:dyDescent="0.3">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101"/>
    </row>
    <row r="317" spans="1:39" s="60" customFormat="1" x14ac:dyDescent="0.3">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101"/>
    </row>
    <row r="318" spans="1:39" s="60" customFormat="1" x14ac:dyDescent="0.3">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101"/>
    </row>
    <row r="319" spans="1:39" s="60" customFormat="1" x14ac:dyDescent="0.3">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101"/>
    </row>
    <row r="320" spans="1:39" s="60" customFormat="1" x14ac:dyDescent="0.3">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101"/>
    </row>
    <row r="321" spans="1:39" s="60" customFormat="1" x14ac:dyDescent="0.3">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101"/>
    </row>
    <row r="322" spans="1:39" s="60" customFormat="1" x14ac:dyDescent="0.3">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101"/>
    </row>
    <row r="323" spans="1:39" s="60" customFormat="1" x14ac:dyDescent="0.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101"/>
    </row>
    <row r="324" spans="1:39" s="60" customFormat="1" x14ac:dyDescent="0.3">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101"/>
    </row>
    <row r="325" spans="1:39" s="60" customFormat="1" x14ac:dyDescent="0.3">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101"/>
    </row>
    <row r="326" spans="1:39" s="60" customFormat="1" x14ac:dyDescent="0.3">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101"/>
    </row>
    <row r="327" spans="1:39" s="60" customFormat="1" x14ac:dyDescent="0.3">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101"/>
    </row>
    <row r="328" spans="1:39" s="60" customFormat="1" x14ac:dyDescent="0.3">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101"/>
    </row>
    <row r="329" spans="1:39" s="60" customFormat="1" x14ac:dyDescent="0.3">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101"/>
    </row>
    <row r="330" spans="1:39" s="60" customFormat="1" x14ac:dyDescent="0.3">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101"/>
    </row>
    <row r="331" spans="1:39" s="60" customFormat="1" x14ac:dyDescent="0.3">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101"/>
    </row>
    <row r="332" spans="1:39" s="60" customFormat="1" x14ac:dyDescent="0.3">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101"/>
    </row>
    <row r="333" spans="1:39" s="60" customFormat="1" x14ac:dyDescent="0.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101"/>
    </row>
    <row r="334" spans="1:39" s="60" customFormat="1" x14ac:dyDescent="0.3">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101"/>
    </row>
    <row r="335" spans="1:39" s="60" customFormat="1" x14ac:dyDescent="0.3">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101"/>
    </row>
    <row r="336" spans="1:39" s="60" customFormat="1" x14ac:dyDescent="0.3">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101"/>
    </row>
    <row r="337" spans="1:39" s="60" customFormat="1" x14ac:dyDescent="0.3">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101"/>
    </row>
    <row r="338" spans="1:39" s="60" customFormat="1" x14ac:dyDescent="0.3">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101"/>
    </row>
    <row r="339" spans="1:39" s="60" customFormat="1" x14ac:dyDescent="0.3">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101"/>
    </row>
    <row r="340" spans="1:39" s="60" customFormat="1" x14ac:dyDescent="0.3">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101"/>
    </row>
    <row r="341" spans="1:39" s="60" customFormat="1" x14ac:dyDescent="0.3">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101"/>
    </row>
    <row r="342" spans="1:39" s="60" customFormat="1" x14ac:dyDescent="0.3">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101"/>
    </row>
    <row r="343" spans="1:39" s="60" customFormat="1" x14ac:dyDescent="0.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101"/>
    </row>
    <row r="344" spans="1:39" s="60" customFormat="1" x14ac:dyDescent="0.3">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101"/>
    </row>
    <row r="345" spans="1:39" s="60" customFormat="1" x14ac:dyDescent="0.3">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101"/>
    </row>
    <row r="346" spans="1:39" s="60" customFormat="1" x14ac:dyDescent="0.3">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101"/>
    </row>
    <row r="347" spans="1:39" s="60" customFormat="1" x14ac:dyDescent="0.3">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101"/>
    </row>
    <row r="348" spans="1:39" s="60" customFormat="1" x14ac:dyDescent="0.3">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101"/>
    </row>
    <row r="349" spans="1:39" s="60" customFormat="1" x14ac:dyDescent="0.3">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101"/>
    </row>
    <row r="350" spans="1:39" s="60" customFormat="1" x14ac:dyDescent="0.3">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101"/>
    </row>
    <row r="351" spans="1:39" s="60" customFormat="1" x14ac:dyDescent="0.3">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101"/>
    </row>
    <row r="352" spans="1:39" s="60" customFormat="1" x14ac:dyDescent="0.3">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101"/>
    </row>
    <row r="353" spans="1:39" s="60" customFormat="1" x14ac:dyDescent="0.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101"/>
    </row>
    <row r="354" spans="1:39" s="60" customFormat="1" x14ac:dyDescent="0.3">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101"/>
    </row>
    <row r="355" spans="1:39" s="60" customFormat="1" x14ac:dyDescent="0.3">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101"/>
    </row>
    <row r="356" spans="1:39" s="60" customFormat="1" x14ac:dyDescent="0.3">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101"/>
    </row>
    <row r="357" spans="1:39" s="60" customFormat="1" x14ac:dyDescent="0.3">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101"/>
    </row>
    <row r="358" spans="1:39" s="60" customFormat="1" x14ac:dyDescent="0.3">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101"/>
    </row>
    <row r="359" spans="1:39" s="60" customFormat="1" x14ac:dyDescent="0.3">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101"/>
    </row>
    <row r="360" spans="1:39" s="60" customFormat="1" x14ac:dyDescent="0.3">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101"/>
    </row>
    <row r="361" spans="1:39" s="60" customFormat="1" x14ac:dyDescent="0.3">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101"/>
    </row>
    <row r="362" spans="1:39" s="60" customFormat="1" x14ac:dyDescent="0.3">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101"/>
    </row>
    <row r="363" spans="1:39" s="60" customFormat="1" x14ac:dyDescent="0.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101"/>
    </row>
    <row r="364" spans="1:39" s="60" customFormat="1" x14ac:dyDescent="0.3">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101"/>
    </row>
    <row r="365" spans="1:39" s="60" customFormat="1" x14ac:dyDescent="0.3">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101"/>
    </row>
    <row r="366" spans="1:39" s="60" customFormat="1" x14ac:dyDescent="0.3">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101"/>
    </row>
    <row r="367" spans="1:39" s="60" customFormat="1" x14ac:dyDescent="0.3">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101"/>
    </row>
    <row r="368" spans="1:39" s="60" customFormat="1" x14ac:dyDescent="0.3">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101"/>
    </row>
    <row r="369" spans="1:39" s="60" customFormat="1" x14ac:dyDescent="0.3">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101"/>
    </row>
    <row r="370" spans="1:39" s="60" customFormat="1" x14ac:dyDescent="0.3">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101"/>
    </row>
    <row r="371" spans="1:39" s="60" customFormat="1" x14ac:dyDescent="0.3">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101"/>
    </row>
    <row r="372" spans="1:39" s="60" customFormat="1" x14ac:dyDescent="0.3">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101"/>
    </row>
    <row r="373" spans="1:39" s="60" customFormat="1" x14ac:dyDescent="0.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101"/>
    </row>
    <row r="374" spans="1:39" s="60" customFormat="1" x14ac:dyDescent="0.3">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101"/>
    </row>
    <row r="375" spans="1:39" s="60" customFormat="1" x14ac:dyDescent="0.3">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101"/>
    </row>
    <row r="376" spans="1:39" s="60" customFormat="1" x14ac:dyDescent="0.3">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101"/>
    </row>
    <row r="377" spans="1:39" s="60" customFormat="1" x14ac:dyDescent="0.3">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101"/>
    </row>
    <row r="378" spans="1:39" s="60" customFormat="1" x14ac:dyDescent="0.3">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101"/>
    </row>
    <row r="379" spans="1:39" s="60" customFormat="1" x14ac:dyDescent="0.3">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101"/>
    </row>
    <row r="380" spans="1:39" s="60" customFormat="1" x14ac:dyDescent="0.3">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101"/>
    </row>
    <row r="381" spans="1:39" s="60" customFormat="1" x14ac:dyDescent="0.3">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101"/>
    </row>
    <row r="382" spans="1:39" s="60" customFormat="1" x14ac:dyDescent="0.3">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101"/>
    </row>
    <row r="383" spans="1:39" s="60" customFormat="1" x14ac:dyDescent="0.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101"/>
    </row>
    <row r="384" spans="1:39" s="60" customFormat="1" x14ac:dyDescent="0.3">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101"/>
    </row>
    <row r="385" spans="1:39" s="60" customFormat="1" x14ac:dyDescent="0.3">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101"/>
    </row>
    <row r="386" spans="1:39" s="60" customFormat="1" x14ac:dyDescent="0.3">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101"/>
    </row>
    <row r="387" spans="1:39" s="60" customFormat="1" x14ac:dyDescent="0.3">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101"/>
    </row>
    <row r="388" spans="1:39" s="60" customFormat="1" x14ac:dyDescent="0.3">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101"/>
    </row>
    <row r="389" spans="1:39" s="60" customFormat="1" x14ac:dyDescent="0.3">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101"/>
    </row>
    <row r="390" spans="1:39" s="60" customFormat="1" x14ac:dyDescent="0.3">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101"/>
    </row>
    <row r="391" spans="1:39" s="60" customFormat="1" x14ac:dyDescent="0.3">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101"/>
    </row>
    <row r="392" spans="1:39" s="60" customFormat="1" x14ac:dyDescent="0.3">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101"/>
    </row>
    <row r="393" spans="1:39" s="60" customFormat="1" x14ac:dyDescent="0.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101"/>
    </row>
    <row r="394" spans="1:39" s="60" customFormat="1" x14ac:dyDescent="0.3">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101"/>
    </row>
    <row r="395" spans="1:39" s="60" customFormat="1" x14ac:dyDescent="0.3">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101"/>
    </row>
    <row r="396" spans="1:39" s="60" customFormat="1" x14ac:dyDescent="0.3">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101"/>
    </row>
    <row r="397" spans="1:39" s="60" customFormat="1" x14ac:dyDescent="0.3">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101"/>
    </row>
    <row r="398" spans="1:39" s="60" customFormat="1" x14ac:dyDescent="0.3">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101"/>
    </row>
    <row r="399" spans="1:39" s="60" customFormat="1" x14ac:dyDescent="0.3">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101"/>
    </row>
    <row r="400" spans="1:39" s="60" customFormat="1" x14ac:dyDescent="0.3">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101"/>
    </row>
    <row r="401" spans="1:39" s="60" customFormat="1" x14ac:dyDescent="0.3">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101"/>
    </row>
    <row r="402" spans="1:39" s="60" customFormat="1" x14ac:dyDescent="0.3">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101"/>
    </row>
    <row r="403" spans="1:39" s="60" customFormat="1" x14ac:dyDescent="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101"/>
    </row>
    <row r="404" spans="1:39" s="60" customFormat="1" x14ac:dyDescent="0.3">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101"/>
    </row>
    <row r="405" spans="1:39" s="60" customFormat="1" x14ac:dyDescent="0.3">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101"/>
    </row>
    <row r="406" spans="1:39" s="60" customFormat="1" x14ac:dyDescent="0.3">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101"/>
    </row>
    <row r="407" spans="1:39" s="60" customFormat="1" x14ac:dyDescent="0.3">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101"/>
    </row>
    <row r="408" spans="1:39" s="60" customFormat="1" x14ac:dyDescent="0.3">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101"/>
    </row>
    <row r="409" spans="1:39" s="60" customFormat="1" x14ac:dyDescent="0.3">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101"/>
    </row>
    <row r="410" spans="1:39" s="60" customFormat="1" x14ac:dyDescent="0.3">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101"/>
    </row>
    <row r="411" spans="1:39" s="60" customFormat="1" x14ac:dyDescent="0.3">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101"/>
    </row>
    <row r="412" spans="1:39" s="60" customFormat="1" x14ac:dyDescent="0.3">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101"/>
    </row>
    <row r="413" spans="1:39" s="60" customFormat="1" x14ac:dyDescent="0.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101"/>
    </row>
    <row r="414" spans="1:39" s="60" customFormat="1" x14ac:dyDescent="0.3">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101"/>
    </row>
    <row r="415" spans="1:39" s="60" customFormat="1" x14ac:dyDescent="0.3">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101"/>
    </row>
    <row r="416" spans="1:39" s="60" customFormat="1" x14ac:dyDescent="0.3">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101"/>
    </row>
    <row r="417" spans="1:39" s="60" customFormat="1" x14ac:dyDescent="0.3">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101"/>
    </row>
    <row r="418" spans="1:39" s="60" customFormat="1" x14ac:dyDescent="0.3">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101"/>
    </row>
    <row r="419" spans="1:39" s="60" customFormat="1" x14ac:dyDescent="0.3">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101"/>
    </row>
    <row r="420" spans="1:39" s="60" customFormat="1" x14ac:dyDescent="0.3">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101"/>
    </row>
    <row r="421" spans="1:39" s="60" customFormat="1" x14ac:dyDescent="0.3">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101"/>
    </row>
    <row r="422" spans="1:39" s="60" customFormat="1" x14ac:dyDescent="0.3">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101"/>
    </row>
    <row r="423" spans="1:39" s="60" customFormat="1" x14ac:dyDescent="0.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101"/>
    </row>
    <row r="424" spans="1:39" s="60" customFormat="1" x14ac:dyDescent="0.3">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101"/>
    </row>
    <row r="425" spans="1:39" s="60" customFormat="1" x14ac:dyDescent="0.3">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101"/>
    </row>
    <row r="426" spans="1:39" s="60" customFormat="1" x14ac:dyDescent="0.3">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101"/>
    </row>
    <row r="427" spans="1:39" s="60" customFormat="1" x14ac:dyDescent="0.3">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101"/>
    </row>
    <row r="428" spans="1:39" s="60" customFormat="1" x14ac:dyDescent="0.3">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101"/>
    </row>
    <row r="429" spans="1:39" s="60" customFormat="1" x14ac:dyDescent="0.3">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101"/>
    </row>
    <row r="430" spans="1:39" s="60" customFormat="1" x14ac:dyDescent="0.3">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101"/>
    </row>
    <row r="431" spans="1:39" s="60" customFormat="1" x14ac:dyDescent="0.3">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101"/>
    </row>
    <row r="432" spans="1:39" s="60" customFormat="1" x14ac:dyDescent="0.3">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101"/>
    </row>
    <row r="433" spans="1:39" s="60" customFormat="1" x14ac:dyDescent="0.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101"/>
    </row>
    <row r="434" spans="1:39" s="60" customFormat="1" x14ac:dyDescent="0.3">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101"/>
    </row>
    <row r="435" spans="1:39" s="60" customFormat="1" x14ac:dyDescent="0.3">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101"/>
    </row>
    <row r="436" spans="1:39" s="60" customFormat="1" x14ac:dyDescent="0.3">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101"/>
    </row>
    <row r="437" spans="1:39" s="60" customFormat="1" x14ac:dyDescent="0.3">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101"/>
    </row>
    <row r="438" spans="1:39" s="60" customFormat="1" x14ac:dyDescent="0.3">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101"/>
    </row>
    <row r="439" spans="1:39" s="60" customFormat="1" x14ac:dyDescent="0.3">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101"/>
    </row>
    <row r="440" spans="1:39" s="60" customFormat="1" x14ac:dyDescent="0.3">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101"/>
    </row>
    <row r="441" spans="1:39" s="60" customFormat="1" x14ac:dyDescent="0.3">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101"/>
    </row>
    <row r="442" spans="1:39" s="60" customFormat="1" x14ac:dyDescent="0.3">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101"/>
    </row>
    <row r="443" spans="1:39" s="60" customFormat="1" x14ac:dyDescent="0.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101"/>
    </row>
    <row r="444" spans="1:39" s="60" customFormat="1" x14ac:dyDescent="0.3">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101"/>
    </row>
    <row r="445" spans="1:39" s="60" customFormat="1" x14ac:dyDescent="0.3">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101"/>
    </row>
    <row r="446" spans="1:39" s="60" customFormat="1" x14ac:dyDescent="0.3">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101"/>
    </row>
    <row r="447" spans="1:39" s="60" customFormat="1" x14ac:dyDescent="0.3">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101"/>
    </row>
    <row r="448" spans="1:39" s="60" customFormat="1" x14ac:dyDescent="0.3">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101"/>
    </row>
    <row r="449" spans="1:39" s="60" customFormat="1" x14ac:dyDescent="0.3">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101"/>
    </row>
    <row r="450" spans="1:39" s="60" customFormat="1" x14ac:dyDescent="0.3">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101"/>
    </row>
  </sheetData>
  <sheetProtection algorithmName="SHA-512" hashValue="siHniZmsLXoiFHiG0cQLmKD/X9FapVpQ2C5tSoFvUVy9WHdZvAbighGwEImAR4HZOQfO794d+Qvyo7K8XJ/x3g==" saltValue="p/LlVORIAA8q2WcJIyktEg==" spinCount="100000" sheet="1" formatCells="0" formatRows="0" insertRows="0"/>
  <mergeCells count="529">
    <mergeCell ref="AK62:AL62"/>
    <mergeCell ref="A1:AL1"/>
    <mergeCell ref="AM188:AM189"/>
    <mergeCell ref="B21:AL21"/>
    <mergeCell ref="A177:S177"/>
    <mergeCell ref="T177:AL177"/>
    <mergeCell ref="A178:AL178"/>
    <mergeCell ref="A179:AL179"/>
    <mergeCell ref="AM106:AV106"/>
    <mergeCell ref="A20:A23"/>
    <mergeCell ref="B20:AL20"/>
    <mergeCell ref="B49:AL49"/>
    <mergeCell ref="B51:AL51"/>
    <mergeCell ref="B76:AL76"/>
    <mergeCell ref="A77:AL77"/>
    <mergeCell ref="A72:AL72"/>
    <mergeCell ref="A73:AL73"/>
    <mergeCell ref="A74:AL74"/>
    <mergeCell ref="A180:AL180"/>
    <mergeCell ref="A181:AL181"/>
    <mergeCell ref="AM52:AO52"/>
    <mergeCell ref="Z57:AJ57"/>
    <mergeCell ref="Z60:AJ60"/>
    <mergeCell ref="AK88:AL88"/>
    <mergeCell ref="Q88:W88"/>
    <mergeCell ref="X88:AE88"/>
    <mergeCell ref="AF88:AJ88"/>
    <mergeCell ref="B81:J81"/>
    <mergeCell ref="K81:P81"/>
    <mergeCell ref="Q81:W81"/>
    <mergeCell ref="X81:AE81"/>
    <mergeCell ref="AF81:AJ81"/>
    <mergeCell ref="B82:J82"/>
    <mergeCell ref="K82:P82"/>
    <mergeCell ref="X82:AE82"/>
    <mergeCell ref="AF82:AJ82"/>
    <mergeCell ref="Q82:W82"/>
    <mergeCell ref="K85:P85"/>
    <mergeCell ref="AF87:AJ87"/>
    <mergeCell ref="B57:Y57"/>
    <mergeCell ref="A62:Y62"/>
    <mergeCell ref="Z62:AJ62"/>
    <mergeCell ref="A61:Y61"/>
    <mergeCell ref="Z61:AJ61"/>
    <mergeCell ref="AK61:AL61"/>
    <mergeCell ref="AM104:AT104"/>
    <mergeCell ref="B66:AL66"/>
    <mergeCell ref="B53:Y53"/>
    <mergeCell ref="B54:Y54"/>
    <mergeCell ref="B55:Y55"/>
    <mergeCell ref="B56:Y56"/>
    <mergeCell ref="AK90:AL90"/>
    <mergeCell ref="K91:P91"/>
    <mergeCell ref="Q91:W91"/>
    <mergeCell ref="A102:AL102"/>
    <mergeCell ref="B59:Y59"/>
    <mergeCell ref="B60:Y60"/>
    <mergeCell ref="AF94:AJ94"/>
    <mergeCell ref="AK60:AL60"/>
    <mergeCell ref="Z58:AJ58"/>
    <mergeCell ref="AK58:AL58"/>
    <mergeCell ref="Z59:AJ59"/>
    <mergeCell ref="AK59:AL59"/>
    <mergeCell ref="AM63:AM64"/>
    <mergeCell ref="A190:AL194"/>
    <mergeCell ref="A188:AL188"/>
    <mergeCell ref="A189:AL189"/>
    <mergeCell ref="A183:AL183"/>
    <mergeCell ref="A186:AL186"/>
    <mergeCell ref="A182:AL182"/>
    <mergeCell ref="B154:S154"/>
    <mergeCell ref="T154:AJ154"/>
    <mergeCell ref="A162:AL162"/>
    <mergeCell ref="B155:S155"/>
    <mergeCell ref="T155:AJ155"/>
    <mergeCell ref="A184:AL184"/>
    <mergeCell ref="A176:S176"/>
    <mergeCell ref="A171:AL171"/>
    <mergeCell ref="T156:AJ156"/>
    <mergeCell ref="T176:AL176"/>
    <mergeCell ref="A187:AL187"/>
    <mergeCell ref="A175:AL175"/>
    <mergeCell ref="B156:S156"/>
    <mergeCell ref="A151:AL151"/>
    <mergeCell ref="X85:AE85"/>
    <mergeCell ref="AF85:AJ85"/>
    <mergeCell ref="B88:J88"/>
    <mergeCell ref="A100:AL100"/>
    <mergeCell ref="A75:AL75"/>
    <mergeCell ref="AM76:AU77"/>
    <mergeCell ref="A124:AL124"/>
    <mergeCell ref="AF79:AJ79"/>
    <mergeCell ref="B69:AL69"/>
    <mergeCell ref="AK82:AL82"/>
    <mergeCell ref="B83:J83"/>
    <mergeCell ref="K83:P83"/>
    <mergeCell ref="Q83:W83"/>
    <mergeCell ref="X83:AE83"/>
    <mergeCell ref="AF83:AJ83"/>
    <mergeCell ref="AK83:AL83"/>
    <mergeCell ref="AK78:AL78"/>
    <mergeCell ref="A103:AL103"/>
    <mergeCell ref="A71:AL71"/>
    <mergeCell ref="A115:AL115"/>
    <mergeCell ref="A116:AL116"/>
    <mergeCell ref="A106:AL106"/>
    <mergeCell ref="AJ122:AL122"/>
    <mergeCell ref="AK95:AL95"/>
    <mergeCell ref="X89:AE89"/>
    <mergeCell ref="B84:J84"/>
    <mergeCell ref="K84:P84"/>
    <mergeCell ref="L126:O126"/>
    <mergeCell ref="A123:AL123"/>
    <mergeCell ref="AA126:AG126"/>
    <mergeCell ref="A120:AL120"/>
    <mergeCell ref="A117:AL117"/>
    <mergeCell ref="A114:AL114"/>
    <mergeCell ref="A112:AL112"/>
    <mergeCell ref="A113:AL113"/>
    <mergeCell ref="P126:V126"/>
    <mergeCell ref="W126:Z126"/>
    <mergeCell ref="AF91:AJ91"/>
    <mergeCell ref="X79:AE79"/>
    <mergeCell ref="AK81:AL81"/>
    <mergeCell ref="AF78:AJ78"/>
    <mergeCell ref="X92:AE92"/>
    <mergeCell ref="AF92:AJ92"/>
    <mergeCell ref="AK92:AL92"/>
    <mergeCell ref="B90:J90"/>
    <mergeCell ref="K90:P90"/>
    <mergeCell ref="Q84:W84"/>
    <mergeCell ref="X84:AE84"/>
    <mergeCell ref="AF84:AJ84"/>
    <mergeCell ref="B89:J89"/>
    <mergeCell ref="K89:P89"/>
    <mergeCell ref="Q89:W89"/>
    <mergeCell ref="AK91:AL91"/>
    <mergeCell ref="AK89:AL89"/>
    <mergeCell ref="Q90:W90"/>
    <mergeCell ref="X90:AE90"/>
    <mergeCell ref="AF90:AJ90"/>
    <mergeCell ref="B79:J79"/>
    <mergeCell ref="K79:P79"/>
    <mergeCell ref="Q79:W79"/>
    <mergeCell ref="K88:P88"/>
    <mergeCell ref="A24:A25"/>
    <mergeCell ref="B24:V24"/>
    <mergeCell ref="W24:AL24"/>
    <mergeCell ref="B25:V25"/>
    <mergeCell ref="W25:AL25"/>
    <mergeCell ref="B35:AL35"/>
    <mergeCell ref="B36:AL36"/>
    <mergeCell ref="B39:V39"/>
    <mergeCell ref="Y38:AL38"/>
    <mergeCell ref="W39:AL39"/>
    <mergeCell ref="B38:X38"/>
    <mergeCell ref="A26:A34"/>
    <mergeCell ref="B28:AL28"/>
    <mergeCell ref="B26:AL26"/>
    <mergeCell ref="B31:AL31"/>
    <mergeCell ref="B32:AL32"/>
    <mergeCell ref="B33:AL33"/>
    <mergeCell ref="B34:AL34"/>
    <mergeCell ref="Y37:AL37"/>
    <mergeCell ref="B27:AL27"/>
    <mergeCell ref="B29:AL29"/>
    <mergeCell ref="B30:AL30"/>
    <mergeCell ref="T44:AL44"/>
    <mergeCell ref="A46:A47"/>
    <mergeCell ref="B46:AL46"/>
    <mergeCell ref="B47:AL47"/>
    <mergeCell ref="A105:AL105"/>
    <mergeCell ref="A109:AL109"/>
    <mergeCell ref="A67:AL67"/>
    <mergeCell ref="A48:A49"/>
    <mergeCell ref="A110:AL110"/>
    <mergeCell ref="A70:AL70"/>
    <mergeCell ref="B91:J91"/>
    <mergeCell ref="B85:J85"/>
    <mergeCell ref="Q85:W85"/>
    <mergeCell ref="A101:AL101"/>
    <mergeCell ref="A107:AL107"/>
    <mergeCell ref="B58:Y58"/>
    <mergeCell ref="AK79:AL79"/>
    <mergeCell ref="Q78:W78"/>
    <mergeCell ref="X78:AE78"/>
    <mergeCell ref="AK84:AL84"/>
    <mergeCell ref="K92:P92"/>
    <mergeCell ref="Q92:W92"/>
    <mergeCell ref="A104:AL104"/>
    <mergeCell ref="X91:AE91"/>
    <mergeCell ref="B43:AL43"/>
    <mergeCell ref="W40:AL40"/>
    <mergeCell ref="B42:AL42"/>
    <mergeCell ref="B37:X37"/>
    <mergeCell ref="A52:A60"/>
    <mergeCell ref="Z54:AJ54"/>
    <mergeCell ref="Z55:AJ55"/>
    <mergeCell ref="Z56:AJ56"/>
    <mergeCell ref="AK55:AL55"/>
    <mergeCell ref="AK57:AL57"/>
    <mergeCell ref="AK56:AL56"/>
    <mergeCell ref="B52:AL52"/>
    <mergeCell ref="B45:AL45"/>
    <mergeCell ref="B48:AL48"/>
    <mergeCell ref="A50:A51"/>
    <mergeCell ref="B44:S44"/>
    <mergeCell ref="Z53:AJ53"/>
    <mergeCell ref="AK54:AL54"/>
    <mergeCell ref="AK53:AL53"/>
    <mergeCell ref="B50:AL50"/>
    <mergeCell ref="A35:A42"/>
    <mergeCell ref="A43:A44"/>
    <mergeCell ref="B40:V40"/>
    <mergeCell ref="B41:AL41"/>
    <mergeCell ref="Q80:W80"/>
    <mergeCell ref="X80:AE80"/>
    <mergeCell ref="AF80:AJ80"/>
    <mergeCell ref="AK80:AL80"/>
    <mergeCell ref="B78:J78"/>
    <mergeCell ref="K78:P78"/>
    <mergeCell ref="B65:AL65"/>
    <mergeCell ref="A68:AL68"/>
    <mergeCell ref="B63:AL63"/>
    <mergeCell ref="S64:AL64"/>
    <mergeCell ref="B64:R64"/>
    <mergeCell ref="A4:F4"/>
    <mergeCell ref="H4:L4"/>
    <mergeCell ref="A5:F5"/>
    <mergeCell ref="H5:L5"/>
    <mergeCell ref="A18:A19"/>
    <mergeCell ref="B18:AL18"/>
    <mergeCell ref="B19:AL19"/>
    <mergeCell ref="A11:AL11"/>
    <mergeCell ref="A12:AL12"/>
    <mergeCell ref="A13:AL13"/>
    <mergeCell ref="A15:AK15"/>
    <mergeCell ref="A16:A17"/>
    <mergeCell ref="B16:AL16"/>
    <mergeCell ref="A9:AL9"/>
    <mergeCell ref="B17:AL17"/>
    <mergeCell ref="A7:F7"/>
    <mergeCell ref="G7:L7"/>
    <mergeCell ref="N7:P7"/>
    <mergeCell ref="Q7:AA7"/>
    <mergeCell ref="A8:P8"/>
    <mergeCell ref="AH150:AJ150"/>
    <mergeCell ref="B128:F128"/>
    <mergeCell ref="AB7:AE7"/>
    <mergeCell ref="Q8:AL8"/>
    <mergeCell ref="L128:O128"/>
    <mergeCell ref="A119:AL119"/>
    <mergeCell ref="AK85:AL85"/>
    <mergeCell ref="B86:J86"/>
    <mergeCell ref="K86:P86"/>
    <mergeCell ref="Q86:W86"/>
    <mergeCell ref="X86:AE86"/>
    <mergeCell ref="AF86:AJ86"/>
    <mergeCell ref="AK86:AL86"/>
    <mergeCell ref="B87:J87"/>
    <mergeCell ref="K87:P87"/>
    <mergeCell ref="Q87:W87"/>
    <mergeCell ref="X87:AE87"/>
    <mergeCell ref="P150:V150"/>
    <mergeCell ref="W150:Z150"/>
    <mergeCell ref="G129:K129"/>
    <mergeCell ref="L129:O129"/>
    <mergeCell ref="A63:A64"/>
    <mergeCell ref="B80:J80"/>
    <mergeCell ref="K80:P80"/>
    <mergeCell ref="B129:F129"/>
    <mergeCell ref="AA150:AG150"/>
    <mergeCell ref="G128:K128"/>
    <mergeCell ref="AK150:AL150"/>
    <mergeCell ref="AA129:AG129"/>
    <mergeCell ref="AH129:AJ129"/>
    <mergeCell ref="AK129:AL129"/>
    <mergeCell ref="AA130:AG130"/>
    <mergeCell ref="AH130:AJ130"/>
    <mergeCell ref="AK130:AL130"/>
    <mergeCell ref="B150:O150"/>
    <mergeCell ref="P128:V128"/>
    <mergeCell ref="W128:Z128"/>
    <mergeCell ref="P129:V129"/>
    <mergeCell ref="W129:Z129"/>
    <mergeCell ref="B130:F130"/>
    <mergeCell ref="G130:K130"/>
    <mergeCell ref="L130:O130"/>
    <mergeCell ref="P130:V130"/>
    <mergeCell ref="W130:Z130"/>
    <mergeCell ref="AK131:AL131"/>
    <mergeCell ref="B132:F132"/>
    <mergeCell ref="G132:K132"/>
    <mergeCell ref="L132:O132"/>
    <mergeCell ref="B152:S152"/>
    <mergeCell ref="T152:AJ152"/>
    <mergeCell ref="B153:S153"/>
    <mergeCell ref="T153:AJ153"/>
    <mergeCell ref="A174:AL174"/>
    <mergeCell ref="A157:AL157"/>
    <mergeCell ref="A158:AL158"/>
    <mergeCell ref="A161:AL161"/>
    <mergeCell ref="A172:AL172"/>
    <mergeCell ref="A173:AL173"/>
    <mergeCell ref="A170:AL170"/>
    <mergeCell ref="A167:AL167"/>
    <mergeCell ref="A168:AL168"/>
    <mergeCell ref="A159:AL159"/>
    <mergeCell ref="A160:AL160"/>
    <mergeCell ref="A163:AL163"/>
    <mergeCell ref="A164:AL164"/>
    <mergeCell ref="A165:AL165"/>
    <mergeCell ref="A166:AL166"/>
    <mergeCell ref="A169:AL169"/>
    <mergeCell ref="AK87:AL87"/>
    <mergeCell ref="AF89:AJ89"/>
    <mergeCell ref="B92:J92"/>
    <mergeCell ref="AK98:AL98"/>
    <mergeCell ref="Q96:W96"/>
    <mergeCell ref="X96:AE96"/>
    <mergeCell ref="AF96:AJ96"/>
    <mergeCell ref="AK96:AL96"/>
    <mergeCell ref="B93:J93"/>
    <mergeCell ref="K93:P93"/>
    <mergeCell ref="Q93:W93"/>
    <mergeCell ref="X93:AE93"/>
    <mergeCell ref="AF93:AJ93"/>
    <mergeCell ref="AK93:AL93"/>
    <mergeCell ref="B94:J94"/>
    <mergeCell ref="K94:P94"/>
    <mergeCell ref="Q94:W94"/>
    <mergeCell ref="X94:AE94"/>
    <mergeCell ref="AF95:AJ95"/>
    <mergeCell ref="AK94:AL94"/>
    <mergeCell ref="B95:J95"/>
    <mergeCell ref="K95:P95"/>
    <mergeCell ref="Q95:W95"/>
    <mergeCell ref="B96:J96"/>
    <mergeCell ref="K96:P96"/>
    <mergeCell ref="B99:J99"/>
    <mergeCell ref="K99:P99"/>
    <mergeCell ref="Q99:W99"/>
    <mergeCell ref="X99:AE99"/>
    <mergeCell ref="X95:AE95"/>
    <mergeCell ref="B127:F127"/>
    <mergeCell ref="G127:K127"/>
    <mergeCell ref="L127:O127"/>
    <mergeCell ref="A125:AL125"/>
    <mergeCell ref="AH126:AJ126"/>
    <mergeCell ref="AK126:AL126"/>
    <mergeCell ref="AF99:AJ99"/>
    <mergeCell ref="AK99:AL99"/>
    <mergeCell ref="B97:J97"/>
    <mergeCell ref="K97:P97"/>
    <mergeCell ref="Q97:W97"/>
    <mergeCell ref="X97:AE97"/>
    <mergeCell ref="AF97:AJ97"/>
    <mergeCell ref="AK97:AL97"/>
    <mergeCell ref="B98:J98"/>
    <mergeCell ref="K98:P98"/>
    <mergeCell ref="Q98:W98"/>
    <mergeCell ref="X98:AE98"/>
    <mergeCell ref="AF98:AJ98"/>
    <mergeCell ref="P132:V132"/>
    <mergeCell ref="W132:Z132"/>
    <mergeCell ref="AA132:AG132"/>
    <mergeCell ref="AH132:AJ132"/>
    <mergeCell ref="AK132:AL132"/>
    <mergeCell ref="G131:K131"/>
    <mergeCell ref="L131:O131"/>
    <mergeCell ref="P131:V131"/>
    <mergeCell ref="AA128:AG128"/>
    <mergeCell ref="AH128:AJ128"/>
    <mergeCell ref="AK128:AL128"/>
    <mergeCell ref="A122:AI122"/>
    <mergeCell ref="AA127:AG127"/>
    <mergeCell ref="AH127:AJ127"/>
    <mergeCell ref="AK127:AL127"/>
    <mergeCell ref="A108:AL108"/>
    <mergeCell ref="A118:AL118"/>
    <mergeCell ref="A121:AL121"/>
    <mergeCell ref="A111:AL111"/>
    <mergeCell ref="P127:V127"/>
    <mergeCell ref="W127:Z127"/>
    <mergeCell ref="B126:F126"/>
    <mergeCell ref="G126:K126"/>
    <mergeCell ref="B131:F131"/>
    <mergeCell ref="W131:Z131"/>
    <mergeCell ref="AA131:AG131"/>
    <mergeCell ref="AH131:AJ131"/>
    <mergeCell ref="B133:F133"/>
    <mergeCell ref="G133:K133"/>
    <mergeCell ref="L133:O133"/>
    <mergeCell ref="P133:V133"/>
    <mergeCell ref="W133:Z133"/>
    <mergeCell ref="AA133:AG133"/>
    <mergeCell ref="AH133:AJ133"/>
    <mergeCell ref="AK133:AL133"/>
    <mergeCell ref="B134:F134"/>
    <mergeCell ref="G134:K134"/>
    <mergeCell ref="L134:O134"/>
    <mergeCell ref="P134:V134"/>
    <mergeCell ref="W134:Z134"/>
    <mergeCell ref="AA134:AG134"/>
    <mergeCell ref="AH134:AJ134"/>
    <mergeCell ref="AK134:AL134"/>
    <mergeCell ref="B135:F135"/>
    <mergeCell ref="G135:K135"/>
    <mergeCell ref="L135:O135"/>
    <mergeCell ref="P135:V135"/>
    <mergeCell ref="W135:Z135"/>
    <mergeCell ref="AA135:AG135"/>
    <mergeCell ref="AH135:AJ135"/>
    <mergeCell ref="AK135:AL135"/>
    <mergeCell ref="B136:F136"/>
    <mergeCell ref="G136:K136"/>
    <mergeCell ref="L136:O136"/>
    <mergeCell ref="P136:V136"/>
    <mergeCell ref="W136:Z136"/>
    <mergeCell ref="AA136:AG136"/>
    <mergeCell ref="AH136:AJ136"/>
    <mergeCell ref="AK136:AL136"/>
    <mergeCell ref="B137:F137"/>
    <mergeCell ref="G137:K137"/>
    <mergeCell ref="L137:O137"/>
    <mergeCell ref="P137:V137"/>
    <mergeCell ref="W137:Z137"/>
    <mergeCell ref="AA137:AG137"/>
    <mergeCell ref="AH137:AJ137"/>
    <mergeCell ref="AK137:AL137"/>
    <mergeCell ref="B138:F138"/>
    <mergeCell ref="G138:K138"/>
    <mergeCell ref="L138:O138"/>
    <mergeCell ref="P138:V138"/>
    <mergeCell ref="W138:Z138"/>
    <mergeCell ref="AA138:AG138"/>
    <mergeCell ref="AH138:AJ138"/>
    <mergeCell ref="AK138:AL138"/>
    <mergeCell ref="B139:F139"/>
    <mergeCell ref="G139:K139"/>
    <mergeCell ref="L139:O139"/>
    <mergeCell ref="P139:V139"/>
    <mergeCell ref="W139:Z139"/>
    <mergeCell ref="AA139:AG139"/>
    <mergeCell ref="AH139:AJ139"/>
    <mergeCell ref="AK139:AL139"/>
    <mergeCell ref="B140:F140"/>
    <mergeCell ref="G140:K140"/>
    <mergeCell ref="L140:O140"/>
    <mergeCell ref="P140:V140"/>
    <mergeCell ref="W140:Z140"/>
    <mergeCell ref="AA140:AG140"/>
    <mergeCell ref="AH140:AJ140"/>
    <mergeCell ref="AK140:AL140"/>
    <mergeCell ref="B141:F141"/>
    <mergeCell ref="G141:K141"/>
    <mergeCell ref="L141:O141"/>
    <mergeCell ref="P141:V141"/>
    <mergeCell ref="W141:Z141"/>
    <mergeCell ref="AA141:AG141"/>
    <mergeCell ref="AH141:AJ141"/>
    <mergeCell ref="AK141:AL141"/>
    <mergeCell ref="B142:F142"/>
    <mergeCell ref="G142:K142"/>
    <mergeCell ref="L142:O142"/>
    <mergeCell ref="P142:V142"/>
    <mergeCell ref="W142:Z142"/>
    <mergeCell ref="AA142:AG142"/>
    <mergeCell ref="AH142:AJ142"/>
    <mergeCell ref="AK142:AL142"/>
    <mergeCell ref="B143:F143"/>
    <mergeCell ref="G143:K143"/>
    <mergeCell ref="L143:O143"/>
    <mergeCell ref="P143:V143"/>
    <mergeCell ref="W143:Z143"/>
    <mergeCell ref="AA143:AG143"/>
    <mergeCell ref="AH143:AJ143"/>
    <mergeCell ref="AK143:AL143"/>
    <mergeCell ref="B144:F144"/>
    <mergeCell ref="G144:K144"/>
    <mergeCell ref="L144:O144"/>
    <mergeCell ref="P144:V144"/>
    <mergeCell ref="W144:Z144"/>
    <mergeCell ref="AA144:AG144"/>
    <mergeCell ref="AH144:AJ144"/>
    <mergeCell ref="AK144:AL144"/>
    <mergeCell ref="AA148:AG148"/>
    <mergeCell ref="AH148:AJ148"/>
    <mergeCell ref="AK148:AL148"/>
    <mergeCell ref="B145:F145"/>
    <mergeCell ref="G145:K145"/>
    <mergeCell ref="L145:O145"/>
    <mergeCell ref="P145:V145"/>
    <mergeCell ref="W145:Z145"/>
    <mergeCell ref="AA145:AG145"/>
    <mergeCell ref="AH145:AJ145"/>
    <mergeCell ref="AK145:AL145"/>
    <mergeCell ref="B146:F146"/>
    <mergeCell ref="G146:K146"/>
    <mergeCell ref="L146:O146"/>
    <mergeCell ref="P146:V146"/>
    <mergeCell ref="W146:Z146"/>
    <mergeCell ref="AA146:AG146"/>
    <mergeCell ref="AH146:AJ146"/>
    <mergeCell ref="AK146:AL146"/>
    <mergeCell ref="A185:AL185"/>
    <mergeCell ref="B22:AL22"/>
    <mergeCell ref="B23:AL23"/>
    <mergeCell ref="B149:F149"/>
    <mergeCell ref="G149:K149"/>
    <mergeCell ref="L149:O149"/>
    <mergeCell ref="P149:V149"/>
    <mergeCell ref="W149:Z149"/>
    <mergeCell ref="AA149:AG149"/>
    <mergeCell ref="AH149:AJ149"/>
    <mergeCell ref="AK149:AL149"/>
    <mergeCell ref="B147:F147"/>
    <mergeCell ref="G147:K147"/>
    <mergeCell ref="L147:O147"/>
    <mergeCell ref="P147:V147"/>
    <mergeCell ref="W147:Z147"/>
    <mergeCell ref="AA147:AG147"/>
    <mergeCell ref="AH147:AJ147"/>
    <mergeCell ref="AK147:AL147"/>
    <mergeCell ref="B148:F148"/>
    <mergeCell ref="G148:K148"/>
    <mergeCell ref="L148:O148"/>
    <mergeCell ref="P148:V148"/>
    <mergeCell ref="W148:Z148"/>
  </mergeCells>
  <conditionalFormatting sqref="A4 H4 A67:A68 A77">
    <cfRule type="expression" dxfId="477" priority="426">
      <formula>IF(A4="",1,0)</formula>
    </cfRule>
  </conditionalFormatting>
  <conditionalFormatting sqref="A70:A75">
    <cfRule type="expression" dxfId="476" priority="14">
      <formula>IF(A70="",1,0)</formula>
    </cfRule>
  </conditionalFormatting>
  <conditionalFormatting sqref="A101 A103 A105 A109 A164">
    <cfRule type="expression" dxfId="475" priority="226">
      <formula>IF(A101="",1,0)</formula>
    </cfRule>
  </conditionalFormatting>
  <conditionalFormatting sqref="A107">
    <cfRule type="expression" dxfId="474" priority="224">
      <formula>IF(A107="",1,0)</formula>
    </cfRule>
  </conditionalFormatting>
  <conditionalFormatting sqref="A112">
    <cfRule type="expression" dxfId="473" priority="213">
      <formula>IF(A112="",1,0)</formula>
    </cfRule>
  </conditionalFormatting>
  <conditionalFormatting sqref="A114:A117">
    <cfRule type="expression" dxfId="472" priority="209">
      <formula>IF(A114="",1,0)</formula>
    </cfRule>
  </conditionalFormatting>
  <conditionalFormatting sqref="A119">
    <cfRule type="expression" dxfId="471" priority="210">
      <formula>IF(A119="",1,0)</formula>
    </cfRule>
  </conditionalFormatting>
  <conditionalFormatting sqref="A121:A124">
    <cfRule type="expression" dxfId="470" priority="20">
      <formula>IF(A121="",1,0)</formula>
    </cfRule>
  </conditionalFormatting>
  <conditionalFormatting sqref="A157:A162">
    <cfRule type="expression" dxfId="469" priority="10">
      <formula>IF(A157="",1,0)</formula>
    </cfRule>
  </conditionalFormatting>
  <conditionalFormatting sqref="A166:A181">
    <cfRule type="expression" dxfId="468" priority="3">
      <formula>IF(A166="",1,0)</formula>
    </cfRule>
  </conditionalFormatting>
  <conditionalFormatting sqref="A183:A185">
    <cfRule type="expression" dxfId="467" priority="1">
      <formula>IF(A183="",1,0)</formula>
    </cfRule>
  </conditionalFormatting>
  <conditionalFormatting sqref="A188:A189">
    <cfRule type="expression" dxfId="466" priority="227">
      <formula>IF(A188="",1,0)</formula>
    </cfRule>
  </conditionalFormatting>
  <conditionalFormatting sqref="A78:B78">
    <cfRule type="expression" dxfId="465" priority="57">
      <formula>IF(A78="",1,0)</formula>
    </cfRule>
  </conditionalFormatting>
  <conditionalFormatting sqref="B21">
    <cfRule type="expression" dxfId="458" priority="38">
      <formula>IF(B21="",1,0)</formula>
    </cfRule>
  </conditionalFormatting>
  <conditionalFormatting sqref="B23">
    <cfRule type="expression" dxfId="457" priority="13">
      <formula>IF(B23="",1,0)</formula>
    </cfRule>
  </conditionalFormatting>
  <conditionalFormatting sqref="B25 W25 B36">
    <cfRule type="expression" dxfId="456" priority="113">
      <formula>IF(B25="",1,0)</formula>
    </cfRule>
  </conditionalFormatting>
  <conditionalFormatting sqref="B28">
    <cfRule type="expression" dxfId="455" priority="112">
      <formula>IF(B28="",1,0)</formula>
    </cfRule>
  </conditionalFormatting>
  <conditionalFormatting sqref="B30">
    <cfRule type="expression" dxfId="454" priority="110">
      <formula>IF(B30="",1,0)</formula>
    </cfRule>
  </conditionalFormatting>
  <conditionalFormatting sqref="B32">
    <cfRule type="expression" dxfId="453" priority="111">
      <formula>IF(B32="",1,0)</formula>
    </cfRule>
  </conditionalFormatting>
  <conditionalFormatting sqref="B34">
    <cfRule type="expression" dxfId="452" priority="109">
      <formula>IF(B34="",1,0)</formula>
    </cfRule>
  </conditionalFormatting>
  <conditionalFormatting sqref="B38">
    <cfRule type="expression" dxfId="451" priority="107">
      <formula>IF(B38="",1,0)</formula>
    </cfRule>
  </conditionalFormatting>
  <conditionalFormatting sqref="B44">
    <cfRule type="expression" dxfId="450" priority="17">
      <formula>IF(B44="",1,0)</formula>
    </cfRule>
  </conditionalFormatting>
  <conditionalFormatting sqref="B47:B49">
    <cfRule type="expression" dxfId="449" priority="2">
      <formula>IF(B47="",1,0)</formula>
    </cfRule>
  </conditionalFormatting>
  <conditionalFormatting sqref="B51">
    <cfRule type="expression" dxfId="448" priority="96">
      <formula>IF(B51="",1,0)</formula>
    </cfRule>
  </conditionalFormatting>
  <conditionalFormatting sqref="B64:B65">
    <cfRule type="expression" dxfId="447" priority="18">
      <formula>IF(B64="",1,0)</formula>
    </cfRule>
  </conditionalFormatting>
  <conditionalFormatting sqref="B128:B149">
    <cfRule type="expression" dxfId="446" priority="25">
      <formula>IF(B128="",1,0)</formula>
    </cfRule>
  </conditionalFormatting>
  <conditionalFormatting sqref="B17:AL17 B19">
    <cfRule type="expression" dxfId="445" priority="322">
      <formula>IF(B17="",1,0)</formula>
    </cfRule>
  </conditionalFormatting>
  <conditionalFormatting sqref="G128:G149">
    <cfRule type="expression" dxfId="444" priority="29">
      <formula>IF(G128="",1,0)</formula>
    </cfRule>
  </conditionalFormatting>
  <conditionalFormatting sqref="K78:K99 B79:B99">
    <cfRule type="expression" dxfId="443" priority="54">
      <formula>IF(B78="",1,0)</formula>
    </cfRule>
  </conditionalFormatting>
  <conditionalFormatting sqref="L128:L149">
    <cfRule type="expression" dxfId="442" priority="28">
      <formula>IF(L128="",1,0)</formula>
    </cfRule>
  </conditionalFormatting>
  <conditionalFormatting sqref="N7">
    <cfRule type="expression" dxfId="441" priority="41">
      <formula>IF(N7="",1,0)</formula>
    </cfRule>
  </conditionalFormatting>
  <conditionalFormatting sqref="P128:P149">
    <cfRule type="expression" dxfId="440" priority="27">
      <formula>IF(P128="",1,0)</formula>
    </cfRule>
  </conditionalFormatting>
  <conditionalFormatting sqref="Q78:Q99">
    <cfRule type="expression" dxfId="439" priority="52">
      <formula>IF(Q78="",1,0)</formula>
    </cfRule>
  </conditionalFormatting>
  <conditionalFormatting sqref="Q8:AL8">
    <cfRule type="expression" dxfId="438" priority="39">
      <formula>IF(Q8="",1,0)</formula>
    </cfRule>
  </conditionalFormatting>
  <conditionalFormatting sqref="S64">
    <cfRule type="expression" dxfId="437" priority="239">
      <formula>IF(S64="",1,0)</formula>
    </cfRule>
  </conditionalFormatting>
  <conditionalFormatting sqref="T152:T153">
    <cfRule type="expression" dxfId="436" priority="172">
      <formula>IF(T152="",1,0)</formula>
    </cfRule>
  </conditionalFormatting>
  <conditionalFormatting sqref="T155">
    <cfRule type="expression" dxfId="435" priority="205">
      <formula>IF(T155="",1,0)</formula>
    </cfRule>
  </conditionalFormatting>
  <conditionalFormatting sqref="T177">
    <cfRule type="expression" dxfId="434" priority="21">
      <formula>IF(T177="",1,0)</formula>
    </cfRule>
  </conditionalFormatting>
  <conditionalFormatting sqref="W40 B40:B42">
    <cfRule type="expression" dxfId="433" priority="108">
      <formula>IF(B40="",1,0)</formula>
    </cfRule>
  </conditionalFormatting>
  <conditionalFormatting sqref="W128:W149">
    <cfRule type="expression" dxfId="432" priority="26">
      <formula>IF(W128="",1,0)</formula>
    </cfRule>
  </conditionalFormatting>
  <conditionalFormatting sqref="X79:X98">
    <cfRule type="expression" dxfId="431" priority="48">
      <formula>IF(X79="",1,0)</formula>
    </cfRule>
  </conditionalFormatting>
  <conditionalFormatting sqref="Y38">
    <cfRule type="expression" dxfId="430" priority="12">
      <formula>IF(Y38="",1,0)</formula>
    </cfRule>
  </conditionalFormatting>
  <conditionalFormatting sqref="Z54:Z56">
    <cfRule type="expression" dxfId="429" priority="228">
      <formula>IF(Z54="",1,0)</formula>
    </cfRule>
  </conditionalFormatting>
  <conditionalFormatting sqref="Z58:Z59">
    <cfRule type="expression" dxfId="428" priority="131">
      <formula>IF(Z58="",1,0)</formula>
    </cfRule>
  </conditionalFormatting>
  <conditionalFormatting sqref="AB7">
    <cfRule type="expression" dxfId="427" priority="40">
      <formula>IF(AB7="",1,0)</formula>
    </cfRule>
  </conditionalFormatting>
  <conditionalFormatting sqref="AF79:AF98">
    <cfRule type="expression" dxfId="426" priority="47">
      <formula>IF(AF79="",1,0)</formula>
    </cfRule>
  </conditionalFormatting>
  <conditionalFormatting sqref="AH128:AH149">
    <cfRule type="expression" dxfId="425" priority="30">
      <formula>IF(AH128="",1,0)</formula>
    </cfRule>
  </conditionalFormatting>
  <conditionalFormatting sqref="AJ122">
    <cfRule type="expression" dxfId="424" priority="35">
      <formula>IF(AJ122="",1,0)</formula>
    </cfRule>
  </conditionalFormatting>
  <conditionalFormatting sqref="AK78:AK98">
    <cfRule type="expression" dxfId="423" priority="46">
      <formula>IF(AK78="",1,0)</formula>
    </cfRule>
  </conditionalFormatting>
  <dataValidations count="39">
    <dataValidation allowBlank="1" showInputMessage="1" sqref="AU166:XFD168" xr:uid="{00000000-0002-0000-0800-000000000000}"/>
    <dataValidation allowBlank="1" showInputMessage="1" showErrorMessage="1" promptTitle="Wybierz" prompt="właściwe" sqref="B76:AL76" xr:uid="{00000000-0002-0000-0800-000001000000}"/>
    <dataValidation type="textLength" operator="equal" allowBlank="1" showInputMessage="1" showErrorMessage="1" errorTitle="NIP" error="NIP to ciąg dziesięciu cyfr np. 5719611245" promptTitle="Wprowadź" prompt="NIP" sqref="B25:V25" xr:uid="{00000000-0002-0000-0800-000002000000}">
      <formula1>10</formula1>
    </dataValidation>
    <dataValidation allowBlank="1" showInputMessage="1" showErrorMessage="1" promptTitle="Wprowadź" prompt="nazwę Inwestora" sqref="B36:AL36" xr:uid="{00000000-0002-0000-0800-000004000000}"/>
    <dataValidation type="textLength" operator="equal" allowBlank="1" showInputMessage="1" showErrorMessage="1" errorTitle="REGON" error="REGON to ciąg dziewięciu cyfr np. 571961124" promptTitle="Wprowadź" prompt="nr REGON" sqref="W25:AL25" xr:uid="{00000000-0002-0000-0800-000005000000}">
      <formula1>9</formula1>
    </dataValidation>
    <dataValidation allowBlank="1" showInputMessage="1" showErrorMessage="1" promptTitle="Wprowadź" prompt="dane" sqref="B30:AL30 B28:AL28 AJ122:AL122" xr:uid="{00000000-0002-0000-0800-000006000000}"/>
    <dataValidation allowBlank="1" showInputMessage="1" showErrorMessage="1" promptTitle="Wprowadź" prompt="adres beneficjenta" sqref="B21" xr:uid="{00000000-0002-0000-0800-000007000000}"/>
    <dataValidation allowBlank="1" showInputMessage="1" showErrorMessage="1" promptTitle="Wprowadź" prompt="nazwę beneficjenta" sqref="B19" xr:uid="{00000000-0002-0000-0800-000008000000}"/>
    <dataValidation allowBlank="1" showErrorMessage="1" promptTitle="Wprowadź" prompt="kwotę" sqref="B47:AL47" xr:uid="{00000000-0002-0000-0800-000009000000}"/>
    <dataValidation type="decimal" allowBlank="1" showInputMessage="1" showErrorMessage="1" sqref="AH128:AJ149" xr:uid="{00000000-0002-0000-0800-00000A000000}">
      <formula1>0</formula1>
      <formula2>1</formula2>
    </dataValidation>
    <dataValidation type="whole" allowBlank="1" showInputMessage="1" showErrorMessage="1" promptTitle="Wprowadź " prompt="ilość" sqref="A75:AL75" xr:uid="{00000000-0002-0000-0800-00000B000000}">
      <formula1>0</formula1>
      <formula2>1000000</formula2>
    </dataValidation>
    <dataValidation allowBlank="1" showErrorMessage="1" promptTitle="Wybierz" prompt="właściwe" sqref="A171 A167:AL167 A169:AL169" xr:uid="{00000000-0002-0000-0800-00000C000000}"/>
    <dataValidation type="decimal" allowBlank="1" showInputMessage="1" showErrorMessage="1" promptTitle="Wprowadź " prompt="wielkość" sqref="A107:AL107" xr:uid="{00000000-0002-0000-0800-00000D000000}">
      <formula1>0</formula1>
      <formula2>1E+31</formula2>
    </dataValidation>
    <dataValidation type="decimal" allowBlank="1" showInputMessage="1" showErrorMessage="1" promptTitle="Wprowadź" prompt="wartość gruntu" sqref="T153:AJ153" xr:uid="{00000000-0002-0000-0800-00000E000000}">
      <formula1>0</formula1>
      <formula2>1E+55</formula2>
    </dataValidation>
    <dataValidation type="textLength" operator="equal" allowBlank="1" showInputMessage="1" showErrorMessage="1" errorTitle="REGON" error="REGON to ciąg dziewięciu cyfr np. 571961124" promptTitle="Wprowadź" prompt="nr REGON inwestora" sqref="W40:AL40" xr:uid="{00000000-0002-0000-0800-00000F000000}">
      <formula1>9</formula1>
    </dataValidation>
    <dataValidation type="textLength" operator="equal" allowBlank="1" showInputMessage="1" showErrorMessage="1" errorTitle="NIP" error="NIP to ciąg dziesięciu cyfr np. 5719611245" promptTitle="Wprowadź" prompt="NIP inwestora" sqref="B40:V40" xr:uid="{00000000-0002-0000-0800-000010000000}">
      <formula1>10</formula1>
    </dataValidation>
    <dataValidation allowBlank="1" showInputMessage="1" showErrorMessage="1" promptTitle="Wprowadź" prompt="adres inwestora" sqref="B38:X38" xr:uid="{00000000-0002-0000-0800-000012000000}"/>
    <dataValidation type="textLength" operator="equal" allowBlank="1" showInputMessage="1" errorTitle="KRS" promptTitle="Wprowadź" prompt="numer KRS inwestora" sqref="B42:AL42" xr:uid="{00000000-0002-0000-0800-000014000000}">
      <formula1>10</formula1>
    </dataValidation>
    <dataValidation allowBlank="1" showInputMessage="1" showErrorMessage="1" promptTitle="Wprowadź" prompt="adres ePUAP beneficjenta" sqref="B22" xr:uid="{EC58F8AF-0A48-4A29-B37D-B3C3A241178D}"/>
    <dataValidation allowBlank="1" promptTitle="Wprowadź" prompt="numer rachunku bankowego" sqref="C64:R64 B64:B65" xr:uid="{00000000-0002-0000-0800-000016000000}"/>
    <dataValidation allowBlank="1" showInputMessage="1" showErrorMessage="1" promptTitle="Wprowadź" prompt="wartość_x000a_" sqref="S64:AL64" xr:uid="{00000000-0002-0000-0800-000017000000}"/>
    <dataValidation allowBlank="1" showInputMessage="1" showErrorMessage="1" promptTitle="Wprowadź" prompt="kwotę" sqref="Z57:AJ57" xr:uid="{00000000-0002-0000-0800-000018000000}"/>
    <dataValidation type="decimal" allowBlank="1" showInputMessage="1" showErrorMessage="1" promptTitle="Wprowadź" prompt="kwotę" sqref="Z59" xr:uid="{00000000-0002-0000-0800-000019000000}">
      <formula1>0</formula1>
      <formula2>10000000000000000000</formula2>
    </dataValidation>
    <dataValidation allowBlank="1" showErrorMessage="1" promptTitle="Wprowadź" prompt="nr księgi wieczystej - nr działki ewidencyjnej" sqref="A173:AL173 A183:AL183 A184:A185" xr:uid="{00000000-0002-0000-0800-00001A000000}"/>
    <dataValidation type="decimal" allowBlank="1" showInputMessage="1" promptTitle="Wybierz" prompt="właściwą wysokość wsparcia lub wpiszmniejszą wartość" sqref="T152:AJ152" xr:uid="{00000000-0002-0000-0800-00001B000000}">
      <formula1>0</formula1>
      <formula2>0.8</formula2>
    </dataValidation>
    <dataValidation allowBlank="1" showErrorMessage="1" promptTitle="Wybierz" prompt="właściwe oświadczenie" sqref="A115:AL115 A159:AL159 A157:AL157 A161:AL161" xr:uid="{00000000-0002-0000-0800-00001C000000}"/>
    <dataValidation allowBlank="1" showInputMessage="1" showErrorMessage="1" promptTitle="Wpisz " prompt="przyczyny braku instalacji wyposażenia lub wpisz nie dotyczy" sqref="A117:AL117" xr:uid="{00000000-0002-0000-0800-00001D000000}"/>
    <dataValidation type="whole" allowBlank="1" showInputMessage="1" showErrorMessage="1" promptTitle="Wprowadź" prompt="wielkość" sqref="A101:AL101" xr:uid="{00000000-0002-0000-0800-00001E000000}">
      <formula1>0</formula1>
      <formula2>100000000000000000000</formula2>
    </dataValidation>
    <dataValidation type="whole" allowBlank="1" showInputMessage="1" showErrorMessage="1" promptTitle="Wprowadź " prompt="wielkość" sqref="A103:AL103" xr:uid="{00000000-0002-0000-0800-00001F000000}">
      <formula1>1</formula1>
      <formula2>1E+34</formula2>
    </dataValidation>
    <dataValidation type="decimal" allowBlank="1" showInputMessage="1" showErrorMessage="1" promptTitle="Wprowadź" prompt="wielkość" sqref="A105:AL105" xr:uid="{00000000-0002-0000-0800-000020000000}">
      <formula1>0</formula1>
      <formula2>1E+42</formula2>
    </dataValidation>
    <dataValidation type="decimal" allowBlank="1" showInputMessage="1" showErrorMessage="1" promptTitle="Wprowadź" prompt="wielkość" sqref="A109:AL109" xr:uid="{00000000-0002-0000-0800-000021000000}">
      <formula1>0</formula1>
      <formula2>1E+43</formula2>
    </dataValidation>
    <dataValidation type="whole" allowBlank="1" showInputMessage="1" showErrorMessage="1" promptTitle="Wprowadź " prompt="ilość mieszkań przeznaczonych na wynajem - lokale czynszowe" sqref="A71:AL71" xr:uid="{00000000-0002-0000-0800-000022000000}">
      <formula1>0</formula1>
      <formula2>1E+34</formula2>
    </dataValidation>
    <dataValidation allowBlank="1" showInputMessage="1" showErrorMessage="1" promptTitle="Wprowadź" prompt="Adres do doręczeń elektronicznych" sqref="B23:AL23" xr:uid="{C7279271-4D96-478E-81B8-B3E1D11AE7A9}"/>
    <dataValidation operator="greaterThanOrEqual" allowBlank="1" showInputMessage="1" showErrorMessage="1" promptTitle="Wprowadź" prompt="datę w formacie rrrr-mm-dd_x000a_" sqref="B51:AL51" xr:uid="{00000000-0002-0000-0800-000024000000}"/>
    <dataValidation allowBlank="1" sqref="AK78 K78 Q78 A78:B78" xr:uid="{00000000-0002-0000-0800-000025000000}"/>
    <dataValidation type="textLength" operator="equal" allowBlank="1" showInputMessage="1" promptTitle="Wprowadź" prompt="numer rachunku bankowego" sqref="T44:AL44" xr:uid="{C0B23E85-C006-44C0-B026-B63A65BA6F55}">
      <formula1>26</formula1>
    </dataValidation>
    <dataValidation type="textLength" operator="equal" showInputMessage="1" promptTitle="Wprowadź" prompt="numer rachunku bankowego tj. 26 cyfr" sqref="B44:S44" xr:uid="{B2566697-9B29-4094-A47F-F214E169A174}">
      <formula1>26</formula1>
    </dataValidation>
    <dataValidation type="whole" operator="equal" allowBlank="1" showInputMessage="1" showErrorMessage="1" errorTitle="Wprowadź" error="Wprowadź liczbę większą od zera, jeżeli przedsięwzięcie nie jest realizowane przy udziale finansowania zwrotnego i tworzysz lokale mieszkalne &quot;Za życiem&quot;." promptTitle="Wprowadź " prompt="liczbę większą od zera, jeżeli przedsięwzięcie nie jest realizowane przy udziale finansowania zwrotnego i tworzysz lokale mieszkalne &quot;Za życiem&quot;." sqref="A73:AL73" xr:uid="{99C7F6B3-CDE2-41BB-9185-FEE514D346D4}">
      <formula1>0</formula1>
    </dataValidation>
    <dataValidation allowBlank="1" showInputMessage="1" showErrorMessage="1" promptTitle="Wprowadź" prompt="adres do doręczeń elektronicznych inwestora_x000a_" sqref="Y38:AL38" xr:uid="{7F2409F0-C593-4936-ABBD-63B5713CB19A}"/>
  </dataValidations>
  <hyperlinks>
    <hyperlink ref="AM47" location="'Wnioski art 5 inne'!B120" display="Kliknij &quot;tutaj&quot; i przejdź do wypełnienia zestawienia kosztów" xr:uid="{00000000-0004-0000-0800-000000000000}"/>
    <hyperlink ref="B47:AL47" location="'Wnioski art 5 oraz 5a inne'!B130" display="'Wnioski art 5 oraz 5a inne'!B130" xr:uid="{00000000-0004-0000-0800-000001000000}"/>
    <hyperlink ref="AM155" location="'Wnioski art 5 inne'!B46" display="Wróć do wypełniania wniosku" xr:uid="{00000000-0004-0000-0800-000002000000}"/>
    <hyperlink ref="AM63" r:id="rId1" location="c19560:~:text=Zasady%20wyceny%20warto%C5%9Bci,pkt%201)%20Ustawy." display="https://www.bgk.pl/programy-i-fundusze/programy/bezzwrotne-wsparcie-budownictwa-z-funduszu-doplat/#c19560:~:text=Zasady%20wyceny%20warto%C5%9Bci,pkt%201)%20Ustawy." xr:uid="{00000000-0004-0000-0800-000003000000}"/>
    <hyperlink ref="AM20" r:id="rId2" display="Weryfikocji można dokonać na stronie internetowej -&gt; https://eteryt.stat.gov.pl/eTeryt/rejestr_teryt/udostepnianie_danych/baza_teryt/uzytkownicy_indywidualni/wyszukiwanie/wyszukiwanie.aspx?contrast=default" xr:uid="{00000000-0004-0000-0800-000004000000}"/>
    <hyperlink ref="AM22" r:id="rId3" xr:uid="{00000000-0004-0000-0800-000005000000}"/>
    <hyperlink ref="AM18" r:id="rId4" xr:uid="{00000000-0004-0000-0800-000006000000}"/>
    <hyperlink ref="AM24" r:id="rId5" xr:uid="{00000000-0004-0000-0800-000007000000}"/>
    <hyperlink ref="AM41" r:id="rId6" xr:uid="{00000000-0004-0000-0800-000008000000}"/>
    <hyperlink ref="AM194" r:id="rId7" xr:uid="{030BBD49-3C7E-46E9-9F5B-6D5D2A0AABCF}"/>
  </hyperlinks>
  <pageMargins left="0.70866141732283472" right="0.70866141732283472" top="0.74803149606299213" bottom="0.74803149606299213" header="0.31496062992125984" footer="0.31496062992125984"/>
  <pageSetup paperSize="9" orientation="portrait" r:id="rId8"/>
  <headerFooter>
    <oddFooter>&amp;LStrona &amp;P z &amp;N&amp;R&amp;F&amp;A</oddFooter>
  </headerFooter>
  <drawing r:id="rId9"/>
  <extLst>
    <ext xmlns:x14="http://schemas.microsoft.com/office/spreadsheetml/2009/9/main" uri="{78C0D931-6437-407d-A8EE-F0AAD7539E65}">
      <x14:conditionalFormattings>
        <x14:conditionalFormatting xmlns:xm="http://schemas.microsoft.com/office/excel/2006/main">
          <x14:cfRule type="expression" priority="214" id="{C3AD41E9-E09B-45C1-84B5-D060991C3366}">
            <xm:f>IF(#REF!=Słowniki!$P$2,1,0)</xm:f>
            <x14:dxf>
              <font>
                <b/>
                <i val="0"/>
                <strike/>
                <color theme="1"/>
              </font>
            </x14:dxf>
          </x14:cfRule>
          <xm:sqref>A111:AL111</xm:sqref>
        </x14:conditionalFormatting>
        <x14:conditionalFormatting xmlns:xm="http://schemas.microsoft.com/office/excel/2006/main">
          <x14:cfRule type="expression" priority="80" id="{D666728C-F9DD-4403-B261-2BC317DAAF21}">
            <xm:f>IF(#REF!=Słowniki!$P$2,1,0)</xm:f>
            <x14:dxf>
              <font>
                <b/>
                <i val="0"/>
                <strike/>
                <color theme="1"/>
              </font>
            </x14:dxf>
          </x14:cfRule>
          <xm:sqref>A113:AL113</xm:sqref>
        </x14:conditionalFormatting>
        <x14:conditionalFormatting xmlns:xm="http://schemas.microsoft.com/office/excel/2006/main">
          <x14:cfRule type="expression" priority="11" id="{8EE75C79-F3F3-4A80-8DB2-E418C5F2AD87}">
            <xm:f>IF($A$107=Słowniki!$P$2,1,0)</xm:f>
            <x14:dxf>
              <font>
                <strike/>
              </font>
            </x14:dxf>
          </x14:cfRule>
          <xm:sqref>A118:AL118</xm:sqref>
        </x14:conditionalFormatting>
        <x14:conditionalFormatting xmlns:xm="http://schemas.microsoft.com/office/excel/2006/main">
          <x14:cfRule type="expression" priority="34" id="{6FC91682-7C18-4825-8A9A-DA68480CA465}">
            <xm:f>IF('Wniosek art 5 budowa'!$A$151=Słowniki!$P$2,1,0)</xm:f>
            <x14:dxf>
              <font>
                <strike/>
              </font>
            </x14:dxf>
          </x14:cfRule>
          <xm:sqref>A120:AL120</xm:sqref>
        </x14:conditionalFormatting>
        <x14:conditionalFormatting xmlns:xm="http://schemas.microsoft.com/office/excel/2006/main">
          <x14:cfRule type="expression" priority="8" id="{4259AD3C-93E4-4FBF-ADE2-A3D254F7DF7D}">
            <xm:f>IF($A$158=Słowniki!$P$2,1,0)</xm:f>
            <x14:dxf>
              <font>
                <strike/>
              </font>
            </x14:dxf>
          </x14:cfRule>
          <xm:sqref>A167:AL167</xm:sqref>
        </x14:conditionalFormatting>
        <x14:conditionalFormatting xmlns:xm="http://schemas.microsoft.com/office/excel/2006/main">
          <x14:cfRule type="expression" priority="72" id="{647B3A0B-2E5D-45C5-970E-56B132E138CD}">
            <xm:f>IF($A$158=Słowniki!$P$2,1,0)</xm:f>
            <x14:dxf>
              <font>
                <strike/>
              </font>
            </x14:dxf>
          </x14:cfRule>
          <xm:sqref>A171:AL171</xm:sqref>
        </x14:conditionalFormatting>
      </x14:conditionalFormattings>
    </ext>
    <ext xmlns:x14="http://schemas.microsoft.com/office/spreadsheetml/2009/9/main" uri="{CCE6A557-97BC-4b89-ADB6-D9C93CAAB3DF}">
      <x14:dataValidations xmlns:xm="http://schemas.microsoft.com/office/excel/2006/main" count="32">
        <x14:dataValidation type="list" allowBlank="1" promptTitle="Wybierz" prompt="właściwe" xr:uid="{00000000-0002-0000-0800-000027000000}">
          <x14:formula1>
            <xm:f>Słowniki!$O$2:$O$4</xm:f>
          </x14:formula1>
          <xm:sqref>A188:AL188</xm:sqref>
        </x14:dataValidation>
        <x14:dataValidation type="list" allowBlank="1" showInputMessage="1" showErrorMessage="1" promptTitle="Wybierz" prompt="właściwe" xr:uid="{00000000-0002-0000-0800-000028000000}">
          <x14:formula1>
            <xm:f>Słowniki!$AO$1:$AO$2</xm:f>
          </x14:formula1>
          <xm:sqref>B48:AL48</xm:sqref>
        </x14:dataValidation>
        <x14:dataValidation type="list" allowBlank="1" showInputMessage="1" promptTitle="Wprowadź" prompt="dane lub wybierz nie dotyczy" xr:uid="{00000000-0002-0000-0800-00002B000000}">
          <x14:formula1>
            <xm:f>Słowniki!$F$19</xm:f>
          </x14:formula1>
          <xm:sqref>B34:AL34 B32:AL32</xm:sqref>
        </x14:dataValidation>
        <x14:dataValidation type="list" allowBlank="1" showInputMessage="1" showErrorMessage="1" promptTitle="Wybierz" prompt="beneficjenta" xr:uid="{00000000-0002-0000-0800-00002C000000}">
          <x14:formula1>
            <xm:f>Słowniki!$A$2:$A$3</xm:f>
          </x14:formula1>
          <xm:sqref>B17:AL17</xm:sqref>
        </x14:dataValidation>
        <x14:dataValidation type="list" allowBlank="1" showInputMessage="1" showErrorMessage="1" promptTitle="Wybierz" prompt="właściwe" xr:uid="{00000000-0002-0000-0800-00002D000000}">
          <x14:formula1>
            <xm:f>Słowniki!$AE$4:$AE$5</xm:f>
          </x14:formula1>
          <xm:sqref>A174:AL174</xm:sqref>
        </x14:dataValidation>
        <x14:dataValidation type="list" allowBlank="1" showInputMessage="1" showErrorMessage="1" promptTitle="Wybierz" prompt="właściwe" xr:uid="{00000000-0002-0000-0800-00002E000000}">
          <x14:formula1>
            <xm:f>Słowniki!$W$5:$W$6</xm:f>
          </x14:formula1>
          <xm:sqref>A168:AL168</xm:sqref>
        </x14:dataValidation>
        <x14:dataValidation type="list" allowBlank="1" showInputMessage="1" showErrorMessage="1" promptTitle="Wybierz" prompt="właściwe" xr:uid="{00000000-0002-0000-0800-00002F000000}">
          <x14:formula1>
            <xm:f>Słowniki!$Y$1:$Y$5</xm:f>
          </x14:formula1>
          <xm:sqref>A170:AL170</xm:sqref>
        </x14:dataValidation>
        <x14:dataValidation type="list" allowBlank="1" showInputMessage="1" showErrorMessage="1" promptTitle="Wybierz" prompt="właściwe" xr:uid="{00000000-0002-0000-0800-000030000000}">
          <x14:formula1>
            <xm:f>Słowniki!$Z$1:$Z$2</xm:f>
          </x14:formula1>
          <xm:sqref>A172:AL172</xm:sqref>
        </x14:dataValidation>
        <x14:dataValidation type="list" allowBlank="1" showInputMessage="1" showErrorMessage="1" promptTitle="Wybierz" prompt="właściwe" xr:uid="{00000000-0002-0000-0800-000031000000}">
          <x14:formula1>
            <xm:f>Słowniki!$X$13:$X$14</xm:f>
          </x14:formula1>
          <xm:sqref>A166:AL166</xm:sqref>
        </x14:dataValidation>
        <x14:dataValidation type="list" allowBlank="1" showInputMessage="1" promptTitle="Wybierz" prompt="właściwe" xr:uid="{00000000-0002-0000-0800-000032000000}">
          <x14:formula1>
            <xm:f>Słowniki!$X$11:$X$12</xm:f>
          </x14:formula1>
          <xm:sqref>A164:AL164</xm:sqref>
        </x14:dataValidation>
        <x14:dataValidation type="list" allowBlank="1" showInputMessage="1" showErrorMessage="1" promptTitle="Wybierz" prompt="właściwe" xr:uid="{00000000-0002-0000-0800-000033000000}">
          <x14:formula1>
            <xm:f>Słowniki!$W$1:$W$2</xm:f>
          </x14:formula1>
          <xm:sqref>A158:AL158</xm:sqref>
        </x14:dataValidation>
        <x14:dataValidation type="list" allowBlank="1" showInputMessage="1" showErrorMessage="1" promptTitle="Wybierz" prompt="właściwe" xr:uid="{00000000-0002-0000-0800-000034000000}">
          <x14:formula1>
            <xm:f>Słowniki!$W$3:$W$4</xm:f>
          </x14:formula1>
          <xm:sqref>A162:AL162</xm:sqref>
        </x14:dataValidation>
        <x14:dataValidation type="list" allowBlank="1" showInputMessage="1" showErrorMessage="1" promptTitle="Wybierz" prompt="właściwe" xr:uid="{00000000-0002-0000-0800-000035000000}">
          <x14:formula1>
            <xm:f>Słowniki!$U$3:$U$4</xm:f>
          </x14:formula1>
          <xm:sqref>A116:AL116</xm:sqref>
        </x14:dataValidation>
        <x14:dataValidation type="list" allowBlank="1" showInputMessage="1" showErrorMessage="1" promptTitle="Wybierz" prompt="właściwe" xr:uid="{00000000-0002-0000-0800-000036000000}">
          <x14:formula1>
            <xm:f>Słowniki!$U$5:$U$6</xm:f>
          </x14:formula1>
          <xm:sqref>A119:AL119</xm:sqref>
        </x14:dataValidation>
        <x14:dataValidation type="list" allowBlank="1" showInputMessage="1" showErrorMessage="1" promptTitle="Wybierz" prompt="właściwe" xr:uid="{00000000-0002-0000-0800-000037000000}">
          <x14:formula1>
            <xm:f>Słowniki!$X$3:$X$4</xm:f>
          </x14:formula1>
          <xm:sqref>A114:AL114</xm:sqref>
        </x14:dataValidation>
        <x14:dataValidation type="list" allowBlank="1" showInputMessage="1" showErrorMessage="1" promptTitle="Wybierz" prompt="właściwe" xr:uid="{00000000-0002-0000-0800-000038000000}">
          <x14:formula1>
            <xm:f>Słowniki!$U$1:$U$2</xm:f>
          </x14:formula1>
          <xm:sqref>A112:AL112</xm:sqref>
        </x14:dataValidation>
        <x14:dataValidation type="list" allowBlank="1" showInputMessage="1" showErrorMessage="1" promptTitle="Wybierz" prompt="właściwe" xr:uid="{00000000-0002-0000-0800-000039000000}">
          <x14:formula1>
            <xm:f>Słowniki!$E$169:$E$170</xm:f>
          </x14:formula1>
          <xm:sqref>T155:AJ155</xm:sqref>
        </x14:dataValidation>
        <x14:dataValidation type="list" allowBlank="1" showInputMessage="1" showErrorMessage="1" promptTitle="Wybierz" prompt="jeżeli przedsięwzięcie jest mieszane" xr:uid="{00000000-0002-0000-0800-00003B000000}">
          <x14:formula1>
            <xm:f>Słowniki!$C$13:$C$15</xm:f>
          </x14:formula1>
          <xm:sqref>A68:AL68</xm:sqref>
        </x14:dataValidation>
        <x14:dataValidation type="list" allowBlank="1" showInputMessage="1" showErrorMessage="1" promptTitle="Wybierz" prompt="rodzaj przedsięwzięcia" xr:uid="{00000000-0002-0000-0800-00003C000000}">
          <x14:formula1>
            <xm:f>Słowniki!$D$3:$D$4</xm:f>
          </x14:formula1>
          <xm:sqref>A67:AL67</xm:sqref>
        </x14:dataValidation>
        <x14:dataValidation type="list" allowBlank="1" showInputMessage="1" showErrorMessage="1" promptTitle="Wybierz" prompt="właściwy rodzaj" xr:uid="{00000000-0002-0000-0800-00003D000000}">
          <x14:formula1>
            <xm:f>Słowniki!$J$4</xm:f>
          </x14:formula1>
          <xm:sqref>A77:AL77</xm:sqref>
        </x14:dataValidation>
        <x14:dataValidation type="list" allowBlank="1" showInputMessage="1" showErrorMessage="1" promptTitle="Wybierz" prompt="właściwe" xr:uid="{00000000-0002-0000-0800-00003E000000}">
          <x14:formula1>
            <xm:f>Słowniki!$W$7:$W$8</xm:f>
          </x14:formula1>
          <xm:sqref>A160:AL160</xm:sqref>
        </x14:dataValidation>
        <x14:dataValidation type="list" allowBlank="1" showInputMessage="1" showErrorMessage="1" promptTitle="Wybierz" prompt="właściwe" xr:uid="{00000000-0002-0000-0800-000040000000}">
          <x14:formula1>
            <xm:f>Słowniki!$F$8</xm:f>
          </x14:formula1>
          <xm:sqref>A70:AL70</xm:sqref>
        </x14:dataValidation>
        <x14:dataValidation type="list" allowBlank="1" showInputMessage="1" showErrorMessage="1" promptTitle="Wybierz" prompt="właściwe" xr:uid="{00000000-0002-0000-0800-000041000000}">
          <x14:formula1>
            <xm:f>Słowniki!$W$12:$W$14</xm:f>
          </x14:formula1>
          <xm:sqref>A179:AL179</xm:sqref>
        </x14:dataValidation>
        <x14:dataValidation type="list" allowBlank="1" showInputMessage="1" showErrorMessage="1" promptTitle="Wybierz" prompt="właściwe" xr:uid="{00000000-0002-0000-0800-000042000000}">
          <x14:formula1>
            <xm:f>Słowniki!$D$17:$D$18</xm:f>
          </x14:formula1>
          <xm:sqref>T176:AL176</xm:sqref>
        </x14:dataValidation>
        <x14:dataValidation type="list" allowBlank="1" showInputMessage="1" showErrorMessage="1" promptTitle="Wybierz" prompt="właściwe" xr:uid="{00000000-0002-0000-0800-000043000000}">
          <x14:formula1>
            <xm:f>Słowniki!$C$17:$C$18</xm:f>
          </x14:formula1>
          <xm:sqref>A176:S176</xm:sqref>
        </x14:dataValidation>
        <x14:dataValidation type="list" allowBlank="1" showInputMessage="1" showErrorMessage="1" promptTitle="Wybierz" prompt="właściwe" xr:uid="{00000000-0002-0000-0800-000044000000}">
          <x14:formula1>
            <xm:f>Słowniki!$C$3:$C$4</xm:f>
          </x14:formula1>
          <xm:sqref>AB7:AE7 N7:P7</xm:sqref>
        </x14:dataValidation>
        <x14:dataValidation type="list" allowBlank="1" showInputMessage="1" showErrorMessage="1" promptTitle="Wybierz" prompt="właściwe" xr:uid="{D3EE633D-62EB-420E-863A-584F570DB2E0}">
          <x14:formula1>
            <xm:f>Słowniki!$C$49:$C$50</xm:f>
          </x14:formula1>
          <xm:sqref>A121:AL121</xm:sqref>
        </x14:dataValidation>
        <x14:dataValidation type="list" allowBlank="1" showInputMessage="1" promptTitle="Wybierz" prompt="właściwe" xr:uid="{816C2F00-34AF-4CCA-89BE-FB4D305CABDC}">
          <x14:formula1>
            <xm:f>Słowniki!$A$34:$A$39</xm:f>
          </x14:formula1>
          <xm:sqref>G128:K149</xm:sqref>
        </x14:dataValidation>
        <x14:dataValidation type="list" allowBlank="1" showInputMessage="1" xr:uid="{1091E686-A4A9-40E0-9C96-4BA5CB2C0C02}">
          <x14:formula1>
            <xm:f>Słowniki!$B$49</xm:f>
          </x14:formula1>
          <xm:sqref>T177:AL177</xm:sqref>
        </x14:dataValidation>
        <x14:dataValidation type="list" errorStyle="information" allowBlank="1" showInputMessage="1" showErrorMessage="1" promptTitle="Wybierz" prompt="właściwe" xr:uid="{4D9BDE28-6F19-4E21-97CF-B05ABA2CDC4B}">
          <x14:formula1>
            <xm:f>Słowniki!$A$46:$A$60</xm:f>
          </x14:formula1>
          <xm:sqref>B128:F149</xm:sqref>
        </x14:dataValidation>
        <x14:dataValidation type="list" allowBlank="1" showInputMessage="1" showErrorMessage="1" xr:uid="{FBCD7B2B-FD44-4A0B-8DF4-0E99BD643277}">
          <x14:formula1>
            <xm:f>Słowniki!$Y$9:$Y$10</xm:f>
          </x14:formula1>
          <xm:sqref>A181:AL181</xm:sqref>
        </x14:dataValidation>
        <x14:dataValidation type="date" operator="greaterThan" allowBlank="1" showInputMessage="1" showErrorMessage="1" promptTitle="Wprowadź" prompt="datę w formacie rrrr-mm-dd_x000a_" xr:uid="{00000000-0002-0000-0800-000045000000}">
          <x14:formula1>
            <xm:f>Słowniki!AQ7</xm:f>
          </x14:formula1>
          <xm:sqref>B49:AL49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M446"/>
  <sheetViews>
    <sheetView showGridLines="0" topLeftCell="A181" zoomScale="90" zoomScaleNormal="90" workbookViewId="0">
      <selection activeCell="AM189" sqref="AM189"/>
    </sheetView>
  </sheetViews>
  <sheetFormatPr defaultColWidth="9.33203125" defaultRowHeight="14.4" x14ac:dyDescent="0.3"/>
  <cols>
    <col min="1" max="1" width="3.33203125" style="90" customWidth="1"/>
    <col min="2" max="2" width="4" style="90" customWidth="1"/>
    <col min="3" max="3" width="2.33203125" style="90" customWidth="1"/>
    <col min="4" max="4" width="2.5546875" style="90" customWidth="1"/>
    <col min="5" max="5" width="2" style="90" customWidth="1"/>
    <col min="6" max="6" width="1.6640625" style="90" customWidth="1"/>
    <col min="7" max="7" width="1.44140625" style="90" customWidth="1"/>
    <col min="8" max="8" width="2.33203125" style="90" customWidth="1"/>
    <col min="9" max="9" width="2.44140625" style="90" customWidth="1"/>
    <col min="10" max="10" width="1.5546875" style="90" customWidth="1"/>
    <col min="11" max="11" width="1.6640625" style="90" customWidth="1"/>
    <col min="12" max="12" width="5.33203125" style="90" customWidth="1"/>
    <col min="13" max="13" width="0.6640625" style="90" customWidth="1"/>
    <col min="14" max="14" width="3.44140625" style="90" customWidth="1"/>
    <col min="15" max="15" width="2.5546875" style="90" customWidth="1"/>
    <col min="16" max="17" width="1.5546875" style="90" customWidth="1"/>
    <col min="18" max="18" width="1.33203125" style="90" customWidth="1"/>
    <col min="19" max="19" width="2.33203125" style="90" customWidth="1"/>
    <col min="20" max="20" width="1.33203125" style="90" customWidth="1"/>
    <col min="21" max="21" width="1" style="90" customWidth="1"/>
    <col min="22" max="22" width="0.6640625" style="90" customWidth="1"/>
    <col min="23" max="23" width="3" style="90" customWidth="1"/>
    <col min="24" max="24" width="1.33203125" style="90" customWidth="1"/>
    <col min="25" max="25" width="1.44140625" style="90" customWidth="1"/>
    <col min="26" max="27" width="1.33203125" style="90" customWidth="1"/>
    <col min="28" max="28" width="2" style="90" customWidth="1"/>
    <col min="29" max="29" width="1" style="90" customWidth="1"/>
    <col min="30" max="31" width="1.6640625" style="90" customWidth="1"/>
    <col min="32" max="32" width="1.33203125" style="90" customWidth="1"/>
    <col min="33" max="33" width="1.6640625" style="90" customWidth="1"/>
    <col min="34" max="34" width="2.33203125" style="90" customWidth="1"/>
    <col min="35" max="35" width="1.44140625" style="90" customWidth="1"/>
    <col min="36" max="36" width="4" style="90" customWidth="1"/>
    <col min="37" max="37" width="9.33203125" style="90" customWidth="1"/>
    <col min="38" max="38" width="5.6640625" style="90" customWidth="1"/>
    <col min="39" max="39" width="117" style="101" customWidth="1"/>
    <col min="40" max="65" width="9.33203125" style="60"/>
    <col min="66" max="16384" width="9.33203125" style="68"/>
  </cols>
  <sheetData>
    <row r="1" spans="1:54" ht="31.2"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155"/>
      <c r="R2" s="155"/>
      <c r="S2" s="155"/>
      <c r="T2" s="155"/>
      <c r="U2" s="155"/>
      <c r="V2" s="155"/>
      <c r="W2" s="155"/>
      <c r="X2" s="155"/>
      <c r="Y2" s="155"/>
      <c r="Z2" s="155"/>
      <c r="AA2" s="155"/>
      <c r="AB2" s="155"/>
      <c r="AC2" s="155"/>
      <c r="AD2" s="155"/>
      <c r="AE2" s="155"/>
      <c r="AF2" s="155"/>
      <c r="AG2" s="155"/>
      <c r="AH2" s="155"/>
      <c r="AI2" s="155"/>
      <c r="AJ2" s="155"/>
      <c r="AK2" s="155"/>
      <c r="AL2" s="155"/>
      <c r="AM2" s="102" t="s">
        <v>160</v>
      </c>
      <c r="AN2" s="70"/>
      <c r="AO2" s="70"/>
      <c r="AP2" s="70"/>
      <c r="AQ2" s="70"/>
      <c r="AR2" s="70"/>
      <c r="AS2" s="70"/>
      <c r="AT2" s="70"/>
      <c r="AU2" s="70"/>
      <c r="AV2" s="70"/>
      <c r="AW2" s="70"/>
      <c r="AX2" s="70"/>
      <c r="AY2" s="70"/>
      <c r="AZ2" s="70"/>
      <c r="BA2" s="70"/>
      <c r="BB2" s="70"/>
    </row>
    <row r="3" spans="1:54" x14ac:dyDescent="0.3">
      <c r="A3" s="88"/>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row>
    <row r="4" spans="1:54" x14ac:dyDescent="0.3">
      <c r="A4" s="513"/>
      <c r="B4" s="513"/>
      <c r="C4" s="513"/>
      <c r="D4" s="513"/>
      <c r="E4" s="513"/>
      <c r="F4" s="513"/>
      <c r="G4" s="89"/>
      <c r="H4" s="514">
        <f ca="1">TODAY()</f>
        <v>46184</v>
      </c>
      <c r="I4" s="513"/>
      <c r="J4" s="513"/>
      <c r="K4" s="513"/>
      <c r="L4" s="513"/>
      <c r="M4" s="88"/>
      <c r="N4"/>
      <c r="O4"/>
      <c r="P4"/>
      <c r="Q4"/>
      <c r="R4"/>
      <c r="S4"/>
      <c r="T4"/>
      <c r="U4"/>
      <c r="V4"/>
      <c r="W4"/>
      <c r="X4"/>
      <c r="Y4"/>
      <c r="Z4"/>
      <c r="AA4"/>
      <c r="AB4" s="88"/>
      <c r="AC4" s="88"/>
      <c r="AD4" s="88"/>
      <c r="AE4" s="88"/>
      <c r="AF4" s="88"/>
      <c r="AG4" s="88"/>
      <c r="AH4" s="88"/>
      <c r="AI4" s="88"/>
      <c r="AJ4" s="88"/>
      <c r="AK4" s="88"/>
      <c r="AL4" s="88"/>
    </row>
    <row r="5" spans="1:54" ht="15" customHeight="1" x14ac:dyDescent="0.3">
      <c r="A5" s="515" t="s">
        <v>125</v>
      </c>
      <c r="B5" s="515"/>
      <c r="C5" s="515"/>
      <c r="D5" s="515"/>
      <c r="E5" s="515"/>
      <c r="F5" s="515"/>
      <c r="G5" s="151"/>
      <c r="H5" s="515" t="s">
        <v>124</v>
      </c>
      <c r="I5" s="515"/>
      <c r="J5" s="515"/>
      <c r="K5" s="515"/>
      <c r="L5" s="515"/>
      <c r="M5" s="148"/>
      <c r="N5"/>
      <c r="O5"/>
      <c r="P5"/>
      <c r="Q5"/>
      <c r="R5"/>
      <c r="S5"/>
      <c r="T5"/>
      <c r="U5"/>
      <c r="V5"/>
      <c r="W5"/>
      <c r="X5"/>
      <c r="Y5"/>
      <c r="Z5"/>
      <c r="AA5"/>
      <c r="AB5" s="148"/>
      <c r="AC5" s="148"/>
      <c r="AD5" s="148"/>
      <c r="AE5" s="148"/>
      <c r="AF5" s="148"/>
      <c r="AG5" s="148"/>
      <c r="AH5" s="148"/>
      <c r="AI5" s="148"/>
      <c r="AJ5" s="148"/>
      <c r="AK5" s="148"/>
      <c r="AL5" s="148"/>
    </row>
    <row r="6" spans="1:54" x14ac:dyDescent="0.3">
      <c r="A6" s="153"/>
      <c r="B6" s="153"/>
      <c r="C6" s="153"/>
      <c r="D6" s="153"/>
      <c r="E6" s="153"/>
      <c r="F6" s="153"/>
      <c r="G6" s="151"/>
      <c r="H6" s="148"/>
      <c r="I6" s="148"/>
      <c r="J6" s="148"/>
      <c r="K6" s="148"/>
      <c r="L6" s="148"/>
      <c r="M6" s="148"/>
      <c r="N6"/>
      <c r="O6"/>
      <c r="P6"/>
      <c r="Q6"/>
      <c r="R6"/>
      <c r="S6"/>
      <c r="T6"/>
      <c r="U6"/>
      <c r="V6"/>
      <c r="W6"/>
      <c r="X6"/>
      <c r="Y6"/>
      <c r="Z6"/>
      <c r="AA6"/>
      <c r="AB6" s="148"/>
      <c r="AC6" s="148"/>
      <c r="AD6" s="148"/>
      <c r="AE6" s="148"/>
      <c r="AF6" s="148"/>
      <c r="AG6" s="148"/>
      <c r="AH6" s="148"/>
      <c r="AI6" s="148"/>
      <c r="AJ6" s="148"/>
      <c r="AK6" s="148"/>
      <c r="AL6" s="148"/>
    </row>
    <row r="7" spans="1:54" s="60" customFormat="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s="60" customFormat="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s="60" customFormat="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53"/>
      <c r="B10" s="153"/>
      <c r="C10" s="153"/>
      <c r="D10" s="153"/>
      <c r="E10" s="153"/>
      <c r="F10" s="153"/>
      <c r="G10" s="151"/>
      <c r="H10" s="148"/>
      <c r="I10" s="148"/>
      <c r="J10" s="148"/>
      <c r="K10" s="148"/>
      <c r="L10" s="148"/>
      <c r="M10" s="148"/>
      <c r="N10" s="153"/>
      <c r="O10" s="153"/>
      <c r="P10" s="153"/>
      <c r="Q10" s="153"/>
      <c r="R10" s="153"/>
      <c r="S10" s="153"/>
      <c r="T10" s="152"/>
      <c r="U10" s="153"/>
      <c r="V10" s="153"/>
      <c r="W10" s="153"/>
      <c r="X10" s="153"/>
      <c r="Y10" s="153"/>
      <c r="Z10" s="153"/>
      <c r="AA10" s="148"/>
      <c r="AB10" s="148"/>
      <c r="AC10" s="148"/>
      <c r="AD10" s="148"/>
      <c r="AE10" s="148"/>
      <c r="AF10" s="148"/>
      <c r="AG10" s="148"/>
      <c r="AH10" s="148"/>
      <c r="AI10" s="148"/>
      <c r="AJ10" s="148"/>
      <c r="AK10" s="148"/>
      <c r="AL10" s="14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3">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row>
    <row r="15" spans="1:5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x14ac:dyDescent="0.25">
      <c r="A17" s="326"/>
      <c r="B17" s="443"/>
      <c r="C17" s="443"/>
      <c r="D17" s="443"/>
      <c r="E17" s="443"/>
      <c r="F17" s="443"/>
      <c r="G17" s="443"/>
      <c r="H17" s="443"/>
      <c r="I17" s="443"/>
      <c r="J17" s="443"/>
      <c r="K17" s="443"/>
      <c r="L17" s="443"/>
      <c r="M17" s="443"/>
      <c r="N17" s="443"/>
      <c r="O17" s="443"/>
      <c r="P17" s="443"/>
      <c r="Q17" s="443"/>
      <c r="R17" s="443"/>
      <c r="S17" s="443"/>
      <c r="T17" s="443"/>
      <c r="U17" s="443"/>
      <c r="V17" s="443"/>
      <c r="W17" s="443"/>
      <c r="X17" s="443"/>
      <c r="Y17" s="443"/>
      <c r="Z17" s="443"/>
      <c r="AA17" s="443"/>
      <c r="AB17" s="443"/>
      <c r="AC17" s="443"/>
      <c r="AD17" s="443"/>
      <c r="AE17" s="443"/>
      <c r="AF17" s="443"/>
      <c r="AG17" s="443"/>
      <c r="AH17" s="443"/>
      <c r="AI17" s="443"/>
      <c r="AJ17" s="443"/>
      <c r="AK17" s="443"/>
      <c r="AL17" s="443"/>
    </row>
    <row r="18" spans="1:39"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x14ac:dyDescent="0.25">
      <c r="A19" s="326"/>
      <c r="B19" s="591"/>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92"/>
      <c r="AK19" s="592"/>
      <c r="AL19" s="592"/>
    </row>
    <row r="20" spans="1:39" ht="28.2"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39.450000000000003"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x14ac:dyDescent="0.3">
      <c r="A25" s="326"/>
      <c r="B25" s="600"/>
      <c r="C25" s="600"/>
      <c r="D25" s="600"/>
      <c r="E25" s="600"/>
      <c r="F25" s="600"/>
      <c r="G25" s="600"/>
      <c r="H25" s="600"/>
      <c r="I25" s="600"/>
      <c r="J25" s="600"/>
      <c r="K25" s="600"/>
      <c r="L25" s="600"/>
      <c r="M25" s="600"/>
      <c r="N25" s="600"/>
      <c r="O25" s="600"/>
      <c r="P25" s="600"/>
      <c r="Q25" s="600"/>
      <c r="R25" s="600"/>
      <c r="S25" s="600"/>
      <c r="T25" s="600"/>
      <c r="U25" s="600"/>
      <c r="V25" s="600"/>
      <c r="W25" s="352"/>
      <c r="X25" s="352"/>
      <c r="Y25" s="352"/>
      <c r="Z25" s="352"/>
      <c r="AA25" s="352"/>
      <c r="AB25" s="352"/>
      <c r="AC25" s="352"/>
      <c r="AD25" s="352"/>
      <c r="AE25" s="352"/>
      <c r="AF25" s="352"/>
      <c r="AG25" s="352"/>
      <c r="AH25" s="352"/>
      <c r="AI25" s="352"/>
      <c r="AJ25" s="352"/>
      <c r="AK25" s="352"/>
      <c r="AL25" s="352"/>
    </row>
    <row r="26" spans="1:39" x14ac:dyDescent="0.25">
      <c r="A26" s="337" t="s">
        <v>9</v>
      </c>
      <c r="B26" s="344" t="s">
        <v>66</v>
      </c>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row>
    <row r="27" spans="1:39" x14ac:dyDescent="0.25">
      <c r="A27" s="326"/>
      <c r="B27" s="344" t="s">
        <v>170</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606"/>
    </row>
    <row r="28" spans="1:39" x14ac:dyDescent="0.25">
      <c r="A28" s="326"/>
      <c r="B28" s="593"/>
      <c r="C28" s="594"/>
      <c r="D28" s="594"/>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5"/>
    </row>
    <row r="29" spans="1:39" x14ac:dyDescent="0.25">
      <c r="A29" s="326"/>
      <c r="B29" s="587" t="s">
        <v>211</v>
      </c>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9"/>
    </row>
    <row r="30" spans="1:39" x14ac:dyDescent="0.25">
      <c r="A30" s="326"/>
      <c r="B30" s="593"/>
      <c r="C30" s="594"/>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5"/>
    </row>
    <row r="31" spans="1:39" x14ac:dyDescent="0.25">
      <c r="A31" s="326"/>
      <c r="B31" s="588" t="s">
        <v>171</v>
      </c>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9"/>
    </row>
    <row r="32" spans="1:39" x14ac:dyDescent="0.25">
      <c r="A32" s="326"/>
      <c r="B32" s="593"/>
      <c r="C32" s="594"/>
      <c r="D32" s="594"/>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5"/>
      <c r="AM32" s="101" t="s">
        <v>174</v>
      </c>
    </row>
    <row r="33" spans="1:39" x14ac:dyDescent="0.25">
      <c r="A33" s="326"/>
      <c r="B33" s="587" t="s">
        <v>212</v>
      </c>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row>
    <row r="34" spans="1:39" x14ac:dyDescent="0.25">
      <c r="A34" s="326"/>
      <c r="B34" s="593"/>
      <c r="C34" s="594"/>
      <c r="D34" s="594"/>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5"/>
      <c r="AM34" s="101" t="s">
        <v>174</v>
      </c>
    </row>
    <row r="35" spans="1:39" ht="14.7" customHeight="1" x14ac:dyDescent="0.25">
      <c r="A35" s="337" t="s">
        <v>882</v>
      </c>
      <c r="B35" s="614" t="s">
        <v>676</v>
      </c>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row>
    <row r="36" spans="1:39" x14ac:dyDescent="0.25">
      <c r="A36" s="326"/>
      <c r="B36" s="615"/>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row>
    <row r="37" spans="1:39" ht="57.45" customHeight="1" x14ac:dyDescent="0.25">
      <c r="A37" s="326"/>
      <c r="B37" s="599" t="s">
        <v>677</v>
      </c>
      <c r="C37" s="601"/>
      <c r="D37" s="601"/>
      <c r="E37" s="601"/>
      <c r="F37" s="601"/>
      <c r="G37" s="601"/>
      <c r="H37" s="601"/>
      <c r="I37" s="601"/>
      <c r="J37" s="601"/>
      <c r="K37" s="601"/>
      <c r="L37" s="601"/>
      <c r="M37" s="601"/>
      <c r="N37" s="601"/>
      <c r="O37" s="601"/>
      <c r="P37" s="601"/>
      <c r="Q37" s="601"/>
      <c r="R37" s="601"/>
      <c r="S37" s="601"/>
      <c r="T37" s="601"/>
      <c r="U37" s="601"/>
      <c r="V37" s="601"/>
      <c r="W37" s="601"/>
      <c r="X37" s="601"/>
      <c r="Y37" s="602" t="s">
        <v>1068</v>
      </c>
      <c r="Z37" s="603"/>
      <c r="AA37" s="603"/>
      <c r="AB37" s="603"/>
      <c r="AC37" s="603"/>
      <c r="AD37" s="603"/>
      <c r="AE37" s="603"/>
      <c r="AF37" s="603"/>
      <c r="AG37" s="603"/>
      <c r="AH37" s="603"/>
      <c r="AI37" s="603"/>
      <c r="AJ37" s="603"/>
      <c r="AK37" s="603"/>
      <c r="AL37" s="603"/>
    </row>
    <row r="38" spans="1:39" ht="14.7" customHeight="1" x14ac:dyDescent="0.25">
      <c r="A38" s="326"/>
      <c r="B38" s="604"/>
      <c r="C38" s="605"/>
      <c r="D38" s="605"/>
      <c r="E38" s="605"/>
      <c r="F38" s="605"/>
      <c r="G38" s="605"/>
      <c r="H38" s="605"/>
      <c r="I38" s="605"/>
      <c r="J38" s="605"/>
      <c r="K38" s="605"/>
      <c r="L38" s="605"/>
      <c r="M38" s="605"/>
      <c r="N38" s="605"/>
      <c r="O38" s="605"/>
      <c r="P38" s="605"/>
      <c r="Q38" s="605"/>
      <c r="R38" s="605"/>
      <c r="S38" s="605"/>
      <c r="T38" s="605"/>
      <c r="U38" s="605"/>
      <c r="V38" s="605"/>
      <c r="W38" s="605"/>
      <c r="X38" s="605"/>
      <c r="Y38" s="598"/>
      <c r="Z38" s="598"/>
      <c r="AA38" s="598"/>
      <c r="AB38" s="598"/>
      <c r="AC38" s="598"/>
      <c r="AD38" s="598"/>
      <c r="AE38" s="598"/>
      <c r="AF38" s="598"/>
      <c r="AG38" s="598"/>
      <c r="AH38" s="598"/>
      <c r="AI38" s="598"/>
      <c r="AJ38" s="598"/>
      <c r="AK38" s="598"/>
      <c r="AL38" s="598"/>
    </row>
    <row r="39" spans="1:39" x14ac:dyDescent="0.25">
      <c r="A39" s="326"/>
      <c r="B39" s="599" t="s">
        <v>678</v>
      </c>
      <c r="C39" s="344"/>
      <c r="D39" s="344"/>
      <c r="E39" s="344"/>
      <c r="F39" s="344"/>
      <c r="G39" s="344"/>
      <c r="H39" s="344"/>
      <c r="I39" s="344"/>
      <c r="J39" s="344"/>
      <c r="K39" s="344"/>
      <c r="L39" s="344"/>
      <c r="M39" s="344"/>
      <c r="N39" s="344"/>
      <c r="O39" s="344"/>
      <c r="P39" s="344"/>
      <c r="Q39" s="344"/>
      <c r="R39" s="344"/>
      <c r="S39" s="344"/>
      <c r="T39" s="344"/>
      <c r="U39" s="344"/>
      <c r="V39" s="344"/>
      <c r="W39" s="599" t="s">
        <v>679</v>
      </c>
      <c r="X39" s="344"/>
      <c r="Y39" s="344"/>
      <c r="Z39" s="344"/>
      <c r="AA39" s="344"/>
      <c r="AB39" s="344"/>
      <c r="AC39" s="344"/>
      <c r="AD39" s="344"/>
      <c r="AE39" s="344"/>
      <c r="AF39" s="344"/>
      <c r="AG39" s="344"/>
      <c r="AH39" s="344"/>
      <c r="AI39" s="344"/>
      <c r="AJ39" s="344"/>
      <c r="AK39" s="344"/>
      <c r="AL39" s="344"/>
    </row>
    <row r="40" spans="1:39" x14ac:dyDescent="0.3">
      <c r="A40" s="326"/>
      <c r="B40" s="350"/>
      <c r="C40" s="350"/>
      <c r="D40" s="350"/>
      <c r="E40" s="350"/>
      <c r="F40" s="350"/>
      <c r="G40" s="350"/>
      <c r="H40" s="350"/>
      <c r="I40" s="350"/>
      <c r="J40" s="350"/>
      <c r="K40" s="350"/>
      <c r="L40" s="350"/>
      <c r="M40" s="350"/>
      <c r="N40" s="350"/>
      <c r="O40" s="350"/>
      <c r="P40" s="350"/>
      <c r="Q40" s="350"/>
      <c r="R40" s="350"/>
      <c r="S40" s="350"/>
      <c r="T40" s="350"/>
      <c r="U40" s="350"/>
      <c r="V40" s="350"/>
      <c r="W40" s="327"/>
      <c r="X40" s="327"/>
      <c r="Y40" s="327"/>
      <c r="Z40" s="327"/>
      <c r="AA40" s="327"/>
      <c r="AB40" s="327"/>
      <c r="AC40" s="327"/>
      <c r="AD40" s="327"/>
      <c r="AE40" s="327"/>
      <c r="AF40" s="327"/>
      <c r="AG40" s="327"/>
      <c r="AH40" s="327"/>
      <c r="AI40" s="327"/>
      <c r="AJ40" s="327"/>
      <c r="AK40" s="327"/>
      <c r="AL40" s="327"/>
    </row>
    <row r="41" spans="1:39" x14ac:dyDescent="0.3">
      <c r="A41" s="326"/>
      <c r="B41" s="338" t="s">
        <v>680</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100" t="s">
        <v>971</v>
      </c>
    </row>
    <row r="42" spans="1:39" x14ac:dyDescent="0.3">
      <c r="A42" s="326"/>
      <c r="B42" s="327"/>
      <c r="C42" s="327"/>
      <c r="D42" s="327"/>
      <c r="E42" s="327"/>
      <c r="F42" s="327"/>
      <c r="G42" s="327"/>
      <c r="H42" s="327"/>
      <c r="I42" s="327"/>
      <c r="J42" s="327"/>
      <c r="K42" s="327"/>
      <c r="L42" s="327"/>
      <c r="M42" s="327"/>
      <c r="N42" s="327"/>
      <c r="O42" s="327"/>
      <c r="P42" s="327"/>
      <c r="Q42" s="327"/>
      <c r="R42" s="327"/>
      <c r="S42" s="327"/>
      <c r="T42" s="327"/>
      <c r="U42" s="327"/>
      <c r="V42" s="327"/>
      <c r="W42" s="327"/>
      <c r="X42" s="327"/>
      <c r="Y42" s="327"/>
      <c r="Z42" s="327"/>
      <c r="AA42" s="327"/>
      <c r="AB42" s="327"/>
      <c r="AC42" s="327"/>
      <c r="AD42" s="327"/>
      <c r="AE42" s="327"/>
      <c r="AF42" s="327"/>
      <c r="AG42" s="327"/>
      <c r="AH42" s="327"/>
      <c r="AI42" s="327"/>
      <c r="AJ42" s="327"/>
      <c r="AK42" s="327"/>
      <c r="AL42" s="327"/>
    </row>
    <row r="43" spans="1:39" ht="46.2" customHeight="1" x14ac:dyDescent="0.25">
      <c r="A43" s="337" t="s">
        <v>640</v>
      </c>
      <c r="B43" s="342" t="s">
        <v>754</v>
      </c>
      <c r="C43" s="342"/>
      <c r="D43" s="342"/>
      <c r="E43" s="342"/>
      <c r="F43" s="342"/>
      <c r="G43" s="342"/>
      <c r="H43" s="342"/>
      <c r="I43" s="342"/>
      <c r="J43" s="342"/>
      <c r="K43" s="342"/>
      <c r="L43" s="342"/>
      <c r="M43" s="342"/>
      <c r="N43" s="342"/>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row>
    <row r="44" spans="1:39" x14ac:dyDescent="0.3">
      <c r="A44" s="326"/>
      <c r="B44" s="352"/>
      <c r="C44" s="352"/>
      <c r="D44" s="352"/>
      <c r="E44" s="352"/>
      <c r="F44" s="352"/>
      <c r="G44" s="352"/>
      <c r="H44" s="352"/>
      <c r="I44" s="352"/>
      <c r="J44" s="352"/>
      <c r="K44" s="352"/>
      <c r="L44" s="352"/>
      <c r="M44" s="352"/>
      <c r="N44" s="352"/>
      <c r="O44" s="352"/>
      <c r="P44" s="352"/>
      <c r="Q44" s="352"/>
      <c r="R44" s="352"/>
      <c r="S44" s="352"/>
      <c r="T44" s="348" t="str" cm="1">
        <f t="array" ref="T44">LEFT(B44,2)&amp;" "&amp;_xlfn.TEXTJOIN(" ",,MID(B44,{3,7,11,15,19,23},4))</f>
        <v xml:space="preserve"> </v>
      </c>
      <c r="U44" s="348"/>
      <c r="V44" s="348"/>
      <c r="W44" s="348"/>
      <c r="X44" s="348"/>
      <c r="Y44" s="348"/>
      <c r="Z44" s="348"/>
      <c r="AA44" s="348"/>
      <c r="AB44" s="348"/>
      <c r="AC44" s="348"/>
      <c r="AD44" s="348"/>
      <c r="AE44" s="348"/>
      <c r="AF44" s="348"/>
      <c r="AG44" s="348"/>
      <c r="AH44" s="348"/>
      <c r="AI44" s="348"/>
      <c r="AJ44" s="348"/>
      <c r="AK44" s="348"/>
      <c r="AL44" s="348"/>
    </row>
    <row r="45" spans="1:39" x14ac:dyDescent="0.25">
      <c r="A45" s="149" t="s">
        <v>67</v>
      </c>
      <c r="B45" s="351" t="s">
        <v>68</v>
      </c>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row>
    <row r="46" spans="1:39" x14ac:dyDescent="0.25">
      <c r="A46" s="326" t="s">
        <v>1</v>
      </c>
      <c r="B46" s="344" t="s">
        <v>85</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x14ac:dyDescent="0.3">
      <c r="A47" s="326"/>
      <c r="B47" s="655">
        <f>T154</f>
        <v>0</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c r="AL47" s="655"/>
      <c r="AM47" s="118" t="s">
        <v>213</v>
      </c>
    </row>
    <row r="48" spans="1:39" ht="61.95" customHeight="1" x14ac:dyDescent="0.25">
      <c r="A48" s="554" t="s">
        <v>6</v>
      </c>
      <c r="B48" s="700" t="s">
        <v>1151</v>
      </c>
      <c r="C48" s="508"/>
      <c r="D48" s="508"/>
      <c r="E48" s="508"/>
      <c r="F48" s="508"/>
      <c r="G48" s="508"/>
      <c r="H48" s="508"/>
      <c r="I48" s="508"/>
      <c r="J48" s="508"/>
      <c r="K48" s="508"/>
      <c r="L48" s="508"/>
      <c r="M48" s="508"/>
      <c r="N48" s="508"/>
      <c r="O48" s="508"/>
      <c r="P48" s="508"/>
      <c r="Q48" s="508"/>
      <c r="R48" s="508"/>
      <c r="S48" s="508"/>
      <c r="T48" s="508"/>
      <c r="U48" s="508"/>
      <c r="V48" s="508"/>
      <c r="W48" s="508"/>
      <c r="X48" s="508"/>
      <c r="Y48" s="508"/>
      <c r="Z48" s="508"/>
      <c r="AA48" s="508"/>
      <c r="AB48" s="508"/>
      <c r="AC48" s="508"/>
      <c r="AD48" s="508"/>
      <c r="AE48" s="508"/>
      <c r="AF48" s="508"/>
      <c r="AG48" s="508"/>
      <c r="AH48" s="508"/>
      <c r="AI48" s="508"/>
      <c r="AJ48" s="508"/>
      <c r="AK48" s="508"/>
      <c r="AL48" s="508"/>
    </row>
    <row r="49" spans="1:65" x14ac:dyDescent="0.25">
      <c r="A49" s="326"/>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101" t="s">
        <v>633</v>
      </c>
    </row>
    <row r="50" spans="1:65" x14ac:dyDescent="0.25">
      <c r="A50" s="554" t="s">
        <v>7</v>
      </c>
      <c r="B50" s="444" t="s">
        <v>885</v>
      </c>
      <c r="C50" s="444"/>
      <c r="D50" s="444"/>
      <c r="E50" s="444"/>
      <c r="F50" s="444"/>
      <c r="G50" s="444"/>
      <c r="H50" s="444"/>
      <c r="I50" s="444"/>
      <c r="J50" s="444"/>
      <c r="K50" s="444"/>
      <c r="L50" s="444"/>
      <c r="M50" s="444"/>
      <c r="N50" s="444"/>
      <c r="O50" s="444"/>
      <c r="P50" s="444"/>
      <c r="Q50" s="444"/>
      <c r="R50" s="444"/>
      <c r="S50" s="444"/>
      <c r="T50" s="444"/>
      <c r="U50" s="444"/>
      <c r="V50" s="444"/>
      <c r="W50" s="444"/>
      <c r="X50" s="444"/>
      <c r="Y50" s="444"/>
      <c r="Z50" s="444"/>
      <c r="AA50" s="444"/>
      <c r="AB50" s="444"/>
      <c r="AC50" s="444"/>
      <c r="AD50" s="444"/>
      <c r="AE50" s="444"/>
      <c r="AF50" s="444"/>
      <c r="AG50" s="444"/>
      <c r="AH50" s="444"/>
      <c r="AI50" s="444"/>
      <c r="AJ50" s="444"/>
      <c r="AK50" s="444"/>
      <c r="AL50" s="444"/>
    </row>
    <row r="51" spans="1:65" x14ac:dyDescent="0.25">
      <c r="A51" s="326"/>
      <c r="B51" s="347"/>
      <c r="C51" s="347"/>
      <c r="D51" s="347"/>
      <c r="E51" s="347"/>
      <c r="F51" s="347"/>
      <c r="G51" s="347"/>
      <c r="H51" s="347"/>
      <c r="I51" s="347"/>
      <c r="J51" s="347"/>
      <c r="K51" s="347"/>
      <c r="L51" s="347"/>
      <c r="M51" s="347"/>
      <c r="N51" s="347"/>
      <c r="O51" s="347"/>
      <c r="P51" s="347"/>
      <c r="Q51" s="347"/>
      <c r="R51" s="347"/>
      <c r="S51" s="347"/>
      <c r="T51" s="347"/>
      <c r="U51" s="347"/>
      <c r="V51" s="347"/>
      <c r="W51" s="347"/>
      <c r="X51" s="347"/>
      <c r="Y51" s="347"/>
      <c r="Z51" s="347"/>
      <c r="AA51" s="347"/>
      <c r="AB51" s="347"/>
      <c r="AC51" s="347"/>
      <c r="AD51" s="347"/>
      <c r="AE51" s="347"/>
      <c r="AF51" s="347"/>
      <c r="AG51" s="347"/>
      <c r="AH51" s="347"/>
      <c r="AI51" s="347"/>
      <c r="AJ51" s="347"/>
      <c r="AK51" s="347"/>
      <c r="AL51" s="347"/>
      <c r="AM51" s="101" t="s">
        <v>209</v>
      </c>
    </row>
    <row r="52" spans="1:65" x14ac:dyDescent="0.25">
      <c r="A52" s="345" t="s">
        <v>9</v>
      </c>
      <c r="B52" s="419" t="s">
        <v>223</v>
      </c>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s="344"/>
      <c r="AJ52" s="344"/>
      <c r="AK52" s="344"/>
      <c r="AL52" s="344"/>
      <c r="AM52" s="590" t="s">
        <v>140</v>
      </c>
      <c r="AN52" s="590"/>
      <c r="AO52" s="590"/>
    </row>
    <row r="53" spans="1:65" ht="14.7" customHeight="1" x14ac:dyDescent="0.25">
      <c r="A53" s="344"/>
      <c r="B53" s="577" t="s">
        <v>700</v>
      </c>
      <c r="C53" s="577"/>
      <c r="D53" s="577"/>
      <c r="E53" s="577"/>
      <c r="F53" s="577"/>
      <c r="G53" s="577"/>
      <c r="H53" s="577"/>
      <c r="I53" s="577"/>
      <c r="J53" s="577"/>
      <c r="K53" s="577"/>
      <c r="L53" s="577"/>
      <c r="M53" s="577"/>
      <c r="N53" s="577"/>
      <c r="O53" s="577"/>
      <c r="P53" s="577"/>
      <c r="Q53" s="577"/>
      <c r="R53" s="577"/>
      <c r="S53" s="577"/>
      <c r="T53" s="577"/>
      <c r="U53" s="577"/>
      <c r="V53" s="577"/>
      <c r="W53" s="577"/>
      <c r="X53" s="577"/>
      <c r="Y53" s="578"/>
      <c r="Z53" s="596" t="s">
        <v>843</v>
      </c>
      <c r="AA53" s="427"/>
      <c r="AB53" s="427"/>
      <c r="AC53" s="427"/>
      <c r="AD53" s="427"/>
      <c r="AE53" s="427"/>
      <c r="AF53" s="427"/>
      <c r="AG53" s="427"/>
      <c r="AH53" s="427"/>
      <c r="AI53" s="427"/>
      <c r="AJ53" s="427"/>
      <c r="AK53" s="426" t="s">
        <v>701</v>
      </c>
      <c r="AL53" s="427"/>
      <c r="AM53" s="101" t="s">
        <v>638</v>
      </c>
    </row>
    <row r="54" spans="1:65" ht="19.2" customHeight="1" x14ac:dyDescent="0.3">
      <c r="A54" s="344"/>
      <c r="B54" s="656" t="s">
        <v>226</v>
      </c>
      <c r="C54" s="657"/>
      <c r="D54" s="657"/>
      <c r="E54" s="657"/>
      <c r="F54" s="657"/>
      <c r="G54" s="657"/>
      <c r="H54" s="657"/>
      <c r="I54" s="657"/>
      <c r="J54" s="657"/>
      <c r="K54" s="657"/>
      <c r="L54" s="657"/>
      <c r="M54" s="657"/>
      <c r="N54" s="657"/>
      <c r="O54" s="657"/>
      <c r="P54" s="657"/>
      <c r="Q54" s="657"/>
      <c r="R54" s="657"/>
      <c r="S54" s="657"/>
      <c r="T54" s="657"/>
      <c r="U54" s="657"/>
      <c r="V54" s="657"/>
      <c r="W54" s="657"/>
      <c r="X54" s="657"/>
      <c r="Y54" s="658"/>
      <c r="Z54" s="403"/>
      <c r="AA54" s="403"/>
      <c r="AB54" s="403"/>
      <c r="AC54" s="403"/>
      <c r="AD54" s="403"/>
      <c r="AE54" s="403"/>
      <c r="AF54" s="403"/>
      <c r="AG54" s="403"/>
      <c r="AH54" s="403"/>
      <c r="AI54" s="403"/>
      <c r="AJ54" s="403"/>
      <c r="AK54" s="582" t="e">
        <f>Z54/Z$59</f>
        <v>#DIV/0!</v>
      </c>
      <c r="AL54" s="583"/>
    </row>
    <row r="55" spans="1:65" ht="19.2" customHeight="1" x14ac:dyDescent="0.3">
      <c r="A55" s="344"/>
      <c r="B55" s="656" t="s">
        <v>222</v>
      </c>
      <c r="C55" s="657"/>
      <c r="D55" s="657"/>
      <c r="E55" s="657"/>
      <c r="F55" s="657"/>
      <c r="G55" s="657"/>
      <c r="H55" s="657"/>
      <c r="I55" s="657"/>
      <c r="J55" s="657"/>
      <c r="K55" s="657"/>
      <c r="L55" s="657"/>
      <c r="M55" s="657"/>
      <c r="N55" s="657"/>
      <c r="O55" s="657"/>
      <c r="P55" s="657"/>
      <c r="Q55" s="657"/>
      <c r="R55" s="657"/>
      <c r="S55" s="657"/>
      <c r="T55" s="657"/>
      <c r="U55" s="657"/>
      <c r="V55" s="657"/>
      <c r="W55" s="657"/>
      <c r="X55" s="657"/>
      <c r="Y55" s="658"/>
      <c r="Z55" s="403"/>
      <c r="AA55" s="403"/>
      <c r="AB55" s="403"/>
      <c r="AC55" s="403"/>
      <c r="AD55" s="403"/>
      <c r="AE55" s="403"/>
      <c r="AF55" s="403"/>
      <c r="AG55" s="403"/>
      <c r="AH55" s="403"/>
      <c r="AI55" s="403"/>
      <c r="AJ55" s="403"/>
      <c r="AK55" s="582" t="e">
        <f>Z55/Z$59</f>
        <v>#DIV/0!</v>
      </c>
      <c r="AL55" s="583"/>
      <c r="AM55" s="101" t="s">
        <v>636</v>
      </c>
    </row>
    <row r="56" spans="1:65" ht="19.2" customHeight="1" x14ac:dyDescent="0.3">
      <c r="A56" s="344"/>
      <c r="B56" s="656" t="s">
        <v>88</v>
      </c>
      <c r="C56" s="657"/>
      <c r="D56" s="657"/>
      <c r="E56" s="657"/>
      <c r="F56" s="657"/>
      <c r="G56" s="657"/>
      <c r="H56" s="657"/>
      <c r="I56" s="657"/>
      <c r="J56" s="657"/>
      <c r="K56" s="657"/>
      <c r="L56" s="657"/>
      <c r="M56" s="657"/>
      <c r="N56" s="657"/>
      <c r="O56" s="657"/>
      <c r="P56" s="657"/>
      <c r="Q56" s="657"/>
      <c r="R56" s="657"/>
      <c r="S56" s="657"/>
      <c r="T56" s="657"/>
      <c r="U56" s="657"/>
      <c r="V56" s="657"/>
      <c r="W56" s="657"/>
      <c r="X56" s="657"/>
      <c r="Y56" s="658"/>
      <c r="Z56" s="432">
        <f>B47</f>
        <v>0</v>
      </c>
      <c r="AA56" s="341"/>
      <c r="AB56" s="341"/>
      <c r="AC56" s="341"/>
      <c r="AD56" s="341"/>
      <c r="AE56" s="341"/>
      <c r="AF56" s="341"/>
      <c r="AG56" s="341"/>
      <c r="AH56" s="341"/>
      <c r="AI56" s="341"/>
      <c r="AJ56" s="341"/>
      <c r="AK56" s="582" t="e">
        <f>Z56/Z$59</f>
        <v>#DIV/0!</v>
      </c>
      <c r="AL56" s="583"/>
      <c r="AM56" s="76" t="s">
        <v>208</v>
      </c>
    </row>
    <row r="57" spans="1:65" ht="19.2" customHeight="1" x14ac:dyDescent="0.3">
      <c r="A57" s="344"/>
      <c r="B57" s="656" t="s">
        <v>682</v>
      </c>
      <c r="C57" s="657"/>
      <c r="D57" s="657"/>
      <c r="E57" s="657"/>
      <c r="F57" s="657"/>
      <c r="G57" s="657"/>
      <c r="H57" s="657"/>
      <c r="I57" s="657"/>
      <c r="J57" s="657"/>
      <c r="K57" s="657"/>
      <c r="L57" s="657"/>
      <c r="M57" s="657"/>
      <c r="N57" s="657"/>
      <c r="O57" s="657"/>
      <c r="P57" s="657"/>
      <c r="Q57" s="657"/>
      <c r="R57" s="657"/>
      <c r="S57" s="657"/>
      <c r="T57" s="657"/>
      <c r="U57" s="657"/>
      <c r="V57" s="657"/>
      <c r="W57" s="657"/>
      <c r="X57" s="657"/>
      <c r="Y57" s="658"/>
      <c r="Z57" s="403"/>
      <c r="AA57" s="403"/>
      <c r="AB57" s="403"/>
      <c r="AC57" s="403"/>
      <c r="AD57" s="403"/>
      <c r="AE57" s="403"/>
      <c r="AF57" s="403"/>
      <c r="AG57" s="403"/>
      <c r="AH57" s="403"/>
      <c r="AI57" s="403"/>
      <c r="AJ57" s="403"/>
      <c r="AK57" s="582" t="e">
        <f>Z57/Z$59</f>
        <v>#DIV/0!</v>
      </c>
      <c r="AL57" s="583"/>
      <c r="AM57" s="232" t="s">
        <v>1069</v>
      </c>
    </row>
    <row r="58" spans="1:65" ht="19.2" customHeight="1" x14ac:dyDescent="0.3">
      <c r="A58" s="344"/>
      <c r="B58" s="656" t="s">
        <v>92</v>
      </c>
      <c r="C58" s="657"/>
      <c r="D58" s="657"/>
      <c r="E58" s="657"/>
      <c r="F58" s="657"/>
      <c r="G58" s="657"/>
      <c r="H58" s="657"/>
      <c r="I58" s="657"/>
      <c r="J58" s="657"/>
      <c r="K58" s="657"/>
      <c r="L58" s="657"/>
      <c r="M58" s="657"/>
      <c r="N58" s="657"/>
      <c r="O58" s="657"/>
      <c r="P58" s="657"/>
      <c r="Q58" s="657"/>
      <c r="R58" s="657"/>
      <c r="S58" s="657"/>
      <c r="T58" s="657"/>
      <c r="U58" s="657"/>
      <c r="V58" s="657"/>
      <c r="W58" s="657"/>
      <c r="X58" s="657"/>
      <c r="Y58" s="658"/>
      <c r="Z58" s="403"/>
      <c r="AA58" s="403"/>
      <c r="AB58" s="403"/>
      <c r="AC58" s="403"/>
      <c r="AD58" s="403"/>
      <c r="AE58" s="403"/>
      <c r="AF58" s="403"/>
      <c r="AG58" s="403"/>
      <c r="AH58" s="403"/>
      <c r="AI58" s="403"/>
      <c r="AJ58" s="403"/>
      <c r="AK58" s="582" t="e">
        <f>Z58/Z$59</f>
        <v>#DIV/0!</v>
      </c>
      <c r="AL58" s="583"/>
    </row>
    <row r="59" spans="1:65" ht="19.2" customHeight="1" x14ac:dyDescent="0.3">
      <c r="A59" s="344"/>
      <c r="B59" s="656" t="s">
        <v>235</v>
      </c>
      <c r="C59" s="657"/>
      <c r="D59" s="657"/>
      <c r="E59" s="657"/>
      <c r="F59" s="657"/>
      <c r="G59" s="657"/>
      <c r="H59" s="657"/>
      <c r="I59" s="657"/>
      <c r="J59" s="657"/>
      <c r="K59" s="657"/>
      <c r="L59" s="657"/>
      <c r="M59" s="657"/>
      <c r="N59" s="657"/>
      <c r="O59" s="657"/>
      <c r="P59" s="657"/>
      <c r="Q59" s="657"/>
      <c r="R59" s="657"/>
      <c r="S59" s="657"/>
      <c r="T59" s="657"/>
      <c r="U59" s="657"/>
      <c r="V59" s="657"/>
      <c r="W59" s="657"/>
      <c r="X59" s="657"/>
      <c r="Y59" s="658"/>
      <c r="Z59" s="422">
        <f>SUM(Z54+Z55+Z56+Z57+Z58)</f>
        <v>0</v>
      </c>
      <c r="AA59" s="422"/>
      <c r="AB59" s="422"/>
      <c r="AC59" s="422"/>
      <c r="AD59" s="422"/>
      <c r="AE59" s="422"/>
      <c r="AF59" s="422"/>
      <c r="AG59" s="422"/>
      <c r="AH59" s="422"/>
      <c r="AI59" s="422"/>
      <c r="AJ59" s="422"/>
      <c r="AK59" s="341" t="e">
        <f>SUM(AK54+AK55+AK56+AK57+AK58)</f>
        <v>#DIV/0!</v>
      </c>
      <c r="AL59" s="341"/>
      <c r="AM59" s="101" t="s">
        <v>1150</v>
      </c>
    </row>
    <row r="60" spans="1:65" x14ac:dyDescent="0.3">
      <c r="A60" s="150" t="s">
        <v>69</v>
      </c>
      <c r="B60" s="328" t="s">
        <v>70</v>
      </c>
      <c r="C60" s="328"/>
      <c r="D60" s="328"/>
      <c r="E60" s="328"/>
      <c r="F60" s="328"/>
      <c r="G60" s="328"/>
      <c r="H60" s="328"/>
      <c r="I60" s="328"/>
      <c r="J60" s="328"/>
      <c r="K60" s="328"/>
      <c r="L60" s="328"/>
      <c r="M60" s="328"/>
      <c r="N60" s="328"/>
      <c r="O60" s="328"/>
      <c r="P60" s="328"/>
      <c r="Q60" s="328"/>
      <c r="R60" s="328"/>
      <c r="S60" s="328"/>
      <c r="T60" s="328"/>
      <c r="U60" s="328"/>
      <c r="V60" s="328"/>
      <c r="W60" s="328"/>
      <c r="X60" s="328"/>
      <c r="Y60" s="328"/>
      <c r="Z60" s="328"/>
      <c r="AA60" s="328"/>
      <c r="AB60" s="328"/>
      <c r="AC60" s="328"/>
      <c r="AD60" s="328"/>
      <c r="AE60" s="328"/>
      <c r="AF60" s="328"/>
      <c r="AG60" s="328"/>
      <c r="AH60" s="328"/>
      <c r="AI60" s="328"/>
      <c r="AJ60" s="328"/>
      <c r="AK60" s="328"/>
      <c r="AL60" s="328"/>
    </row>
    <row r="61" spans="1:65" ht="36" customHeight="1" x14ac:dyDescent="0.25">
      <c r="A61" s="508"/>
      <c r="B61" s="508"/>
      <c r="C61" s="508"/>
      <c r="D61" s="508"/>
      <c r="E61" s="508"/>
      <c r="F61" s="508"/>
      <c r="G61" s="508"/>
      <c r="H61" s="508"/>
      <c r="I61" s="508"/>
      <c r="J61" s="508"/>
      <c r="K61" s="508"/>
      <c r="L61" s="508"/>
      <c r="M61" s="508"/>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08"/>
    </row>
    <row r="62" spans="1:65" ht="37.200000000000003" customHeight="1" x14ac:dyDescent="0.25">
      <c r="A62" s="545"/>
      <c r="B62" s="545"/>
      <c r="C62" s="545"/>
      <c r="D62" s="545"/>
      <c r="E62" s="545"/>
      <c r="F62" s="545"/>
      <c r="G62" s="545"/>
      <c r="H62" s="545"/>
      <c r="I62" s="545"/>
      <c r="J62" s="545"/>
      <c r="K62" s="545"/>
      <c r="L62" s="545"/>
      <c r="M62" s="545"/>
      <c r="N62" s="545"/>
      <c r="O62" s="545"/>
      <c r="P62" s="545"/>
      <c r="Q62" s="545"/>
      <c r="R62" s="545"/>
      <c r="S62" s="545"/>
      <c r="T62" s="545"/>
      <c r="U62" s="545"/>
      <c r="V62" s="545"/>
      <c r="W62" s="545"/>
      <c r="X62" s="545"/>
      <c r="Y62" s="545"/>
      <c r="Z62" s="545"/>
      <c r="AA62" s="545"/>
      <c r="AB62" s="545"/>
      <c r="AC62" s="545"/>
      <c r="AD62" s="545"/>
      <c r="AE62" s="545"/>
      <c r="AF62" s="545"/>
      <c r="AG62" s="545"/>
      <c r="AH62" s="545"/>
      <c r="AI62" s="545"/>
      <c r="AJ62" s="545"/>
      <c r="AK62" s="545"/>
      <c r="AL62" s="545"/>
      <c r="AM62" s="101" t="s">
        <v>953</v>
      </c>
    </row>
    <row r="63" spans="1:65" s="85" customFormat="1" x14ac:dyDescent="0.3">
      <c r="A63" s="150" t="s">
        <v>90</v>
      </c>
      <c r="B63" s="328" t="s">
        <v>674</v>
      </c>
      <c r="C63" s="328"/>
      <c r="D63" s="328"/>
      <c r="E63" s="328"/>
      <c r="F63" s="328"/>
      <c r="G63" s="328"/>
      <c r="H63" s="328"/>
      <c r="I63" s="328"/>
      <c r="J63" s="328"/>
      <c r="K63" s="328"/>
      <c r="L63" s="328"/>
      <c r="M63" s="328"/>
      <c r="N63" s="328"/>
      <c r="O63" s="328"/>
      <c r="P63" s="328"/>
      <c r="Q63" s="328"/>
      <c r="R63" s="328"/>
      <c r="S63" s="328"/>
      <c r="T63" s="328"/>
      <c r="U63" s="328"/>
      <c r="V63" s="328"/>
      <c r="W63" s="328"/>
      <c r="X63" s="328"/>
      <c r="Y63" s="328"/>
      <c r="Z63" s="328"/>
      <c r="AA63" s="328"/>
      <c r="AB63" s="328"/>
      <c r="AC63" s="328"/>
      <c r="AD63" s="328"/>
      <c r="AE63" s="328"/>
      <c r="AF63" s="328"/>
      <c r="AG63" s="328"/>
      <c r="AH63" s="328"/>
      <c r="AI63" s="328"/>
      <c r="AJ63" s="328"/>
      <c r="AK63" s="328"/>
      <c r="AL63" s="328"/>
      <c r="AM63" s="102"/>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row>
    <row r="64" spans="1:65" ht="73.95" customHeight="1" x14ac:dyDescent="0.25">
      <c r="A64" s="508" t="s">
        <v>992</v>
      </c>
      <c r="B64" s="508"/>
      <c r="C64" s="508"/>
      <c r="D64" s="508"/>
      <c r="E64" s="508"/>
      <c r="F64" s="508"/>
      <c r="G64" s="508"/>
      <c r="H64" s="508"/>
      <c r="I64" s="508"/>
      <c r="J64" s="508"/>
      <c r="K64" s="508"/>
      <c r="L64" s="508"/>
      <c r="M64" s="508"/>
      <c r="N64" s="508"/>
      <c r="O64" s="508"/>
      <c r="P64" s="508"/>
      <c r="Q64" s="508"/>
      <c r="R64" s="508"/>
      <c r="S64" s="508"/>
      <c r="T64" s="508"/>
      <c r="U64" s="508"/>
      <c r="V64" s="508"/>
      <c r="W64" s="508"/>
      <c r="X64" s="508"/>
      <c r="Y64" s="508"/>
      <c r="Z64" s="508"/>
      <c r="AA64" s="508"/>
      <c r="AB64" s="508"/>
      <c r="AC64" s="508"/>
      <c r="AD64" s="508"/>
      <c r="AE64" s="508"/>
      <c r="AF64" s="508"/>
      <c r="AG64" s="508"/>
      <c r="AH64" s="508"/>
      <c r="AI64" s="508"/>
      <c r="AJ64" s="508"/>
      <c r="AK64" s="508"/>
      <c r="AL64" s="508"/>
      <c r="AM64" s="699" t="s">
        <v>999</v>
      </c>
    </row>
    <row r="65" spans="1:47" x14ac:dyDescent="0.25">
      <c r="A65" s="415"/>
      <c r="B65" s="416"/>
      <c r="C65" s="416"/>
      <c r="D65" s="416"/>
      <c r="E65" s="416"/>
      <c r="F65" s="416"/>
      <c r="G65" s="416"/>
      <c r="H65" s="416"/>
      <c r="I65" s="416"/>
      <c r="J65" s="416"/>
      <c r="K65" s="416"/>
      <c r="L65" s="416"/>
      <c r="M65" s="416"/>
      <c r="N65" s="416"/>
      <c r="O65" s="416"/>
      <c r="P65" s="416"/>
      <c r="Q65" s="416"/>
      <c r="R65" s="416"/>
      <c r="S65" s="416"/>
      <c r="T65" s="416"/>
      <c r="U65" s="416"/>
      <c r="V65" s="416"/>
      <c r="W65" s="416"/>
      <c r="X65" s="416"/>
      <c r="Y65" s="416"/>
      <c r="Z65" s="416"/>
      <c r="AA65" s="416"/>
      <c r="AB65" s="416"/>
      <c r="AC65" s="416"/>
      <c r="AD65" s="416"/>
      <c r="AE65" s="416"/>
      <c r="AF65" s="416"/>
      <c r="AG65" s="416"/>
      <c r="AH65" s="416"/>
      <c r="AI65" s="416"/>
      <c r="AJ65" s="416"/>
      <c r="AK65" s="416"/>
      <c r="AL65" s="417"/>
      <c r="AM65" s="699"/>
    </row>
    <row r="66" spans="1:47" x14ac:dyDescent="0.25">
      <c r="A66" s="661" t="s">
        <v>906</v>
      </c>
      <c r="B66" s="441"/>
      <c r="C66" s="441"/>
      <c r="D66" s="441"/>
      <c r="E66" s="441"/>
      <c r="F66" s="441"/>
      <c r="G66" s="441"/>
      <c r="H66" s="441"/>
      <c r="I66" s="441"/>
      <c r="J66" s="441"/>
      <c r="K66" s="441"/>
      <c r="L66" s="441"/>
      <c r="M66" s="441"/>
      <c r="N66" s="441"/>
      <c r="O66" s="441"/>
      <c r="P66" s="441"/>
      <c r="Q66" s="441"/>
      <c r="R66" s="441"/>
      <c r="S66" s="442"/>
      <c r="T66" s="666" t="s">
        <v>907</v>
      </c>
      <c r="U66" s="362"/>
      <c r="V66" s="362"/>
      <c r="W66" s="362"/>
      <c r="X66" s="362"/>
      <c r="Y66" s="362"/>
      <c r="Z66" s="362"/>
      <c r="AA66" s="362"/>
      <c r="AB66" s="362"/>
      <c r="AC66" s="362"/>
      <c r="AD66" s="362"/>
      <c r="AE66" s="362"/>
      <c r="AF66" s="362"/>
      <c r="AG66" s="362"/>
      <c r="AH66" s="362"/>
      <c r="AI66" s="362"/>
      <c r="AJ66" s="362"/>
      <c r="AK66" s="362"/>
      <c r="AL66" s="363"/>
    </row>
    <row r="67" spans="1:47" x14ac:dyDescent="0.3">
      <c r="A67" s="410"/>
      <c r="B67" s="411"/>
      <c r="C67" s="411"/>
      <c r="D67" s="411"/>
      <c r="E67" s="411"/>
      <c r="F67" s="411"/>
      <c r="G67" s="411"/>
      <c r="H67" s="411"/>
      <c r="I67" s="411"/>
      <c r="J67" s="411"/>
      <c r="K67" s="411"/>
      <c r="L67" s="411"/>
      <c r="M67" s="411"/>
      <c r="N67" s="411"/>
      <c r="O67" s="411"/>
      <c r="P67" s="411"/>
      <c r="Q67" s="411"/>
      <c r="R67" s="411"/>
      <c r="S67" s="412"/>
      <c r="T67" s="410"/>
      <c r="U67" s="411"/>
      <c r="V67" s="411"/>
      <c r="W67" s="411"/>
      <c r="X67" s="411"/>
      <c r="Y67" s="411"/>
      <c r="Z67" s="411"/>
      <c r="AA67" s="411"/>
      <c r="AB67" s="411"/>
      <c r="AC67" s="411"/>
      <c r="AD67" s="411"/>
      <c r="AE67" s="411"/>
      <c r="AF67" s="411"/>
      <c r="AG67" s="411"/>
      <c r="AH67" s="411"/>
      <c r="AI67" s="411"/>
      <c r="AJ67" s="411"/>
      <c r="AK67" s="411"/>
      <c r="AL67" s="412"/>
    </row>
    <row r="68" spans="1:47" ht="43.2" customHeight="1" x14ac:dyDescent="0.25">
      <c r="A68" s="439" t="s">
        <v>997</v>
      </c>
      <c r="B68" s="439"/>
      <c r="C68" s="439"/>
      <c r="D68" s="439"/>
      <c r="E68" s="439"/>
      <c r="F68" s="439"/>
      <c r="G68" s="439"/>
      <c r="H68" s="439"/>
      <c r="I68" s="439"/>
      <c r="J68" s="439"/>
      <c r="K68" s="439"/>
      <c r="L68" s="439"/>
      <c r="M68" s="439"/>
      <c r="N68" s="439"/>
      <c r="O68" s="439"/>
      <c r="P68" s="439"/>
      <c r="Q68" s="439"/>
      <c r="R68" s="439"/>
      <c r="S68" s="439"/>
      <c r="T68" s="439"/>
      <c r="U68" s="439"/>
      <c r="V68" s="439"/>
      <c r="W68" s="439"/>
      <c r="X68" s="439"/>
      <c r="Y68" s="439"/>
      <c r="Z68" s="439"/>
      <c r="AA68" s="439"/>
      <c r="AB68" s="439"/>
      <c r="AC68" s="439"/>
      <c r="AD68" s="439"/>
      <c r="AE68" s="439"/>
      <c r="AF68" s="439"/>
      <c r="AG68" s="439"/>
      <c r="AH68" s="439"/>
      <c r="AI68" s="439"/>
      <c r="AJ68" s="439"/>
      <c r="AK68" s="439"/>
      <c r="AL68" s="439"/>
      <c r="AM68" s="290" t="s">
        <v>996</v>
      </c>
    </row>
    <row r="69" spans="1:47" x14ac:dyDescent="0.3">
      <c r="A69" s="663">
        <f>A65+A67+T67</f>
        <v>0</v>
      </c>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664"/>
      <c r="AJ69" s="664"/>
      <c r="AK69" s="664"/>
      <c r="AL69" s="664"/>
      <c r="AM69" s="290"/>
    </row>
    <row r="70" spans="1:47" x14ac:dyDescent="0.25">
      <c r="A70" s="376" t="s">
        <v>899</v>
      </c>
      <c r="B70" s="376"/>
      <c r="C70" s="376"/>
      <c r="D70" s="376"/>
      <c r="E70" s="376"/>
      <c r="F70" s="376"/>
      <c r="G70" s="376"/>
      <c r="H70" s="376"/>
      <c r="I70" s="376"/>
      <c r="J70" s="376"/>
      <c r="K70" s="376"/>
      <c r="L70" s="376"/>
      <c r="M70" s="376"/>
      <c r="N70" s="376"/>
      <c r="O70" s="376"/>
      <c r="P70" s="376"/>
      <c r="Q70" s="376"/>
      <c r="R70" s="376"/>
      <c r="S70" s="376"/>
      <c r="T70" s="376"/>
      <c r="U70" s="376"/>
      <c r="V70" s="376"/>
      <c r="W70" s="376"/>
      <c r="X70" s="376"/>
      <c r="Y70" s="376"/>
      <c r="Z70" s="376"/>
      <c r="AA70" s="376"/>
      <c r="AB70" s="376"/>
      <c r="AC70" s="376"/>
      <c r="AD70" s="376"/>
      <c r="AE70" s="376"/>
      <c r="AF70" s="376"/>
      <c r="AG70" s="376"/>
      <c r="AH70" s="376"/>
      <c r="AI70" s="376"/>
      <c r="AJ70" s="376"/>
      <c r="AK70" s="376"/>
      <c r="AL70" s="376"/>
    </row>
    <row r="71" spans="1:47" x14ac:dyDescent="0.25">
      <c r="A71" s="355"/>
      <c r="B71" s="355"/>
      <c r="C71" s="355"/>
      <c r="D71" s="355"/>
      <c r="E71" s="355"/>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row>
    <row r="72" spans="1:47" x14ac:dyDescent="0.25">
      <c r="A72" s="376" t="s">
        <v>900</v>
      </c>
      <c r="B72" s="376"/>
      <c r="C72" s="376"/>
      <c r="D72" s="376"/>
      <c r="E72" s="376"/>
      <c r="F72" s="376"/>
      <c r="G72" s="376"/>
      <c r="H72" s="376"/>
      <c r="I72" s="376"/>
      <c r="J72" s="376"/>
      <c r="K72" s="376"/>
      <c r="L72" s="376"/>
      <c r="M72" s="376"/>
      <c r="N72" s="376"/>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c r="AL72" s="376"/>
    </row>
    <row r="73" spans="1:47" x14ac:dyDescent="0.25">
      <c r="A73" s="355"/>
      <c r="B73" s="355"/>
      <c r="C73" s="355"/>
      <c r="D73" s="355"/>
      <c r="E73" s="355"/>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c r="AL73" s="355"/>
    </row>
    <row r="74" spans="1:47" ht="14.7" customHeight="1" x14ac:dyDescent="0.25">
      <c r="A74" s="149" t="s">
        <v>91</v>
      </c>
      <c r="B74" s="351" t="s">
        <v>155</v>
      </c>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c r="AH74" s="351"/>
      <c r="AI74" s="351"/>
      <c r="AJ74" s="351"/>
      <c r="AK74" s="351"/>
      <c r="AL74" s="351"/>
      <c r="AM74" s="335" t="s">
        <v>910</v>
      </c>
      <c r="AN74" s="335"/>
      <c r="AO74" s="335"/>
      <c r="AP74" s="335"/>
      <c r="AQ74" s="335"/>
      <c r="AR74" s="335"/>
      <c r="AS74" s="335"/>
      <c r="AT74" s="335"/>
      <c r="AU74" s="335"/>
    </row>
    <row r="75" spans="1:47" ht="41.7" customHeight="1" x14ac:dyDescent="0.25">
      <c r="A75" s="508" t="s">
        <v>911</v>
      </c>
      <c r="B75" s="508"/>
      <c r="C75" s="508"/>
      <c r="D75" s="508"/>
      <c r="E75" s="508"/>
      <c r="F75" s="508"/>
      <c r="G75" s="508"/>
      <c r="H75" s="508"/>
      <c r="I75" s="508"/>
      <c r="J75" s="508"/>
      <c r="K75" s="508"/>
      <c r="L75" s="508"/>
      <c r="M75" s="508"/>
      <c r="N75" s="508"/>
      <c r="O75" s="508"/>
      <c r="P75" s="508"/>
      <c r="Q75" s="508"/>
      <c r="R75" s="508"/>
      <c r="S75" s="508"/>
      <c r="T75" s="508"/>
      <c r="U75" s="508"/>
      <c r="V75" s="508"/>
      <c r="W75" s="508"/>
      <c r="X75" s="508"/>
      <c r="Y75" s="508"/>
      <c r="Z75" s="508"/>
      <c r="AA75" s="508"/>
      <c r="AB75" s="508"/>
      <c r="AC75" s="508"/>
      <c r="AD75" s="508"/>
      <c r="AE75" s="508"/>
      <c r="AF75" s="508"/>
      <c r="AG75" s="508"/>
      <c r="AH75" s="508"/>
      <c r="AI75" s="508"/>
      <c r="AJ75" s="508"/>
      <c r="AK75" s="508"/>
      <c r="AL75" s="508"/>
      <c r="AM75" s="335"/>
      <c r="AN75" s="335"/>
      <c r="AO75" s="335"/>
      <c r="AP75" s="335"/>
      <c r="AQ75" s="335"/>
      <c r="AR75" s="335"/>
      <c r="AS75" s="335"/>
      <c r="AT75" s="335"/>
      <c r="AU75" s="335"/>
    </row>
    <row r="76" spans="1:47" ht="131.69999999999999" customHeight="1" x14ac:dyDescent="0.25">
      <c r="A76" s="219" t="s">
        <v>127</v>
      </c>
      <c r="B76" s="689" t="s">
        <v>822</v>
      </c>
      <c r="C76" s="689"/>
      <c r="D76" s="689"/>
      <c r="E76" s="689"/>
      <c r="F76" s="689"/>
      <c r="G76" s="689"/>
      <c r="H76" s="689"/>
      <c r="I76" s="689"/>
      <c r="J76" s="689"/>
      <c r="K76" s="689" t="s">
        <v>825</v>
      </c>
      <c r="L76" s="689"/>
      <c r="M76" s="689"/>
      <c r="N76" s="689"/>
      <c r="O76" s="689"/>
      <c r="P76" s="689"/>
      <c r="Q76" s="689" t="s">
        <v>834</v>
      </c>
      <c r="R76" s="689"/>
      <c r="S76" s="689"/>
      <c r="T76" s="689"/>
      <c r="U76" s="689"/>
      <c r="V76" s="689"/>
      <c r="W76" s="689"/>
      <c r="X76" s="494" t="s">
        <v>836</v>
      </c>
      <c r="Y76" s="495"/>
      <c r="Z76" s="495"/>
      <c r="AA76" s="495"/>
      <c r="AB76" s="495"/>
      <c r="AC76" s="495"/>
      <c r="AD76" s="495"/>
      <c r="AE76" s="496"/>
      <c r="AF76" s="697" t="s">
        <v>835</v>
      </c>
      <c r="AG76" s="697"/>
      <c r="AH76" s="697"/>
      <c r="AI76" s="697"/>
      <c r="AJ76" s="697"/>
      <c r="AK76" s="697" t="s">
        <v>832</v>
      </c>
      <c r="AL76" s="697"/>
      <c r="AM76" s="66"/>
      <c r="AN76" s="66"/>
      <c r="AO76" s="66"/>
      <c r="AP76" s="66"/>
      <c r="AQ76" s="66"/>
      <c r="AR76" s="66"/>
      <c r="AS76" s="66"/>
      <c r="AT76" s="66"/>
    </row>
    <row r="77" spans="1:47" x14ac:dyDescent="0.3">
      <c r="A77" s="202">
        <v>1</v>
      </c>
      <c r="B77" s="477"/>
      <c r="C77" s="478"/>
      <c r="D77" s="478"/>
      <c r="E77" s="478"/>
      <c r="F77" s="478"/>
      <c r="G77" s="478"/>
      <c r="H77" s="478"/>
      <c r="I77" s="478"/>
      <c r="J77" s="479"/>
      <c r="K77" s="480"/>
      <c r="L77" s="481"/>
      <c r="M77" s="481"/>
      <c r="N77" s="481"/>
      <c r="O77" s="481"/>
      <c r="P77" s="482"/>
      <c r="Q77" s="680"/>
      <c r="R77" s="681"/>
      <c r="S77" s="681"/>
      <c r="T77" s="681"/>
      <c r="U77" s="681"/>
      <c r="V77" s="681"/>
      <c r="W77" s="688"/>
      <c r="X77" s="685"/>
      <c r="Y77" s="686"/>
      <c r="Z77" s="686"/>
      <c r="AA77" s="686"/>
      <c r="AB77" s="686"/>
      <c r="AC77" s="686"/>
      <c r="AD77" s="686"/>
      <c r="AE77" s="687"/>
      <c r="AF77" s="680"/>
      <c r="AG77" s="681"/>
      <c r="AH77" s="681"/>
      <c r="AI77" s="681"/>
      <c r="AJ77" s="681"/>
      <c r="AK77" s="680"/>
      <c r="AL77" s="681"/>
      <c r="AM77" s="66"/>
      <c r="AN77" s="66"/>
      <c r="AO77" s="66"/>
      <c r="AP77" s="66"/>
      <c r="AQ77" s="66"/>
      <c r="AR77" s="66"/>
      <c r="AS77" s="66"/>
      <c r="AT77" s="66"/>
    </row>
    <row r="78" spans="1:47" x14ac:dyDescent="0.3">
      <c r="A78" s="202">
        <v>2</v>
      </c>
      <c r="B78" s="477"/>
      <c r="C78" s="478"/>
      <c r="D78" s="478"/>
      <c r="E78" s="478"/>
      <c r="F78" s="478"/>
      <c r="G78" s="478"/>
      <c r="H78" s="478"/>
      <c r="I78" s="478"/>
      <c r="J78" s="479"/>
      <c r="K78" s="480"/>
      <c r="L78" s="481"/>
      <c r="M78" s="481"/>
      <c r="N78" s="481"/>
      <c r="O78" s="481"/>
      <c r="P78" s="482"/>
      <c r="Q78" s="680"/>
      <c r="R78" s="681"/>
      <c r="S78" s="681"/>
      <c r="T78" s="681"/>
      <c r="U78" s="681"/>
      <c r="V78" s="681"/>
      <c r="W78" s="688"/>
      <c r="X78" s="685"/>
      <c r="Y78" s="686"/>
      <c r="Z78" s="686"/>
      <c r="AA78" s="686"/>
      <c r="AB78" s="686"/>
      <c r="AC78" s="686"/>
      <c r="AD78" s="686"/>
      <c r="AE78" s="687"/>
      <c r="AF78" s="680"/>
      <c r="AG78" s="681"/>
      <c r="AH78" s="681"/>
      <c r="AI78" s="681"/>
      <c r="AJ78" s="681"/>
      <c r="AK78" s="680"/>
      <c r="AL78" s="681"/>
      <c r="AM78" s="66"/>
      <c r="AN78" s="66"/>
      <c r="AO78" s="66"/>
      <c r="AP78" s="66"/>
      <c r="AQ78" s="66"/>
      <c r="AR78" s="66"/>
      <c r="AS78" s="66"/>
      <c r="AT78" s="66"/>
    </row>
    <row r="79" spans="1:47" x14ac:dyDescent="0.3">
      <c r="A79" s="202">
        <v>3</v>
      </c>
      <c r="B79" s="477"/>
      <c r="C79" s="478"/>
      <c r="D79" s="478"/>
      <c r="E79" s="478"/>
      <c r="F79" s="478"/>
      <c r="G79" s="478"/>
      <c r="H79" s="478"/>
      <c r="I79" s="478"/>
      <c r="J79" s="479"/>
      <c r="K79" s="480"/>
      <c r="L79" s="481"/>
      <c r="M79" s="481"/>
      <c r="N79" s="481"/>
      <c r="O79" s="481"/>
      <c r="P79" s="482"/>
      <c r="Q79" s="680"/>
      <c r="R79" s="681"/>
      <c r="S79" s="681"/>
      <c r="T79" s="681"/>
      <c r="U79" s="681"/>
      <c r="V79" s="681"/>
      <c r="W79" s="688"/>
      <c r="X79" s="685"/>
      <c r="Y79" s="686"/>
      <c r="Z79" s="686"/>
      <c r="AA79" s="686"/>
      <c r="AB79" s="686"/>
      <c r="AC79" s="686"/>
      <c r="AD79" s="686"/>
      <c r="AE79" s="687"/>
      <c r="AF79" s="680"/>
      <c r="AG79" s="681"/>
      <c r="AH79" s="681"/>
      <c r="AI79" s="681"/>
      <c r="AJ79" s="681"/>
      <c r="AK79" s="680"/>
      <c r="AL79" s="681"/>
      <c r="AM79" s="66"/>
      <c r="AN79" s="66"/>
      <c r="AO79" s="66"/>
      <c r="AP79" s="66"/>
      <c r="AQ79" s="66"/>
      <c r="AR79" s="66"/>
      <c r="AS79" s="66"/>
      <c r="AT79" s="66"/>
    </row>
    <row r="80" spans="1:47" x14ac:dyDescent="0.3">
      <c r="A80" s="202">
        <v>4</v>
      </c>
      <c r="B80" s="477"/>
      <c r="C80" s="478"/>
      <c r="D80" s="478"/>
      <c r="E80" s="478"/>
      <c r="F80" s="478"/>
      <c r="G80" s="478"/>
      <c r="H80" s="478"/>
      <c r="I80" s="478"/>
      <c r="J80" s="479"/>
      <c r="K80" s="480"/>
      <c r="L80" s="481"/>
      <c r="M80" s="481"/>
      <c r="N80" s="481"/>
      <c r="O80" s="481"/>
      <c r="P80" s="482"/>
      <c r="Q80" s="680"/>
      <c r="R80" s="681"/>
      <c r="S80" s="681"/>
      <c r="T80" s="681"/>
      <c r="U80" s="681"/>
      <c r="V80" s="681"/>
      <c r="W80" s="688"/>
      <c r="X80" s="685"/>
      <c r="Y80" s="686"/>
      <c r="Z80" s="686"/>
      <c r="AA80" s="686"/>
      <c r="AB80" s="686"/>
      <c r="AC80" s="686"/>
      <c r="AD80" s="686"/>
      <c r="AE80" s="687"/>
      <c r="AF80" s="680"/>
      <c r="AG80" s="681"/>
      <c r="AH80" s="681"/>
      <c r="AI80" s="681"/>
      <c r="AJ80" s="681"/>
      <c r="AK80" s="680"/>
      <c r="AL80" s="681"/>
      <c r="AM80" s="66"/>
      <c r="AN80" s="66"/>
      <c r="AO80" s="66"/>
      <c r="AP80" s="66"/>
      <c r="AQ80" s="66"/>
      <c r="AR80" s="66"/>
      <c r="AS80" s="66"/>
      <c r="AT80" s="66"/>
    </row>
    <row r="81" spans="1:46" x14ac:dyDescent="0.3">
      <c r="A81" s="202">
        <v>5</v>
      </c>
      <c r="B81" s="477"/>
      <c r="C81" s="478"/>
      <c r="D81" s="478"/>
      <c r="E81" s="478"/>
      <c r="F81" s="478"/>
      <c r="G81" s="478"/>
      <c r="H81" s="478"/>
      <c r="I81" s="478"/>
      <c r="J81" s="479"/>
      <c r="K81" s="480"/>
      <c r="L81" s="481"/>
      <c r="M81" s="481"/>
      <c r="N81" s="481"/>
      <c r="O81" s="481"/>
      <c r="P81" s="482"/>
      <c r="Q81" s="680"/>
      <c r="R81" s="681"/>
      <c r="S81" s="681"/>
      <c r="T81" s="681"/>
      <c r="U81" s="681"/>
      <c r="V81" s="681"/>
      <c r="W81" s="688"/>
      <c r="X81" s="685"/>
      <c r="Y81" s="686"/>
      <c r="Z81" s="686"/>
      <c r="AA81" s="686"/>
      <c r="AB81" s="686"/>
      <c r="AC81" s="686"/>
      <c r="AD81" s="686"/>
      <c r="AE81" s="687"/>
      <c r="AF81" s="680"/>
      <c r="AG81" s="681"/>
      <c r="AH81" s="681"/>
      <c r="AI81" s="681"/>
      <c r="AJ81" s="681"/>
      <c r="AK81" s="680"/>
      <c r="AL81" s="681"/>
      <c r="AM81" s="66"/>
      <c r="AN81" s="66"/>
      <c r="AO81" s="66"/>
      <c r="AP81" s="66"/>
      <c r="AQ81" s="66"/>
      <c r="AR81" s="66"/>
      <c r="AS81" s="66"/>
      <c r="AT81" s="66"/>
    </row>
    <row r="82" spans="1:46" x14ac:dyDescent="0.3">
      <c r="A82" s="202">
        <v>6</v>
      </c>
      <c r="B82" s="477"/>
      <c r="C82" s="478"/>
      <c r="D82" s="478"/>
      <c r="E82" s="478"/>
      <c r="F82" s="478"/>
      <c r="G82" s="478"/>
      <c r="H82" s="478"/>
      <c r="I82" s="478"/>
      <c r="J82" s="479"/>
      <c r="K82" s="480"/>
      <c r="L82" s="481"/>
      <c r="M82" s="481"/>
      <c r="N82" s="481"/>
      <c r="O82" s="481"/>
      <c r="P82" s="482"/>
      <c r="Q82" s="680"/>
      <c r="R82" s="681"/>
      <c r="S82" s="681"/>
      <c r="T82" s="681"/>
      <c r="U82" s="681"/>
      <c r="V82" s="681"/>
      <c r="W82" s="688"/>
      <c r="X82" s="685"/>
      <c r="Y82" s="686"/>
      <c r="Z82" s="686"/>
      <c r="AA82" s="686"/>
      <c r="AB82" s="686"/>
      <c r="AC82" s="686"/>
      <c r="AD82" s="686"/>
      <c r="AE82" s="687"/>
      <c r="AF82" s="680"/>
      <c r="AG82" s="681"/>
      <c r="AH82" s="681"/>
      <c r="AI82" s="681"/>
      <c r="AJ82" s="681"/>
      <c r="AK82" s="680"/>
      <c r="AL82" s="681"/>
      <c r="AM82" s="66"/>
      <c r="AN82" s="66"/>
      <c r="AO82" s="66"/>
      <c r="AP82" s="66"/>
      <c r="AQ82" s="66"/>
      <c r="AR82" s="66"/>
      <c r="AS82" s="66"/>
      <c r="AT82" s="66"/>
    </row>
    <row r="83" spans="1:46" x14ac:dyDescent="0.3">
      <c r="A83" s="202">
        <v>7</v>
      </c>
      <c r="B83" s="477"/>
      <c r="C83" s="478"/>
      <c r="D83" s="478"/>
      <c r="E83" s="478"/>
      <c r="F83" s="478"/>
      <c r="G83" s="478"/>
      <c r="H83" s="478"/>
      <c r="I83" s="478"/>
      <c r="J83" s="479"/>
      <c r="K83" s="480"/>
      <c r="L83" s="481"/>
      <c r="M83" s="481"/>
      <c r="N83" s="481"/>
      <c r="O83" s="481"/>
      <c r="P83" s="482"/>
      <c r="Q83" s="680"/>
      <c r="R83" s="681"/>
      <c r="S83" s="681"/>
      <c r="T83" s="681"/>
      <c r="U83" s="681"/>
      <c r="V83" s="681"/>
      <c r="W83" s="688"/>
      <c r="X83" s="685"/>
      <c r="Y83" s="686"/>
      <c r="Z83" s="686"/>
      <c r="AA83" s="686"/>
      <c r="AB83" s="686"/>
      <c r="AC83" s="686"/>
      <c r="AD83" s="686"/>
      <c r="AE83" s="687"/>
      <c r="AF83" s="680"/>
      <c r="AG83" s="681"/>
      <c r="AH83" s="681"/>
      <c r="AI83" s="681"/>
      <c r="AJ83" s="681"/>
      <c r="AK83" s="680"/>
      <c r="AL83" s="681"/>
      <c r="AM83" s="66"/>
      <c r="AN83" s="66"/>
      <c r="AO83" s="66"/>
      <c r="AP83" s="66"/>
      <c r="AQ83" s="66"/>
      <c r="AR83" s="66"/>
      <c r="AS83" s="66"/>
      <c r="AT83" s="66"/>
    </row>
    <row r="84" spans="1:46" x14ac:dyDescent="0.3">
      <c r="A84" s="202">
        <v>8</v>
      </c>
      <c r="B84" s="477"/>
      <c r="C84" s="478"/>
      <c r="D84" s="478"/>
      <c r="E84" s="478"/>
      <c r="F84" s="478"/>
      <c r="G84" s="478"/>
      <c r="H84" s="478"/>
      <c r="I84" s="478"/>
      <c r="J84" s="479"/>
      <c r="K84" s="480"/>
      <c r="L84" s="481"/>
      <c r="M84" s="481"/>
      <c r="N84" s="481"/>
      <c r="O84" s="481"/>
      <c r="P84" s="482"/>
      <c r="Q84" s="680"/>
      <c r="R84" s="681"/>
      <c r="S84" s="681"/>
      <c r="T84" s="681"/>
      <c r="U84" s="681"/>
      <c r="V84" s="681"/>
      <c r="W84" s="688"/>
      <c r="X84" s="685"/>
      <c r="Y84" s="686"/>
      <c r="Z84" s="686"/>
      <c r="AA84" s="686"/>
      <c r="AB84" s="686"/>
      <c r="AC84" s="686"/>
      <c r="AD84" s="686"/>
      <c r="AE84" s="687"/>
      <c r="AF84" s="680"/>
      <c r="AG84" s="681"/>
      <c r="AH84" s="681"/>
      <c r="AI84" s="681"/>
      <c r="AJ84" s="681"/>
      <c r="AK84" s="680"/>
      <c r="AL84" s="681"/>
      <c r="AM84" s="66"/>
      <c r="AN84" s="66"/>
      <c r="AO84" s="66"/>
      <c r="AP84" s="66"/>
      <c r="AQ84" s="66"/>
      <c r="AR84" s="66"/>
      <c r="AS84" s="66"/>
      <c r="AT84" s="66"/>
    </row>
    <row r="85" spans="1:46" x14ac:dyDescent="0.3">
      <c r="A85" s="202">
        <v>9</v>
      </c>
      <c r="B85" s="477"/>
      <c r="C85" s="478"/>
      <c r="D85" s="478"/>
      <c r="E85" s="478"/>
      <c r="F85" s="478"/>
      <c r="G85" s="478"/>
      <c r="H85" s="478"/>
      <c r="I85" s="478"/>
      <c r="J85" s="479"/>
      <c r="K85" s="480"/>
      <c r="L85" s="481"/>
      <c r="M85" s="481"/>
      <c r="N85" s="481"/>
      <c r="O85" s="481"/>
      <c r="P85" s="482"/>
      <c r="Q85" s="680"/>
      <c r="R85" s="681"/>
      <c r="S85" s="681"/>
      <c r="T85" s="681"/>
      <c r="U85" s="681"/>
      <c r="V85" s="681"/>
      <c r="W85" s="688"/>
      <c r="X85" s="685"/>
      <c r="Y85" s="686"/>
      <c r="Z85" s="686"/>
      <c r="AA85" s="686"/>
      <c r="AB85" s="686"/>
      <c r="AC85" s="686"/>
      <c r="AD85" s="686"/>
      <c r="AE85" s="687"/>
      <c r="AF85" s="680"/>
      <c r="AG85" s="681"/>
      <c r="AH85" s="681"/>
      <c r="AI85" s="681"/>
      <c r="AJ85" s="681"/>
      <c r="AK85" s="680"/>
      <c r="AL85" s="681"/>
      <c r="AM85" s="66"/>
      <c r="AN85" s="66"/>
      <c r="AO85" s="66"/>
      <c r="AP85" s="66"/>
      <c r="AQ85" s="66"/>
      <c r="AR85" s="66"/>
      <c r="AS85" s="66"/>
      <c r="AT85" s="66"/>
    </row>
    <row r="86" spans="1:46" x14ac:dyDescent="0.3">
      <c r="A86" s="202">
        <v>10</v>
      </c>
      <c r="B86" s="477"/>
      <c r="C86" s="478"/>
      <c r="D86" s="478"/>
      <c r="E86" s="478"/>
      <c r="F86" s="478"/>
      <c r="G86" s="478"/>
      <c r="H86" s="478"/>
      <c r="I86" s="478"/>
      <c r="J86" s="479"/>
      <c r="K86" s="480"/>
      <c r="L86" s="481"/>
      <c r="M86" s="481"/>
      <c r="N86" s="481"/>
      <c r="O86" s="481"/>
      <c r="P86" s="482"/>
      <c r="Q86" s="680"/>
      <c r="R86" s="681"/>
      <c r="S86" s="681"/>
      <c r="T86" s="681"/>
      <c r="U86" s="681"/>
      <c r="V86" s="681"/>
      <c r="W86" s="688"/>
      <c r="X86" s="685"/>
      <c r="Y86" s="686"/>
      <c r="Z86" s="686"/>
      <c r="AA86" s="686"/>
      <c r="AB86" s="686"/>
      <c r="AC86" s="686"/>
      <c r="AD86" s="686"/>
      <c r="AE86" s="687"/>
      <c r="AF86" s="680"/>
      <c r="AG86" s="681"/>
      <c r="AH86" s="681"/>
      <c r="AI86" s="681"/>
      <c r="AJ86" s="681"/>
      <c r="AK86" s="680"/>
      <c r="AL86" s="681"/>
      <c r="AM86" s="66"/>
      <c r="AN86" s="66"/>
      <c r="AO86" s="66"/>
      <c r="AP86" s="66"/>
      <c r="AQ86" s="66"/>
      <c r="AR86" s="66"/>
      <c r="AS86" s="66"/>
      <c r="AT86" s="66"/>
    </row>
    <row r="87" spans="1:46" x14ac:dyDescent="0.3">
      <c r="A87" s="202">
        <v>11</v>
      </c>
      <c r="B87" s="477"/>
      <c r="C87" s="478"/>
      <c r="D87" s="478"/>
      <c r="E87" s="478"/>
      <c r="F87" s="478"/>
      <c r="G87" s="478"/>
      <c r="H87" s="478"/>
      <c r="I87" s="478"/>
      <c r="J87" s="479"/>
      <c r="K87" s="480"/>
      <c r="L87" s="481"/>
      <c r="M87" s="481"/>
      <c r="N87" s="481"/>
      <c r="O87" s="481"/>
      <c r="P87" s="482"/>
      <c r="Q87" s="680"/>
      <c r="R87" s="681"/>
      <c r="S87" s="681"/>
      <c r="T87" s="681"/>
      <c r="U87" s="681"/>
      <c r="V87" s="681"/>
      <c r="W87" s="688"/>
      <c r="X87" s="685"/>
      <c r="Y87" s="686"/>
      <c r="Z87" s="686"/>
      <c r="AA87" s="686"/>
      <c r="AB87" s="686"/>
      <c r="AC87" s="686"/>
      <c r="AD87" s="686"/>
      <c r="AE87" s="687"/>
      <c r="AF87" s="680"/>
      <c r="AG87" s="681"/>
      <c r="AH87" s="681"/>
      <c r="AI87" s="681"/>
      <c r="AJ87" s="681"/>
      <c r="AK87" s="680"/>
      <c r="AL87" s="681"/>
      <c r="AM87" s="66"/>
      <c r="AN87" s="66"/>
      <c r="AO87" s="66"/>
      <c r="AP87" s="66"/>
      <c r="AQ87" s="66"/>
      <c r="AR87" s="66"/>
      <c r="AS87" s="66"/>
      <c r="AT87" s="66"/>
    </row>
    <row r="88" spans="1:46" x14ac:dyDescent="0.3">
      <c r="A88" s="202">
        <v>12</v>
      </c>
      <c r="B88" s="477"/>
      <c r="C88" s="478"/>
      <c r="D88" s="478"/>
      <c r="E88" s="478"/>
      <c r="F88" s="478"/>
      <c r="G88" s="478"/>
      <c r="H88" s="478"/>
      <c r="I88" s="478"/>
      <c r="J88" s="479"/>
      <c r="K88" s="480"/>
      <c r="L88" s="481"/>
      <c r="M88" s="481"/>
      <c r="N88" s="481"/>
      <c r="O88" s="481"/>
      <c r="P88" s="482"/>
      <c r="Q88" s="680"/>
      <c r="R88" s="681"/>
      <c r="S88" s="681"/>
      <c r="T88" s="681"/>
      <c r="U88" s="681"/>
      <c r="V88" s="681"/>
      <c r="W88" s="688"/>
      <c r="X88" s="685"/>
      <c r="Y88" s="686"/>
      <c r="Z88" s="686"/>
      <c r="AA88" s="686"/>
      <c r="AB88" s="686"/>
      <c r="AC88" s="686"/>
      <c r="AD88" s="686"/>
      <c r="AE88" s="687"/>
      <c r="AF88" s="680"/>
      <c r="AG88" s="681"/>
      <c r="AH88" s="681"/>
      <c r="AI88" s="681"/>
      <c r="AJ88" s="681"/>
      <c r="AK88" s="680"/>
      <c r="AL88" s="681"/>
      <c r="AM88" s="66"/>
      <c r="AN88" s="66"/>
      <c r="AO88" s="66"/>
      <c r="AP88" s="66"/>
      <c r="AQ88" s="66"/>
      <c r="AR88" s="66"/>
      <c r="AS88" s="66"/>
      <c r="AT88" s="66"/>
    </row>
    <row r="89" spans="1:46" x14ac:dyDescent="0.3">
      <c r="A89" s="202">
        <v>13</v>
      </c>
      <c r="B89" s="477"/>
      <c r="C89" s="478"/>
      <c r="D89" s="478"/>
      <c r="E89" s="478"/>
      <c r="F89" s="478"/>
      <c r="G89" s="478"/>
      <c r="H89" s="478"/>
      <c r="I89" s="478"/>
      <c r="J89" s="479"/>
      <c r="K89" s="480"/>
      <c r="L89" s="481"/>
      <c r="M89" s="481"/>
      <c r="N89" s="481"/>
      <c r="O89" s="481"/>
      <c r="P89" s="482"/>
      <c r="Q89" s="680"/>
      <c r="R89" s="681"/>
      <c r="S89" s="681"/>
      <c r="T89" s="681"/>
      <c r="U89" s="681"/>
      <c r="V89" s="681"/>
      <c r="W89" s="688"/>
      <c r="X89" s="685"/>
      <c r="Y89" s="686"/>
      <c r="Z89" s="686"/>
      <c r="AA89" s="686"/>
      <c r="AB89" s="686"/>
      <c r="AC89" s="686"/>
      <c r="AD89" s="686"/>
      <c r="AE89" s="687"/>
      <c r="AF89" s="680"/>
      <c r="AG89" s="681"/>
      <c r="AH89" s="681"/>
      <c r="AI89" s="681"/>
      <c r="AJ89" s="681"/>
      <c r="AK89" s="680"/>
      <c r="AL89" s="681"/>
      <c r="AM89" s="66"/>
      <c r="AN89" s="66"/>
      <c r="AO89" s="66"/>
      <c r="AP89" s="66"/>
      <c r="AQ89" s="66"/>
      <c r="AR89" s="66"/>
      <c r="AS89" s="66"/>
      <c r="AT89" s="66"/>
    </row>
    <row r="90" spans="1:46" x14ac:dyDescent="0.3">
      <c r="A90" s="202">
        <v>14</v>
      </c>
      <c r="B90" s="477"/>
      <c r="C90" s="478"/>
      <c r="D90" s="478"/>
      <c r="E90" s="478"/>
      <c r="F90" s="478"/>
      <c r="G90" s="478"/>
      <c r="H90" s="478"/>
      <c r="I90" s="478"/>
      <c r="J90" s="479"/>
      <c r="K90" s="480"/>
      <c r="L90" s="481"/>
      <c r="M90" s="481"/>
      <c r="N90" s="481"/>
      <c r="O90" s="481"/>
      <c r="P90" s="482"/>
      <c r="Q90" s="680"/>
      <c r="R90" s="681"/>
      <c r="S90" s="681"/>
      <c r="T90" s="681"/>
      <c r="U90" s="681"/>
      <c r="V90" s="681"/>
      <c r="W90" s="688"/>
      <c r="X90" s="685"/>
      <c r="Y90" s="686"/>
      <c r="Z90" s="686"/>
      <c r="AA90" s="686"/>
      <c r="AB90" s="686"/>
      <c r="AC90" s="686"/>
      <c r="AD90" s="686"/>
      <c r="AE90" s="687"/>
      <c r="AF90" s="680"/>
      <c r="AG90" s="681"/>
      <c r="AH90" s="681"/>
      <c r="AI90" s="681"/>
      <c r="AJ90" s="681"/>
      <c r="AK90" s="680"/>
      <c r="AL90" s="681"/>
      <c r="AM90" s="66"/>
      <c r="AN90" s="66"/>
      <c r="AO90" s="66"/>
      <c r="AP90" s="66"/>
      <c r="AQ90" s="66"/>
      <c r="AR90" s="66"/>
      <c r="AS90" s="66"/>
      <c r="AT90" s="66"/>
    </row>
    <row r="91" spans="1:46" x14ac:dyDescent="0.3">
      <c r="A91" s="202">
        <v>15</v>
      </c>
      <c r="B91" s="477"/>
      <c r="C91" s="478"/>
      <c r="D91" s="478"/>
      <c r="E91" s="478"/>
      <c r="F91" s="478"/>
      <c r="G91" s="478"/>
      <c r="H91" s="478"/>
      <c r="I91" s="478"/>
      <c r="J91" s="479"/>
      <c r="K91" s="480"/>
      <c r="L91" s="481"/>
      <c r="M91" s="481"/>
      <c r="N91" s="481"/>
      <c r="O91" s="481"/>
      <c r="P91" s="482"/>
      <c r="Q91" s="680"/>
      <c r="R91" s="681"/>
      <c r="S91" s="681"/>
      <c r="T91" s="681"/>
      <c r="U91" s="681"/>
      <c r="V91" s="681"/>
      <c r="W91" s="688"/>
      <c r="X91" s="685"/>
      <c r="Y91" s="686"/>
      <c r="Z91" s="686"/>
      <c r="AA91" s="686"/>
      <c r="AB91" s="686"/>
      <c r="AC91" s="686"/>
      <c r="AD91" s="686"/>
      <c r="AE91" s="687"/>
      <c r="AF91" s="680"/>
      <c r="AG91" s="681"/>
      <c r="AH91" s="681"/>
      <c r="AI91" s="681"/>
      <c r="AJ91" s="681"/>
      <c r="AK91" s="680"/>
      <c r="AL91" s="681"/>
      <c r="AM91" s="66"/>
      <c r="AN91" s="66"/>
      <c r="AO91" s="66"/>
      <c r="AP91" s="66"/>
      <c r="AQ91" s="66"/>
      <c r="AR91" s="66"/>
      <c r="AS91" s="66"/>
      <c r="AT91" s="66"/>
    </row>
    <row r="92" spans="1:46" x14ac:dyDescent="0.3">
      <c r="A92" s="202">
        <v>16</v>
      </c>
      <c r="B92" s="477"/>
      <c r="C92" s="478"/>
      <c r="D92" s="478"/>
      <c r="E92" s="478"/>
      <c r="F92" s="478"/>
      <c r="G92" s="478"/>
      <c r="H92" s="478"/>
      <c r="I92" s="478"/>
      <c r="J92" s="479"/>
      <c r="K92" s="480"/>
      <c r="L92" s="481"/>
      <c r="M92" s="481"/>
      <c r="N92" s="481"/>
      <c r="O92" s="481"/>
      <c r="P92" s="482"/>
      <c r="Q92" s="680"/>
      <c r="R92" s="681"/>
      <c r="S92" s="681"/>
      <c r="T92" s="681"/>
      <c r="U92" s="681"/>
      <c r="V92" s="681"/>
      <c r="W92" s="688"/>
      <c r="X92" s="685"/>
      <c r="Y92" s="686"/>
      <c r="Z92" s="686"/>
      <c r="AA92" s="686"/>
      <c r="AB92" s="686"/>
      <c r="AC92" s="686"/>
      <c r="AD92" s="686"/>
      <c r="AE92" s="687"/>
      <c r="AF92" s="680"/>
      <c r="AG92" s="681"/>
      <c r="AH92" s="681"/>
      <c r="AI92" s="681"/>
      <c r="AJ92" s="681"/>
      <c r="AK92" s="680"/>
      <c r="AL92" s="681"/>
      <c r="AM92" s="66"/>
      <c r="AN92" s="66"/>
      <c r="AO92" s="66"/>
      <c r="AP92" s="66"/>
      <c r="AQ92" s="66"/>
      <c r="AR92" s="66"/>
      <c r="AS92" s="66"/>
      <c r="AT92" s="66"/>
    </row>
    <row r="93" spans="1:46" x14ac:dyDescent="0.3">
      <c r="A93" s="202">
        <v>17</v>
      </c>
      <c r="B93" s="477"/>
      <c r="C93" s="478"/>
      <c r="D93" s="478"/>
      <c r="E93" s="478"/>
      <c r="F93" s="478"/>
      <c r="G93" s="478"/>
      <c r="H93" s="478"/>
      <c r="I93" s="478"/>
      <c r="J93" s="479"/>
      <c r="K93" s="480"/>
      <c r="L93" s="481"/>
      <c r="M93" s="481"/>
      <c r="N93" s="481"/>
      <c r="O93" s="481"/>
      <c r="P93" s="482"/>
      <c r="Q93" s="680"/>
      <c r="R93" s="681"/>
      <c r="S93" s="681"/>
      <c r="T93" s="681"/>
      <c r="U93" s="681"/>
      <c r="V93" s="681"/>
      <c r="W93" s="688"/>
      <c r="X93" s="685"/>
      <c r="Y93" s="686"/>
      <c r="Z93" s="686"/>
      <c r="AA93" s="686"/>
      <c r="AB93" s="686"/>
      <c r="AC93" s="686"/>
      <c r="AD93" s="686"/>
      <c r="AE93" s="687"/>
      <c r="AF93" s="680"/>
      <c r="AG93" s="681"/>
      <c r="AH93" s="681"/>
      <c r="AI93" s="681"/>
      <c r="AJ93" s="681"/>
      <c r="AK93" s="680"/>
      <c r="AL93" s="681"/>
      <c r="AM93" s="66"/>
      <c r="AN93" s="66"/>
      <c r="AO93" s="66"/>
      <c r="AP93" s="66"/>
      <c r="AQ93" s="66"/>
      <c r="AR93" s="66"/>
      <c r="AS93" s="66"/>
      <c r="AT93" s="66"/>
    </row>
    <row r="94" spans="1:46" x14ac:dyDescent="0.3">
      <c r="A94" s="202">
        <v>18</v>
      </c>
      <c r="B94" s="477"/>
      <c r="C94" s="478"/>
      <c r="D94" s="478"/>
      <c r="E94" s="478"/>
      <c r="F94" s="478"/>
      <c r="G94" s="478"/>
      <c r="H94" s="478"/>
      <c r="I94" s="478"/>
      <c r="J94" s="479"/>
      <c r="K94" s="480"/>
      <c r="L94" s="481"/>
      <c r="M94" s="481"/>
      <c r="N94" s="481"/>
      <c r="O94" s="481"/>
      <c r="P94" s="482"/>
      <c r="Q94" s="680"/>
      <c r="R94" s="681"/>
      <c r="S94" s="681"/>
      <c r="T94" s="681"/>
      <c r="U94" s="681"/>
      <c r="V94" s="681"/>
      <c r="W94" s="688"/>
      <c r="X94" s="685"/>
      <c r="Y94" s="686"/>
      <c r="Z94" s="686"/>
      <c r="AA94" s="686"/>
      <c r="AB94" s="686"/>
      <c r="AC94" s="686"/>
      <c r="AD94" s="686"/>
      <c r="AE94" s="687"/>
      <c r="AF94" s="680"/>
      <c r="AG94" s="681"/>
      <c r="AH94" s="681"/>
      <c r="AI94" s="681"/>
      <c r="AJ94" s="681"/>
      <c r="AK94" s="680"/>
      <c r="AL94" s="681"/>
      <c r="AM94" s="66"/>
      <c r="AN94" s="66"/>
      <c r="AO94" s="66"/>
      <c r="AP94" s="66"/>
      <c r="AQ94" s="66"/>
      <c r="AR94" s="66"/>
      <c r="AS94" s="66"/>
      <c r="AT94" s="66"/>
    </row>
    <row r="95" spans="1:46" x14ac:dyDescent="0.3">
      <c r="A95" s="202">
        <v>19</v>
      </c>
      <c r="B95" s="477"/>
      <c r="C95" s="478"/>
      <c r="D95" s="478"/>
      <c r="E95" s="478"/>
      <c r="F95" s="478"/>
      <c r="G95" s="478"/>
      <c r="H95" s="478"/>
      <c r="I95" s="478"/>
      <c r="J95" s="479"/>
      <c r="K95" s="480"/>
      <c r="L95" s="481"/>
      <c r="M95" s="481"/>
      <c r="N95" s="481"/>
      <c r="O95" s="481"/>
      <c r="P95" s="482"/>
      <c r="Q95" s="680"/>
      <c r="R95" s="681"/>
      <c r="S95" s="681"/>
      <c r="T95" s="681"/>
      <c r="U95" s="681"/>
      <c r="V95" s="681"/>
      <c r="W95" s="688"/>
      <c r="X95" s="685"/>
      <c r="Y95" s="686"/>
      <c r="Z95" s="686"/>
      <c r="AA95" s="686"/>
      <c r="AB95" s="686"/>
      <c r="AC95" s="686"/>
      <c r="AD95" s="686"/>
      <c r="AE95" s="687"/>
      <c r="AF95" s="680"/>
      <c r="AG95" s="681"/>
      <c r="AH95" s="681"/>
      <c r="AI95" s="681"/>
      <c r="AJ95" s="681"/>
      <c r="AK95" s="680"/>
      <c r="AL95" s="681"/>
      <c r="AM95" s="66"/>
      <c r="AN95" s="66"/>
      <c r="AO95" s="66"/>
      <c r="AP95" s="66"/>
      <c r="AQ95" s="66"/>
      <c r="AR95" s="66"/>
      <c r="AS95" s="66"/>
      <c r="AT95" s="66"/>
    </row>
    <row r="96" spans="1:46" x14ac:dyDescent="0.3">
      <c r="A96" s="202">
        <v>20</v>
      </c>
      <c r="B96" s="477"/>
      <c r="C96" s="478"/>
      <c r="D96" s="478"/>
      <c r="E96" s="478"/>
      <c r="F96" s="478"/>
      <c r="G96" s="478"/>
      <c r="H96" s="478"/>
      <c r="I96" s="478"/>
      <c r="J96" s="479"/>
      <c r="K96" s="480"/>
      <c r="L96" s="481"/>
      <c r="M96" s="481"/>
      <c r="N96" s="481"/>
      <c r="O96" s="481"/>
      <c r="P96" s="482"/>
      <c r="Q96" s="680"/>
      <c r="R96" s="681"/>
      <c r="S96" s="681"/>
      <c r="T96" s="681"/>
      <c r="U96" s="681"/>
      <c r="V96" s="681"/>
      <c r="W96" s="688"/>
      <c r="X96" s="685"/>
      <c r="Y96" s="686"/>
      <c r="Z96" s="686"/>
      <c r="AA96" s="686"/>
      <c r="AB96" s="686"/>
      <c r="AC96" s="686"/>
      <c r="AD96" s="686"/>
      <c r="AE96" s="687"/>
      <c r="AF96" s="680"/>
      <c r="AG96" s="681"/>
      <c r="AH96" s="681"/>
      <c r="AI96" s="681"/>
      <c r="AJ96" s="681"/>
      <c r="AK96" s="680"/>
      <c r="AL96" s="681"/>
      <c r="AM96" s="66"/>
      <c r="AN96" s="66"/>
      <c r="AO96" s="66"/>
      <c r="AP96" s="66"/>
      <c r="AQ96" s="66"/>
      <c r="AR96" s="66"/>
      <c r="AS96" s="66"/>
      <c r="AT96" s="66"/>
    </row>
    <row r="97" spans="1:48" x14ac:dyDescent="0.3">
      <c r="A97" s="202">
        <v>21</v>
      </c>
      <c r="B97" s="488" t="s">
        <v>756</v>
      </c>
      <c r="C97" s="489"/>
      <c r="D97" s="489"/>
      <c r="E97" s="489"/>
      <c r="F97" s="489"/>
      <c r="G97" s="489"/>
      <c r="H97" s="489"/>
      <c r="I97" s="489"/>
      <c r="J97" s="490"/>
      <c r="K97" s="491" t="s">
        <v>757</v>
      </c>
      <c r="L97" s="492"/>
      <c r="M97" s="492"/>
      <c r="N97" s="492"/>
      <c r="O97" s="492"/>
      <c r="P97" s="493"/>
      <c r="Q97" s="561">
        <f>SUM(Q77:W96)</f>
        <v>0</v>
      </c>
      <c r="R97" s="562"/>
      <c r="S97" s="562"/>
      <c r="T97" s="562"/>
      <c r="U97" s="562"/>
      <c r="V97" s="562"/>
      <c r="W97" s="563"/>
      <c r="X97" s="682">
        <f>SUM(X77:AE96)</f>
        <v>0</v>
      </c>
      <c r="Y97" s="683"/>
      <c r="Z97" s="683"/>
      <c r="AA97" s="683"/>
      <c r="AB97" s="683"/>
      <c r="AC97" s="683"/>
      <c r="AD97" s="683"/>
      <c r="AE97" s="684"/>
      <c r="AF97" s="561">
        <f>SUM(AF77:AJ96)</f>
        <v>0</v>
      </c>
      <c r="AG97" s="562"/>
      <c r="AH97" s="562"/>
      <c r="AI97" s="562"/>
      <c r="AJ97" s="563"/>
      <c r="AK97" s="561">
        <f>SUM(AK77:AL96)</f>
        <v>0</v>
      </c>
      <c r="AL97" s="563"/>
      <c r="AM97" s="66"/>
      <c r="AN97" s="66"/>
      <c r="AO97" s="66"/>
      <c r="AP97" s="66"/>
      <c r="AQ97" s="66"/>
      <c r="AR97" s="66"/>
      <c r="AS97" s="66"/>
      <c r="AT97" s="66"/>
    </row>
    <row r="98" spans="1:48" ht="30.75" customHeight="1" x14ac:dyDescent="0.25">
      <c r="A98" s="332" t="s">
        <v>225</v>
      </c>
      <c r="B98" s="332"/>
      <c r="C98" s="332"/>
      <c r="D98" s="332"/>
      <c r="E98" s="332"/>
      <c r="F98" s="332"/>
      <c r="G98" s="332"/>
      <c r="H98" s="332"/>
      <c r="I98" s="332"/>
      <c r="J98" s="332"/>
      <c r="K98" s="332"/>
      <c r="L98" s="332"/>
      <c r="M98" s="332"/>
      <c r="N98" s="332"/>
      <c r="O98" s="332"/>
      <c r="P98" s="332"/>
      <c r="Q98" s="332"/>
      <c r="R98" s="332"/>
      <c r="S98" s="332"/>
      <c r="T98" s="332"/>
      <c r="U98" s="332"/>
      <c r="V98" s="332"/>
      <c r="W98" s="332"/>
      <c r="X98" s="332"/>
      <c r="Y98" s="332"/>
      <c r="Z98" s="332"/>
      <c r="AA98" s="332"/>
      <c r="AB98" s="332"/>
      <c r="AC98" s="332"/>
      <c r="AD98" s="332"/>
      <c r="AE98" s="332"/>
      <c r="AF98" s="332"/>
      <c r="AG98" s="332"/>
      <c r="AH98" s="332"/>
      <c r="AI98" s="332"/>
      <c r="AJ98" s="332"/>
      <c r="AK98" s="332"/>
      <c r="AL98" s="332"/>
      <c r="AM98" s="119"/>
    </row>
    <row r="99" spans="1:48" x14ac:dyDescent="0.25">
      <c r="A99" s="621">
        <f>A65</f>
        <v>0</v>
      </c>
      <c r="B99" s="622"/>
      <c r="C99" s="622"/>
      <c r="D99" s="622"/>
      <c r="E99" s="622"/>
      <c r="F99" s="622"/>
      <c r="G99" s="622"/>
      <c r="H99" s="622"/>
      <c r="I99" s="622"/>
      <c r="J99" s="622"/>
      <c r="K99" s="622"/>
      <c r="L99" s="622"/>
      <c r="M99" s="622"/>
      <c r="N99" s="622"/>
      <c r="O99" s="622"/>
      <c r="P99" s="622"/>
      <c r="Q99" s="622"/>
      <c r="R99" s="622"/>
      <c r="S99" s="622"/>
      <c r="T99" s="622"/>
      <c r="U99" s="622"/>
      <c r="V99" s="622"/>
      <c r="W99" s="622"/>
      <c r="X99" s="622"/>
      <c r="Y99" s="622"/>
      <c r="Z99" s="622"/>
      <c r="AA99" s="622"/>
      <c r="AB99" s="622"/>
      <c r="AC99" s="622"/>
      <c r="AD99" s="622"/>
      <c r="AE99" s="622"/>
      <c r="AF99" s="622"/>
      <c r="AG99" s="622"/>
      <c r="AH99" s="622"/>
      <c r="AI99" s="622"/>
      <c r="AJ99" s="622"/>
      <c r="AK99" s="622"/>
      <c r="AL99" s="623"/>
    </row>
    <row r="100" spans="1:48" ht="19.5" customHeight="1" x14ac:dyDescent="0.25">
      <c r="A100" s="332" t="s">
        <v>918</v>
      </c>
      <c r="B100" s="332"/>
      <c r="C100" s="332"/>
      <c r="D100" s="332"/>
      <c r="E100" s="332"/>
      <c r="F100" s="332"/>
      <c r="G100" s="332"/>
      <c r="H100" s="332"/>
      <c r="I100" s="332"/>
      <c r="J100" s="332"/>
      <c r="K100" s="332"/>
      <c r="L100" s="332"/>
      <c r="M100" s="332"/>
      <c r="N100" s="332"/>
      <c r="O100" s="332"/>
      <c r="P100" s="332"/>
      <c r="Q100" s="332"/>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row>
    <row r="101" spans="1:48" x14ac:dyDescent="0.25">
      <c r="A101" s="621">
        <f>A67+T67</f>
        <v>0</v>
      </c>
      <c r="B101" s="622"/>
      <c r="C101" s="622"/>
      <c r="D101" s="622"/>
      <c r="E101" s="622"/>
      <c r="F101" s="622"/>
      <c r="G101" s="622"/>
      <c r="H101" s="622"/>
      <c r="I101" s="622"/>
      <c r="J101" s="622"/>
      <c r="K101" s="622"/>
      <c r="L101" s="622"/>
      <c r="M101" s="622"/>
      <c r="N101" s="622"/>
      <c r="O101" s="622"/>
      <c r="P101" s="622"/>
      <c r="Q101" s="622"/>
      <c r="R101" s="622"/>
      <c r="S101" s="622"/>
      <c r="T101" s="622"/>
      <c r="U101" s="622"/>
      <c r="V101" s="622"/>
      <c r="W101" s="622"/>
      <c r="X101" s="622"/>
      <c r="Y101" s="622"/>
      <c r="Z101" s="622"/>
      <c r="AA101" s="622"/>
      <c r="AB101" s="622"/>
      <c r="AC101" s="622"/>
      <c r="AD101" s="622"/>
      <c r="AE101" s="622"/>
      <c r="AF101" s="622"/>
      <c r="AG101" s="622"/>
      <c r="AH101" s="622"/>
      <c r="AI101" s="622"/>
      <c r="AJ101" s="622"/>
      <c r="AK101" s="622"/>
      <c r="AL101" s="623"/>
    </row>
    <row r="102" spans="1:48" ht="18.75" customHeight="1" x14ac:dyDescent="0.25">
      <c r="A102" s="332" t="s">
        <v>173</v>
      </c>
      <c r="B102" s="332"/>
      <c r="C102" s="332"/>
      <c r="D102" s="332"/>
      <c r="E102" s="332"/>
      <c r="F102" s="332"/>
      <c r="G102" s="332"/>
      <c r="H102" s="332"/>
      <c r="I102" s="332"/>
      <c r="J102" s="332"/>
      <c r="K102" s="332"/>
      <c r="L102" s="332"/>
      <c r="M102" s="332"/>
      <c r="N102" s="332"/>
      <c r="O102" s="332"/>
      <c r="P102" s="332"/>
      <c r="Q102" s="332"/>
      <c r="R102" s="332"/>
      <c r="S102" s="332"/>
      <c r="T102" s="332"/>
      <c r="U102" s="332"/>
      <c r="V102" s="332"/>
      <c r="W102" s="332"/>
      <c r="X102" s="332"/>
      <c r="Y102" s="332"/>
      <c r="Z102" s="332"/>
      <c r="AA102" s="332"/>
      <c r="AB102" s="332"/>
      <c r="AC102" s="332"/>
      <c r="AD102" s="332"/>
      <c r="AE102" s="332"/>
      <c r="AF102" s="332"/>
      <c r="AG102" s="332"/>
      <c r="AH102" s="332"/>
      <c r="AI102" s="332"/>
      <c r="AJ102" s="332"/>
      <c r="AK102" s="332"/>
      <c r="AL102" s="332"/>
      <c r="AM102" s="119"/>
    </row>
    <row r="103" spans="1:48" x14ac:dyDescent="0.25">
      <c r="A103" s="632"/>
      <c r="B103" s="633"/>
      <c r="C103" s="633"/>
      <c r="D103" s="633"/>
      <c r="E103" s="633"/>
      <c r="F103" s="633"/>
      <c r="G103" s="633"/>
      <c r="H103" s="633"/>
      <c r="I103" s="633"/>
      <c r="J103" s="633"/>
      <c r="K103" s="633"/>
      <c r="L103" s="633"/>
      <c r="M103" s="633"/>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4"/>
    </row>
    <row r="104" spans="1:48" ht="34.5" customHeight="1" x14ac:dyDescent="0.25">
      <c r="A104" s="308" t="s">
        <v>791</v>
      </c>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335" t="s">
        <v>914</v>
      </c>
      <c r="AN104" s="335"/>
      <c r="AO104" s="335"/>
      <c r="AP104" s="335"/>
      <c r="AQ104" s="335"/>
      <c r="AR104" s="335"/>
      <c r="AS104" s="335"/>
      <c r="AT104" s="335"/>
      <c r="AU104" s="335"/>
      <c r="AV104" s="335"/>
    </row>
    <row r="105" spans="1:48" x14ac:dyDescent="0.25">
      <c r="A105" s="694">
        <f>Q97</f>
        <v>0</v>
      </c>
      <c r="B105" s="695"/>
      <c r="C105" s="695"/>
      <c r="D105" s="695"/>
      <c r="E105" s="695"/>
      <c r="F105" s="695"/>
      <c r="G105" s="695"/>
      <c r="H105" s="695"/>
      <c r="I105" s="695"/>
      <c r="J105" s="695"/>
      <c r="K105" s="695"/>
      <c r="L105" s="695"/>
      <c r="M105" s="695"/>
      <c r="N105" s="695"/>
      <c r="O105" s="695"/>
      <c r="P105" s="695"/>
      <c r="Q105" s="695"/>
      <c r="R105" s="695"/>
      <c r="S105" s="695"/>
      <c r="T105" s="695"/>
      <c r="U105" s="695"/>
      <c r="V105" s="695"/>
      <c r="W105" s="695"/>
      <c r="X105" s="695"/>
      <c r="Y105" s="695"/>
      <c r="Z105" s="695"/>
      <c r="AA105" s="695"/>
      <c r="AB105" s="695"/>
      <c r="AC105" s="695"/>
      <c r="AD105" s="695"/>
      <c r="AE105" s="695"/>
      <c r="AF105" s="695"/>
      <c r="AG105" s="695"/>
      <c r="AH105" s="695"/>
      <c r="AI105" s="695"/>
      <c r="AJ105" s="695"/>
      <c r="AK105" s="695"/>
      <c r="AL105" s="696"/>
    </row>
    <row r="106" spans="1:48" ht="28.2" customHeight="1" x14ac:dyDescent="0.25">
      <c r="A106" s="308" t="s">
        <v>696</v>
      </c>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35" t="s">
        <v>914</v>
      </c>
      <c r="AN106" s="335"/>
      <c r="AO106" s="335"/>
      <c r="AP106" s="335"/>
      <c r="AQ106" s="335"/>
      <c r="AR106" s="335"/>
      <c r="AS106" s="335"/>
      <c r="AT106" s="335"/>
      <c r="AU106" s="335"/>
      <c r="AV106" s="335"/>
    </row>
    <row r="107" spans="1:48" x14ac:dyDescent="0.25">
      <c r="A107" s="694">
        <f>AF97</f>
        <v>0</v>
      </c>
      <c r="B107" s="695"/>
      <c r="C107" s="695"/>
      <c r="D107" s="695"/>
      <c r="E107" s="695"/>
      <c r="F107" s="695"/>
      <c r="G107" s="695"/>
      <c r="H107" s="695"/>
      <c r="I107" s="695"/>
      <c r="J107" s="695"/>
      <c r="K107" s="695"/>
      <c r="L107" s="695"/>
      <c r="M107" s="695"/>
      <c r="N107" s="695"/>
      <c r="O107" s="695"/>
      <c r="P107" s="695"/>
      <c r="Q107" s="695"/>
      <c r="R107" s="695"/>
      <c r="S107" s="695"/>
      <c r="T107" s="695"/>
      <c r="U107" s="695"/>
      <c r="V107" s="695"/>
      <c r="W107" s="695"/>
      <c r="X107" s="695"/>
      <c r="Y107" s="695"/>
      <c r="Z107" s="695"/>
      <c r="AA107" s="695"/>
      <c r="AB107" s="695"/>
      <c r="AC107" s="695"/>
      <c r="AD107" s="695"/>
      <c r="AE107" s="695"/>
      <c r="AF107" s="695"/>
      <c r="AG107" s="695"/>
      <c r="AH107" s="695"/>
      <c r="AI107" s="695"/>
      <c r="AJ107" s="695"/>
      <c r="AK107" s="695"/>
      <c r="AL107" s="696"/>
    </row>
    <row r="108" spans="1:48" ht="30.75" customHeight="1" x14ac:dyDescent="0.25">
      <c r="A108" s="308" t="s">
        <v>792</v>
      </c>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c r="AJ108" s="308"/>
      <c r="AK108" s="308"/>
      <c r="AL108" s="308"/>
    </row>
    <row r="109" spans="1:48" x14ac:dyDescent="0.25">
      <c r="A109" s="694">
        <f>AK97</f>
        <v>0</v>
      </c>
      <c r="B109" s="695"/>
      <c r="C109" s="695"/>
      <c r="D109" s="695"/>
      <c r="E109" s="695"/>
      <c r="F109" s="695"/>
      <c r="G109" s="695"/>
      <c r="H109" s="695"/>
      <c r="I109" s="695"/>
      <c r="J109" s="695"/>
      <c r="K109" s="695"/>
      <c r="L109" s="695"/>
      <c r="M109" s="695"/>
      <c r="N109" s="695"/>
      <c r="O109" s="695"/>
      <c r="P109" s="695"/>
      <c r="Q109" s="695"/>
      <c r="R109" s="695"/>
      <c r="S109" s="695"/>
      <c r="T109" s="695"/>
      <c r="U109" s="695"/>
      <c r="V109" s="695"/>
      <c r="W109" s="695"/>
      <c r="X109" s="695"/>
      <c r="Y109" s="695"/>
      <c r="Z109" s="695"/>
      <c r="AA109" s="695"/>
      <c r="AB109" s="695"/>
      <c r="AC109" s="695"/>
      <c r="AD109" s="695"/>
      <c r="AE109" s="695"/>
      <c r="AF109" s="695"/>
      <c r="AG109" s="695"/>
      <c r="AH109" s="695"/>
      <c r="AI109" s="695"/>
      <c r="AJ109" s="695"/>
      <c r="AK109" s="695"/>
      <c r="AL109" s="696"/>
    </row>
    <row r="110" spans="1:48" x14ac:dyDescent="0.25">
      <c r="A110" s="328" t="s">
        <v>687</v>
      </c>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c r="X110" s="328"/>
      <c r="Y110" s="328"/>
      <c r="Z110" s="328"/>
      <c r="AA110" s="328"/>
      <c r="AB110" s="328"/>
      <c r="AC110" s="328"/>
      <c r="AD110" s="328"/>
      <c r="AE110" s="328"/>
      <c r="AF110" s="328"/>
      <c r="AG110" s="328"/>
      <c r="AH110" s="328"/>
      <c r="AI110" s="328"/>
      <c r="AJ110" s="328"/>
      <c r="AK110" s="328"/>
      <c r="AL110" s="328"/>
      <c r="AM110" s="119"/>
    </row>
    <row r="111" spans="1:48" ht="43.5" customHeight="1" x14ac:dyDescent="0.25">
      <c r="A111" s="391" t="s">
        <v>735</v>
      </c>
      <c r="B111" s="391"/>
      <c r="C111" s="391"/>
      <c r="D111" s="391"/>
      <c r="E111" s="391"/>
      <c r="F111" s="391"/>
      <c r="G111" s="391"/>
      <c r="H111" s="391"/>
      <c r="I111" s="391"/>
      <c r="J111" s="391"/>
      <c r="K111" s="391"/>
      <c r="L111" s="391"/>
      <c r="M111" s="391"/>
      <c r="N111" s="391"/>
      <c r="O111" s="391"/>
      <c r="P111" s="391"/>
      <c r="Q111" s="391"/>
      <c r="R111" s="391"/>
      <c r="S111" s="391"/>
      <c r="T111" s="391"/>
      <c r="U111" s="391"/>
      <c r="V111" s="391"/>
      <c r="W111" s="391"/>
      <c r="X111" s="391"/>
      <c r="Y111" s="391"/>
      <c r="Z111" s="391"/>
      <c r="AA111" s="391"/>
      <c r="AB111" s="391"/>
      <c r="AC111" s="391"/>
      <c r="AD111" s="391"/>
      <c r="AE111" s="391"/>
      <c r="AF111" s="391"/>
      <c r="AG111" s="391"/>
      <c r="AH111" s="391"/>
      <c r="AI111" s="391"/>
      <c r="AJ111" s="391"/>
      <c r="AK111" s="391"/>
      <c r="AL111" s="391"/>
      <c r="AM111" s="119"/>
    </row>
    <row r="112" spans="1:48" x14ac:dyDescent="0.25">
      <c r="A112" s="392" t="s">
        <v>736</v>
      </c>
      <c r="B112" s="392"/>
      <c r="C112" s="392"/>
      <c r="D112" s="392"/>
      <c r="E112" s="392"/>
      <c r="F112" s="392"/>
      <c r="G112" s="392"/>
      <c r="H112" s="392"/>
      <c r="I112" s="392"/>
      <c r="J112" s="392"/>
      <c r="K112" s="392"/>
      <c r="L112" s="392"/>
      <c r="M112" s="392"/>
      <c r="N112" s="392"/>
      <c r="O112" s="392"/>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c r="AK112" s="392"/>
      <c r="AL112" s="392"/>
      <c r="AM112" s="119"/>
    </row>
    <row r="113" spans="1:65" ht="61.2" customHeight="1" x14ac:dyDescent="0.25">
      <c r="A113" s="405" t="s">
        <v>924</v>
      </c>
      <c r="B113" s="668"/>
      <c r="C113" s="668"/>
      <c r="D113" s="668"/>
      <c r="E113" s="668"/>
      <c r="F113" s="668"/>
      <c r="G113" s="668"/>
      <c r="H113" s="668"/>
      <c r="I113" s="668"/>
      <c r="J113" s="668"/>
      <c r="K113" s="668"/>
      <c r="L113" s="668"/>
      <c r="M113" s="668"/>
      <c r="N113" s="668"/>
      <c r="O113" s="668"/>
      <c r="P113" s="668"/>
      <c r="Q113" s="668"/>
      <c r="R113" s="668"/>
      <c r="S113" s="668"/>
      <c r="T113" s="668"/>
      <c r="U113" s="668"/>
      <c r="V113" s="668"/>
      <c r="W113" s="668"/>
      <c r="X113" s="668"/>
      <c r="Y113" s="668"/>
      <c r="Z113" s="668"/>
      <c r="AA113" s="668"/>
      <c r="AB113" s="668"/>
      <c r="AC113" s="668"/>
      <c r="AD113" s="668"/>
      <c r="AE113" s="668"/>
      <c r="AF113" s="668"/>
      <c r="AG113" s="668"/>
      <c r="AH113" s="668"/>
      <c r="AI113" s="668"/>
      <c r="AJ113" s="668"/>
      <c r="AK113" s="668"/>
      <c r="AL113" s="669"/>
      <c r="AM113" s="119"/>
    </row>
    <row r="114" spans="1:65" ht="51.45" customHeight="1" x14ac:dyDescent="0.25">
      <c r="A114" s="618" t="s">
        <v>793</v>
      </c>
      <c r="B114" s="619"/>
      <c r="C114" s="619"/>
      <c r="D114" s="619"/>
      <c r="E114" s="619"/>
      <c r="F114" s="619"/>
      <c r="G114" s="619"/>
      <c r="H114" s="619"/>
      <c r="I114" s="619"/>
      <c r="J114" s="619"/>
      <c r="K114" s="619"/>
      <c r="L114" s="619"/>
      <c r="M114" s="619"/>
      <c r="N114" s="619"/>
      <c r="O114" s="619"/>
      <c r="P114" s="619"/>
      <c r="Q114" s="619"/>
      <c r="R114" s="619"/>
      <c r="S114" s="619"/>
      <c r="T114" s="619"/>
      <c r="U114" s="619"/>
      <c r="V114" s="619"/>
      <c r="W114" s="619"/>
      <c r="X114" s="619"/>
      <c r="Y114" s="619"/>
      <c r="Z114" s="619"/>
      <c r="AA114" s="619"/>
      <c r="AB114" s="619"/>
      <c r="AC114" s="619"/>
      <c r="AD114" s="619"/>
      <c r="AE114" s="619"/>
      <c r="AF114" s="619"/>
      <c r="AG114" s="619"/>
      <c r="AH114" s="619"/>
      <c r="AI114" s="619"/>
      <c r="AJ114" s="619"/>
      <c r="AK114" s="619"/>
      <c r="AL114" s="620"/>
      <c r="AM114" s="119"/>
    </row>
    <row r="115" spans="1:65" ht="55.5" customHeight="1" x14ac:dyDescent="0.25">
      <c r="A115" s="332" t="s">
        <v>738</v>
      </c>
      <c r="B115" s="332"/>
      <c r="C115" s="332"/>
      <c r="D115" s="332"/>
      <c r="E115" s="332"/>
      <c r="F115" s="332"/>
      <c r="G115" s="332"/>
      <c r="H115" s="332"/>
      <c r="I115" s="332"/>
      <c r="J115" s="332"/>
      <c r="K115" s="332"/>
      <c r="L115" s="332"/>
      <c r="M115" s="332"/>
      <c r="N115" s="332"/>
      <c r="O115" s="332"/>
      <c r="P115" s="332"/>
      <c r="Q115" s="332"/>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N115" s="116"/>
      <c r="AO115" s="116"/>
      <c r="AP115" s="116"/>
      <c r="AQ115" s="116"/>
      <c r="AR115" s="116"/>
      <c r="AS115" s="116"/>
      <c r="AT115" s="116"/>
    </row>
    <row r="116" spans="1:65" ht="46.95" customHeight="1" x14ac:dyDescent="0.25">
      <c r="A116" s="333" t="s">
        <v>739</v>
      </c>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row>
    <row r="117" spans="1:65" ht="45" customHeight="1" x14ac:dyDescent="0.25">
      <c r="A117" s="486" t="s">
        <v>849</v>
      </c>
      <c r="B117" s="487"/>
      <c r="C117" s="487"/>
      <c r="D117" s="487"/>
      <c r="E117" s="487"/>
      <c r="F117" s="487"/>
      <c r="G117" s="487"/>
      <c r="H117" s="487"/>
      <c r="I117" s="487"/>
      <c r="J117" s="487"/>
      <c r="K117" s="487"/>
      <c r="L117" s="487"/>
      <c r="M117" s="487"/>
      <c r="N117" s="487"/>
      <c r="O117" s="487"/>
      <c r="P117" s="487"/>
      <c r="Q117" s="487"/>
      <c r="R117" s="487"/>
      <c r="S117" s="487"/>
      <c r="T117" s="487"/>
      <c r="U117" s="487"/>
      <c r="V117" s="487"/>
      <c r="W117" s="487"/>
      <c r="X117" s="487"/>
      <c r="Y117" s="487"/>
      <c r="Z117" s="487"/>
      <c r="AA117" s="487"/>
      <c r="AB117" s="487"/>
      <c r="AC117" s="487"/>
      <c r="AD117" s="487"/>
      <c r="AE117" s="487"/>
      <c r="AF117" s="487"/>
      <c r="AG117" s="487"/>
      <c r="AH117" s="487"/>
      <c r="AI117" s="487"/>
      <c r="AJ117" s="487"/>
      <c r="AK117" s="487"/>
      <c r="AL117" s="487"/>
    </row>
    <row r="118" spans="1:65" ht="45" customHeight="1" x14ac:dyDescent="0.25">
      <c r="A118" s="308" t="s">
        <v>1109</v>
      </c>
      <c r="B118" s="332"/>
      <c r="C118" s="332"/>
      <c r="D118" s="332"/>
      <c r="E118" s="332"/>
      <c r="F118" s="332"/>
      <c r="G118" s="332"/>
      <c r="H118" s="332"/>
      <c r="I118" s="332"/>
      <c r="J118" s="332"/>
      <c r="K118" s="332"/>
      <c r="L118" s="332"/>
      <c r="M118" s="332"/>
      <c r="N118" s="332"/>
      <c r="O118" s="332"/>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row>
    <row r="119" spans="1:65" ht="48" customHeight="1" x14ac:dyDescent="0.25">
      <c r="A119" s="333" t="s">
        <v>742</v>
      </c>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row>
    <row r="120" spans="1:65" ht="48" customHeight="1" x14ac:dyDescent="0.25">
      <c r="A120" s="404" t="s">
        <v>929</v>
      </c>
      <c r="B120" s="404"/>
      <c r="C120" s="404"/>
      <c r="D120" s="404"/>
      <c r="E120" s="404"/>
      <c r="F120" s="404"/>
      <c r="G120" s="404"/>
      <c r="H120" s="404"/>
      <c r="I120" s="404"/>
      <c r="J120" s="404"/>
      <c r="K120" s="404"/>
      <c r="L120" s="404"/>
      <c r="M120" s="404"/>
      <c r="N120" s="404"/>
      <c r="O120" s="404"/>
      <c r="P120" s="404"/>
      <c r="Q120" s="404"/>
      <c r="R120" s="404"/>
      <c r="S120" s="404"/>
      <c r="T120" s="404"/>
      <c r="U120" s="404"/>
      <c r="V120" s="404"/>
      <c r="W120" s="404"/>
      <c r="X120" s="404"/>
      <c r="Y120" s="404"/>
      <c r="Z120" s="404"/>
      <c r="AA120" s="404"/>
      <c r="AB120" s="404"/>
      <c r="AC120" s="404"/>
      <c r="AD120" s="404"/>
      <c r="AE120" s="404"/>
      <c r="AF120" s="404"/>
      <c r="AG120" s="404"/>
      <c r="AH120" s="404"/>
      <c r="AI120" s="404"/>
      <c r="AJ120" s="404"/>
      <c r="AK120" s="404"/>
      <c r="AL120" s="404"/>
    </row>
    <row r="121" spans="1:65" ht="93" customHeight="1" x14ac:dyDescent="0.25">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row>
    <row r="122" spans="1:65" ht="159.44999999999999" customHeight="1" x14ac:dyDescent="0.3">
      <c r="A122" s="318" t="s">
        <v>1006</v>
      </c>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20"/>
      <c r="AJ122" s="321">
        <f>IF(A121=Słowniki!C$50,ROUNDDOWN(A105/(A105+A109),4),100%)</f>
        <v>1</v>
      </c>
      <c r="AK122" s="322"/>
      <c r="AL122" s="322"/>
    </row>
    <row r="123" spans="1:65" ht="78" customHeight="1" x14ac:dyDescent="0.25">
      <c r="A123" s="314" t="s">
        <v>1031</v>
      </c>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c r="AA123" s="315"/>
      <c r="AB123" s="315"/>
      <c r="AC123" s="315"/>
      <c r="AD123" s="315"/>
      <c r="AE123" s="315"/>
      <c r="AF123" s="315"/>
      <c r="AG123" s="315"/>
      <c r="AH123" s="315"/>
      <c r="AI123" s="315"/>
      <c r="AJ123" s="315"/>
      <c r="AK123" s="315"/>
      <c r="AL123" s="315"/>
    </row>
    <row r="124" spans="1:65" ht="82.95" customHeight="1" x14ac:dyDescent="0.25">
      <c r="A124" s="316"/>
      <c r="B124" s="317"/>
      <c r="C124" s="317"/>
      <c r="D124" s="317"/>
      <c r="E124" s="317"/>
      <c r="F124" s="317"/>
      <c r="G124" s="317"/>
      <c r="H124" s="317"/>
      <c r="I124" s="317"/>
      <c r="J124" s="317"/>
      <c r="K124" s="317"/>
      <c r="L124" s="317"/>
      <c r="M124" s="317"/>
      <c r="N124" s="317"/>
      <c r="O124" s="317"/>
      <c r="P124" s="317"/>
      <c r="Q124" s="317"/>
      <c r="R124" s="317"/>
      <c r="S124" s="317"/>
      <c r="T124" s="317"/>
      <c r="U124" s="317"/>
      <c r="V124" s="317"/>
      <c r="W124" s="317"/>
      <c r="X124" s="317"/>
      <c r="Y124" s="317"/>
      <c r="Z124" s="317"/>
      <c r="AA124" s="317"/>
      <c r="AB124" s="317"/>
      <c r="AC124" s="317"/>
      <c r="AD124" s="317"/>
      <c r="AE124" s="317"/>
      <c r="AF124" s="317"/>
      <c r="AG124" s="317"/>
      <c r="AH124" s="317"/>
      <c r="AI124" s="317"/>
      <c r="AJ124" s="317"/>
      <c r="AK124" s="317"/>
      <c r="AL124" s="317"/>
    </row>
    <row r="125" spans="1:65" ht="154.19999999999999" customHeight="1" x14ac:dyDescent="0.25">
      <c r="A125" s="308" t="s">
        <v>1110</v>
      </c>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c r="AH125" s="308"/>
      <c r="AI125" s="308"/>
      <c r="AJ125" s="308"/>
      <c r="AK125" s="308"/>
      <c r="AL125" s="308"/>
    </row>
    <row r="126" spans="1:65" ht="83.7" customHeight="1" x14ac:dyDescent="0.25">
      <c r="A126" s="135" t="s">
        <v>127</v>
      </c>
      <c r="B126" s="311" t="s">
        <v>812</v>
      </c>
      <c r="C126" s="312"/>
      <c r="D126" s="312"/>
      <c r="E126" s="312"/>
      <c r="F126" s="313"/>
      <c r="G126" s="325" t="s">
        <v>813</v>
      </c>
      <c r="H126" s="325"/>
      <c r="I126" s="325"/>
      <c r="J126" s="325"/>
      <c r="K126" s="325"/>
      <c r="L126" s="311" t="s">
        <v>819</v>
      </c>
      <c r="M126" s="312"/>
      <c r="N126" s="312"/>
      <c r="O126" s="313"/>
      <c r="P126" s="311" t="s">
        <v>185</v>
      </c>
      <c r="Q126" s="312"/>
      <c r="R126" s="312"/>
      <c r="S126" s="312"/>
      <c r="T126" s="312"/>
      <c r="U126" s="312"/>
      <c r="V126" s="313"/>
      <c r="W126" s="311" t="s">
        <v>184</v>
      </c>
      <c r="X126" s="312"/>
      <c r="Y126" s="312"/>
      <c r="Z126" s="313"/>
      <c r="AA126" s="311" t="s">
        <v>820</v>
      </c>
      <c r="AB126" s="312"/>
      <c r="AC126" s="312"/>
      <c r="AD126" s="312"/>
      <c r="AE126" s="312"/>
      <c r="AF126" s="312"/>
      <c r="AG126" s="313"/>
      <c r="AH126" s="311" t="s">
        <v>179</v>
      </c>
      <c r="AI126" s="312"/>
      <c r="AJ126" s="313"/>
      <c r="AK126" s="311" t="s">
        <v>186</v>
      </c>
      <c r="AL126" s="313"/>
      <c r="AM126" s="137" t="s">
        <v>221</v>
      </c>
      <c r="AN126" s="61"/>
      <c r="AO126" s="61"/>
    </row>
    <row r="127" spans="1:65" s="86" customFormat="1" ht="19.2" customHeight="1" x14ac:dyDescent="0.25">
      <c r="A127" s="135">
        <v>1</v>
      </c>
      <c r="B127" s="325">
        <v>2</v>
      </c>
      <c r="C127" s="325"/>
      <c r="D127" s="325"/>
      <c r="E127" s="325"/>
      <c r="F127" s="325"/>
      <c r="G127" s="325">
        <v>3</v>
      </c>
      <c r="H127" s="325"/>
      <c r="I127" s="325"/>
      <c r="J127" s="325"/>
      <c r="K127" s="325"/>
      <c r="L127" s="325">
        <v>4</v>
      </c>
      <c r="M127" s="325"/>
      <c r="N127" s="325"/>
      <c r="O127" s="325"/>
      <c r="P127" s="325">
        <v>5</v>
      </c>
      <c r="Q127" s="325"/>
      <c r="R127" s="325"/>
      <c r="S127" s="325"/>
      <c r="T127" s="325"/>
      <c r="U127" s="325"/>
      <c r="V127" s="325"/>
      <c r="W127" s="325">
        <v>6</v>
      </c>
      <c r="X127" s="325"/>
      <c r="Y127" s="325"/>
      <c r="Z127" s="325"/>
      <c r="AA127" s="311" t="s">
        <v>823</v>
      </c>
      <c r="AB127" s="312"/>
      <c r="AC127" s="312"/>
      <c r="AD127" s="312"/>
      <c r="AE127" s="312"/>
      <c r="AF127" s="312"/>
      <c r="AG127" s="313"/>
      <c r="AH127" s="311">
        <v>8</v>
      </c>
      <c r="AI127" s="312"/>
      <c r="AJ127" s="313"/>
      <c r="AK127" s="311" t="s">
        <v>666</v>
      </c>
      <c r="AL127" s="313"/>
      <c r="AM127" s="137"/>
      <c r="AN127" s="61"/>
      <c r="AO127" s="61"/>
      <c r="AP127" s="60"/>
      <c r="AQ127" s="60"/>
      <c r="AR127" s="60"/>
      <c r="AS127" s="60"/>
      <c r="AT127" s="60"/>
      <c r="AU127" s="116"/>
      <c r="AV127" s="116"/>
      <c r="AW127" s="116"/>
      <c r="AX127" s="116"/>
      <c r="AY127" s="116"/>
      <c r="AZ127" s="116"/>
      <c r="BA127" s="116"/>
      <c r="BB127" s="116"/>
      <c r="BC127" s="116"/>
      <c r="BD127" s="116"/>
      <c r="BE127" s="116"/>
      <c r="BF127" s="116"/>
      <c r="BG127" s="116"/>
      <c r="BH127" s="116"/>
      <c r="BI127" s="116"/>
      <c r="BJ127" s="116"/>
      <c r="BK127" s="116"/>
      <c r="BL127" s="116"/>
      <c r="BM127" s="116"/>
    </row>
    <row r="128" spans="1:65" s="224" customFormat="1" ht="42.45" customHeight="1" x14ac:dyDescent="0.25">
      <c r="A128" s="220">
        <v>1</v>
      </c>
      <c r="B128" s="467"/>
      <c r="C128" s="468"/>
      <c r="D128" s="468"/>
      <c r="E128" s="468"/>
      <c r="F128" s="469"/>
      <c r="G128" s="470"/>
      <c r="H128" s="471"/>
      <c r="I128" s="471"/>
      <c r="J128" s="471"/>
      <c r="K128" s="471"/>
      <c r="L128" s="470"/>
      <c r="M128" s="471"/>
      <c r="N128" s="471"/>
      <c r="O128" s="471"/>
      <c r="P128" s="677"/>
      <c r="Q128" s="678"/>
      <c r="R128" s="678"/>
      <c r="S128" s="678"/>
      <c r="T128" s="678"/>
      <c r="U128" s="678"/>
      <c r="V128" s="679"/>
      <c r="W128" s="475">
        <f>IF(OR(B128=Słowniki!A$46,B128=Słowniki!A$56,B128=Słowniki!A$58,B128=Słowniki!A$59),0.08,0.23)</f>
        <v>0.23</v>
      </c>
      <c r="X128" s="476"/>
      <c r="Y128" s="476"/>
      <c r="Z128" s="476"/>
      <c r="AA128" s="462">
        <f>P128+ROUNDDOWN(P128*W128,2)</f>
        <v>0</v>
      </c>
      <c r="AB128" s="462"/>
      <c r="AC128" s="462"/>
      <c r="AD128" s="462"/>
      <c r="AE128" s="462"/>
      <c r="AF128" s="462"/>
      <c r="AG128" s="462"/>
      <c r="AH128" s="329">
        <f>AJ$122</f>
        <v>1</v>
      </c>
      <c r="AI128" s="330"/>
      <c r="AJ128" s="331"/>
      <c r="AK128" s="291">
        <f>ROUND(AA128*AH128,2)</f>
        <v>0</v>
      </c>
      <c r="AL128" s="293"/>
      <c r="AM128" s="221"/>
      <c r="AN128" s="221"/>
      <c r="AO128" s="222"/>
      <c r="AP128" s="223"/>
      <c r="AQ128" s="223"/>
      <c r="AR128" s="223"/>
      <c r="AS128" s="223"/>
      <c r="AT128" s="223"/>
      <c r="AU128" s="223"/>
      <c r="AV128" s="223"/>
      <c r="AW128" s="223"/>
      <c r="AX128" s="223"/>
      <c r="AY128" s="223"/>
      <c r="AZ128" s="223"/>
      <c r="BA128" s="223"/>
      <c r="BB128" s="223"/>
      <c r="BC128" s="223"/>
      <c r="BD128" s="223"/>
      <c r="BE128" s="223"/>
      <c r="BF128" s="223"/>
      <c r="BG128" s="223"/>
      <c r="BH128" s="223"/>
      <c r="BI128" s="223"/>
      <c r="BJ128" s="223"/>
      <c r="BK128" s="223"/>
      <c r="BL128" s="223"/>
      <c r="BM128" s="223"/>
    </row>
    <row r="129" spans="1:65" s="224" customFormat="1" ht="43.2" customHeight="1" x14ac:dyDescent="0.25">
      <c r="A129" s="220">
        <v>2</v>
      </c>
      <c r="B129" s="467"/>
      <c r="C129" s="468"/>
      <c r="D129" s="468"/>
      <c r="E129" s="468"/>
      <c r="F129" s="469"/>
      <c r="G129" s="470"/>
      <c r="H129" s="471"/>
      <c r="I129" s="471"/>
      <c r="J129" s="471"/>
      <c r="K129" s="471"/>
      <c r="L129" s="470"/>
      <c r="M129" s="471"/>
      <c r="N129" s="471"/>
      <c r="O129" s="471"/>
      <c r="P129" s="677"/>
      <c r="Q129" s="678"/>
      <c r="R129" s="678"/>
      <c r="S129" s="678"/>
      <c r="T129" s="678"/>
      <c r="U129" s="678"/>
      <c r="V129" s="679"/>
      <c r="W129" s="475">
        <f>IF(OR(B129=Słowniki!A$46,B129=Słowniki!A$56,B129=Słowniki!A$58,B129=Słowniki!A$59),0.08,0.23)</f>
        <v>0.23</v>
      </c>
      <c r="X129" s="476"/>
      <c r="Y129" s="476"/>
      <c r="Z129" s="476"/>
      <c r="AA129" s="462">
        <f>P129+ROUNDDOWN(P129*W129,2)</f>
        <v>0</v>
      </c>
      <c r="AB129" s="462"/>
      <c r="AC129" s="462"/>
      <c r="AD129" s="462"/>
      <c r="AE129" s="462"/>
      <c r="AF129" s="462"/>
      <c r="AG129" s="462"/>
      <c r="AH129" s="329">
        <f t="shared" ref="AH129:AH149" si="0">AJ$122</f>
        <v>1</v>
      </c>
      <c r="AI129" s="330"/>
      <c r="AJ129" s="331"/>
      <c r="AK129" s="291">
        <f t="shared" ref="AK129:AK149" si="1">ROUND(AA129*AH129,2)</f>
        <v>0</v>
      </c>
      <c r="AL129" s="293"/>
      <c r="AM129" s="221"/>
      <c r="AN129" s="221"/>
      <c r="AO129" s="222"/>
      <c r="AP129" s="223"/>
      <c r="AQ129" s="223"/>
      <c r="AR129" s="223"/>
      <c r="AS129" s="223"/>
      <c r="AT129" s="223"/>
      <c r="AU129" s="223"/>
      <c r="AV129" s="223"/>
      <c r="AW129" s="223"/>
      <c r="AX129" s="223"/>
      <c r="AY129" s="223"/>
      <c r="AZ129" s="223"/>
      <c r="BA129" s="223"/>
      <c r="BB129" s="223"/>
      <c r="BC129" s="223"/>
      <c r="BD129" s="223"/>
      <c r="BE129" s="223"/>
      <c r="BF129" s="223"/>
      <c r="BG129" s="223"/>
      <c r="BH129" s="223"/>
      <c r="BI129" s="223"/>
      <c r="BJ129" s="223"/>
      <c r="BK129" s="223"/>
      <c r="BL129" s="223"/>
      <c r="BM129" s="223"/>
    </row>
    <row r="130" spans="1:65" s="224" customFormat="1" ht="43.2" customHeight="1" x14ac:dyDescent="0.25">
      <c r="A130" s="220">
        <v>3</v>
      </c>
      <c r="B130" s="467"/>
      <c r="C130" s="468"/>
      <c r="D130" s="468"/>
      <c r="E130" s="468"/>
      <c r="F130" s="469"/>
      <c r="G130" s="470"/>
      <c r="H130" s="471"/>
      <c r="I130" s="471"/>
      <c r="J130" s="471"/>
      <c r="K130" s="471"/>
      <c r="L130" s="470"/>
      <c r="M130" s="471"/>
      <c r="N130" s="471"/>
      <c r="O130" s="471"/>
      <c r="P130" s="677"/>
      <c r="Q130" s="678"/>
      <c r="R130" s="678"/>
      <c r="S130" s="678"/>
      <c r="T130" s="678"/>
      <c r="U130" s="678"/>
      <c r="V130" s="679"/>
      <c r="W130" s="475">
        <f>IF(OR(B130=Słowniki!A$46,B130=Słowniki!A$56,B130=Słowniki!A$58,B130=Słowniki!A$59),0.08,0.23)</f>
        <v>0.23</v>
      </c>
      <c r="X130" s="476"/>
      <c r="Y130" s="476"/>
      <c r="Z130" s="476"/>
      <c r="AA130" s="462">
        <f t="shared" ref="AA130:AA149" si="2">P130+ROUNDDOWN(P130*W130,2)</f>
        <v>0</v>
      </c>
      <c r="AB130" s="462"/>
      <c r="AC130" s="462"/>
      <c r="AD130" s="462"/>
      <c r="AE130" s="462"/>
      <c r="AF130" s="462"/>
      <c r="AG130" s="462"/>
      <c r="AH130" s="329">
        <f t="shared" si="0"/>
        <v>1</v>
      </c>
      <c r="AI130" s="330"/>
      <c r="AJ130" s="331"/>
      <c r="AK130" s="291">
        <f t="shared" si="1"/>
        <v>0</v>
      </c>
      <c r="AL130" s="293"/>
      <c r="AM130" s="221"/>
      <c r="AN130" s="221"/>
      <c r="AO130" s="222"/>
      <c r="AP130" s="223"/>
      <c r="AQ130" s="223"/>
      <c r="AR130" s="223"/>
      <c r="AS130" s="223"/>
      <c r="AT130" s="223"/>
      <c r="AU130" s="223"/>
      <c r="AV130" s="223"/>
      <c r="AW130" s="223"/>
      <c r="AX130" s="223"/>
      <c r="AY130" s="223"/>
      <c r="AZ130" s="223"/>
      <c r="BA130" s="223"/>
      <c r="BB130" s="223"/>
      <c r="BC130" s="223"/>
      <c r="BD130" s="223"/>
      <c r="BE130" s="223"/>
      <c r="BF130" s="223"/>
      <c r="BG130" s="223"/>
      <c r="BH130" s="223"/>
      <c r="BI130" s="223"/>
      <c r="BJ130" s="223"/>
      <c r="BK130" s="223"/>
      <c r="BL130" s="223"/>
      <c r="BM130" s="223"/>
    </row>
    <row r="131" spans="1:65" s="224" customFormat="1" ht="43.2" customHeight="1" x14ac:dyDescent="0.25">
      <c r="A131" s="220">
        <v>4</v>
      </c>
      <c r="B131" s="467"/>
      <c r="C131" s="468"/>
      <c r="D131" s="468"/>
      <c r="E131" s="468"/>
      <c r="F131" s="469"/>
      <c r="G131" s="470"/>
      <c r="H131" s="471"/>
      <c r="I131" s="471"/>
      <c r="J131" s="471"/>
      <c r="K131" s="471"/>
      <c r="L131" s="470"/>
      <c r="M131" s="471"/>
      <c r="N131" s="471"/>
      <c r="O131" s="471"/>
      <c r="P131" s="677"/>
      <c r="Q131" s="678"/>
      <c r="R131" s="678"/>
      <c r="S131" s="678"/>
      <c r="T131" s="678"/>
      <c r="U131" s="678"/>
      <c r="V131" s="679"/>
      <c r="W131" s="475">
        <f>IF(OR(B131=Słowniki!A$46,B131=Słowniki!A$56,B131=Słowniki!A$58,B131=Słowniki!A$59),0.08,0.23)</f>
        <v>0.23</v>
      </c>
      <c r="X131" s="476"/>
      <c r="Y131" s="476"/>
      <c r="Z131" s="476"/>
      <c r="AA131" s="462">
        <f t="shared" si="2"/>
        <v>0</v>
      </c>
      <c r="AB131" s="462"/>
      <c r="AC131" s="462"/>
      <c r="AD131" s="462"/>
      <c r="AE131" s="462"/>
      <c r="AF131" s="462"/>
      <c r="AG131" s="462"/>
      <c r="AH131" s="329">
        <f t="shared" si="0"/>
        <v>1</v>
      </c>
      <c r="AI131" s="330"/>
      <c r="AJ131" s="331"/>
      <c r="AK131" s="291">
        <f t="shared" si="1"/>
        <v>0</v>
      </c>
      <c r="AL131" s="293"/>
      <c r="AM131" s="221"/>
      <c r="AN131" s="221"/>
      <c r="AO131" s="222"/>
      <c r="AP131" s="223"/>
      <c r="AQ131" s="223"/>
      <c r="AR131" s="223"/>
      <c r="AS131" s="223"/>
      <c r="AT131" s="223"/>
      <c r="AU131" s="223"/>
      <c r="AV131" s="223"/>
      <c r="AW131" s="223"/>
      <c r="AX131" s="223"/>
      <c r="AY131" s="223"/>
      <c r="AZ131" s="223"/>
      <c r="BA131" s="223"/>
      <c r="BB131" s="223"/>
      <c r="BC131" s="223"/>
      <c r="BD131" s="223"/>
      <c r="BE131" s="223"/>
      <c r="BF131" s="223"/>
      <c r="BG131" s="223"/>
      <c r="BH131" s="223"/>
      <c r="BI131" s="223"/>
      <c r="BJ131" s="223"/>
      <c r="BK131" s="223"/>
      <c r="BL131" s="223"/>
      <c r="BM131" s="223"/>
    </row>
    <row r="132" spans="1:65" s="224" customFormat="1" ht="43.2" customHeight="1" x14ac:dyDescent="0.25">
      <c r="A132" s="220">
        <v>5</v>
      </c>
      <c r="B132" s="467"/>
      <c r="C132" s="468"/>
      <c r="D132" s="468"/>
      <c r="E132" s="468"/>
      <c r="F132" s="469"/>
      <c r="G132" s="470"/>
      <c r="H132" s="471"/>
      <c r="I132" s="471"/>
      <c r="J132" s="471"/>
      <c r="K132" s="471"/>
      <c r="L132" s="470"/>
      <c r="M132" s="471"/>
      <c r="N132" s="471"/>
      <c r="O132" s="471"/>
      <c r="P132" s="677"/>
      <c r="Q132" s="678"/>
      <c r="R132" s="678"/>
      <c r="S132" s="678"/>
      <c r="T132" s="678"/>
      <c r="U132" s="678"/>
      <c r="V132" s="679"/>
      <c r="W132" s="475">
        <f>IF(OR(B132=Słowniki!A$46,B132=Słowniki!A$56,B132=Słowniki!A$58,B132=Słowniki!A$59),0.08,0.23)</f>
        <v>0.23</v>
      </c>
      <c r="X132" s="476"/>
      <c r="Y132" s="476"/>
      <c r="Z132" s="476"/>
      <c r="AA132" s="462">
        <f t="shared" si="2"/>
        <v>0</v>
      </c>
      <c r="AB132" s="462"/>
      <c r="AC132" s="462"/>
      <c r="AD132" s="462"/>
      <c r="AE132" s="462"/>
      <c r="AF132" s="462"/>
      <c r="AG132" s="462"/>
      <c r="AH132" s="329">
        <f t="shared" si="0"/>
        <v>1</v>
      </c>
      <c r="AI132" s="330"/>
      <c r="AJ132" s="331"/>
      <c r="AK132" s="291">
        <f t="shared" si="1"/>
        <v>0</v>
      </c>
      <c r="AL132" s="293"/>
      <c r="AM132" s="221"/>
      <c r="AN132" s="221"/>
      <c r="AO132" s="222"/>
      <c r="AP132" s="223"/>
      <c r="AQ132" s="223"/>
      <c r="AR132" s="223"/>
      <c r="AS132" s="223"/>
      <c r="AT132" s="223"/>
      <c r="AU132" s="223"/>
      <c r="AV132" s="223"/>
      <c r="AW132" s="223"/>
      <c r="AX132" s="223"/>
      <c r="AY132" s="223"/>
      <c r="AZ132" s="223"/>
      <c r="BA132" s="223"/>
      <c r="BB132" s="223"/>
      <c r="BC132" s="223"/>
      <c r="BD132" s="223"/>
      <c r="BE132" s="223"/>
      <c r="BF132" s="223"/>
      <c r="BG132" s="223"/>
      <c r="BH132" s="223"/>
      <c r="BI132" s="223"/>
      <c r="BJ132" s="223"/>
      <c r="BK132" s="223"/>
      <c r="BL132" s="223"/>
      <c r="BM132" s="223"/>
    </row>
    <row r="133" spans="1:65" s="224" customFormat="1" ht="43.2" customHeight="1" x14ac:dyDescent="0.25">
      <c r="A133" s="220">
        <v>6</v>
      </c>
      <c r="B133" s="467"/>
      <c r="C133" s="468"/>
      <c r="D133" s="468"/>
      <c r="E133" s="468"/>
      <c r="F133" s="469"/>
      <c r="G133" s="470"/>
      <c r="H133" s="471"/>
      <c r="I133" s="471"/>
      <c r="J133" s="471"/>
      <c r="K133" s="471"/>
      <c r="L133" s="470"/>
      <c r="M133" s="471"/>
      <c r="N133" s="471"/>
      <c r="O133" s="471"/>
      <c r="P133" s="677"/>
      <c r="Q133" s="678"/>
      <c r="R133" s="678"/>
      <c r="S133" s="678"/>
      <c r="T133" s="678"/>
      <c r="U133" s="678"/>
      <c r="V133" s="679"/>
      <c r="W133" s="475">
        <f>IF(OR(B133=Słowniki!A$46,B133=Słowniki!A$56,B133=Słowniki!A$58,B133=Słowniki!A$59),0.08,0.23)</f>
        <v>0.23</v>
      </c>
      <c r="X133" s="476"/>
      <c r="Y133" s="476"/>
      <c r="Z133" s="476"/>
      <c r="AA133" s="462">
        <f t="shared" si="2"/>
        <v>0</v>
      </c>
      <c r="AB133" s="462"/>
      <c r="AC133" s="462"/>
      <c r="AD133" s="462"/>
      <c r="AE133" s="462"/>
      <c r="AF133" s="462"/>
      <c r="AG133" s="462"/>
      <c r="AH133" s="329">
        <f t="shared" si="0"/>
        <v>1</v>
      </c>
      <c r="AI133" s="330"/>
      <c r="AJ133" s="331"/>
      <c r="AK133" s="291">
        <f t="shared" si="1"/>
        <v>0</v>
      </c>
      <c r="AL133" s="293"/>
      <c r="AM133" s="221"/>
      <c r="AN133" s="221"/>
      <c r="AO133" s="222"/>
      <c r="AP133" s="223"/>
      <c r="AQ133" s="223"/>
      <c r="AR133" s="223"/>
      <c r="AS133" s="223"/>
      <c r="AT133" s="223"/>
      <c r="AU133" s="223"/>
      <c r="AV133" s="223"/>
      <c r="AW133" s="223"/>
      <c r="AX133" s="223"/>
      <c r="AY133" s="223"/>
      <c r="AZ133" s="223"/>
      <c r="BA133" s="223"/>
      <c r="BB133" s="223"/>
      <c r="BC133" s="223"/>
      <c r="BD133" s="223"/>
      <c r="BE133" s="223"/>
      <c r="BF133" s="223"/>
      <c r="BG133" s="223"/>
      <c r="BH133" s="223"/>
      <c r="BI133" s="223"/>
      <c r="BJ133" s="223"/>
      <c r="BK133" s="223"/>
      <c r="BL133" s="223"/>
      <c r="BM133" s="223"/>
    </row>
    <row r="134" spans="1:65" s="224" customFormat="1" ht="43.2" customHeight="1" x14ac:dyDescent="0.25">
      <c r="A134" s="220">
        <v>7</v>
      </c>
      <c r="B134" s="467"/>
      <c r="C134" s="468"/>
      <c r="D134" s="468"/>
      <c r="E134" s="468"/>
      <c r="F134" s="469"/>
      <c r="G134" s="470"/>
      <c r="H134" s="471"/>
      <c r="I134" s="471"/>
      <c r="J134" s="471"/>
      <c r="K134" s="471"/>
      <c r="L134" s="470"/>
      <c r="M134" s="471"/>
      <c r="N134" s="471"/>
      <c r="O134" s="471"/>
      <c r="P134" s="677"/>
      <c r="Q134" s="678"/>
      <c r="R134" s="678"/>
      <c r="S134" s="678"/>
      <c r="T134" s="678"/>
      <c r="U134" s="678"/>
      <c r="V134" s="679"/>
      <c r="W134" s="475">
        <f>IF(OR(B134=Słowniki!A$46,B134=Słowniki!A$56,B134=Słowniki!A$58,B134=Słowniki!A$59),0.08,0.23)</f>
        <v>0.23</v>
      </c>
      <c r="X134" s="476"/>
      <c r="Y134" s="476"/>
      <c r="Z134" s="476"/>
      <c r="AA134" s="462">
        <f t="shared" si="2"/>
        <v>0</v>
      </c>
      <c r="AB134" s="462"/>
      <c r="AC134" s="462"/>
      <c r="AD134" s="462"/>
      <c r="AE134" s="462"/>
      <c r="AF134" s="462"/>
      <c r="AG134" s="462"/>
      <c r="AH134" s="329">
        <f t="shared" si="0"/>
        <v>1</v>
      </c>
      <c r="AI134" s="330"/>
      <c r="AJ134" s="331"/>
      <c r="AK134" s="291">
        <f t="shared" si="1"/>
        <v>0</v>
      </c>
      <c r="AL134" s="293"/>
      <c r="AM134" s="221"/>
      <c r="AN134" s="221"/>
      <c r="AO134" s="222"/>
      <c r="AP134" s="223"/>
      <c r="AQ134" s="223"/>
      <c r="AR134" s="223"/>
      <c r="AS134" s="223"/>
      <c r="AT134" s="223"/>
      <c r="AU134" s="223"/>
      <c r="AV134" s="223"/>
      <c r="AW134" s="223"/>
      <c r="AX134" s="223"/>
      <c r="AY134" s="223"/>
      <c r="AZ134" s="223"/>
      <c r="BA134" s="223"/>
      <c r="BB134" s="223"/>
      <c r="BC134" s="223"/>
      <c r="BD134" s="223"/>
      <c r="BE134" s="223"/>
      <c r="BF134" s="223"/>
      <c r="BG134" s="223"/>
      <c r="BH134" s="223"/>
      <c r="BI134" s="223"/>
      <c r="BJ134" s="223"/>
      <c r="BK134" s="223"/>
      <c r="BL134" s="223"/>
      <c r="BM134" s="223"/>
    </row>
    <row r="135" spans="1:65" s="223" customFormat="1" ht="43.2" customHeight="1" x14ac:dyDescent="0.25">
      <c r="A135" s="220">
        <v>8</v>
      </c>
      <c r="B135" s="467"/>
      <c r="C135" s="468"/>
      <c r="D135" s="468"/>
      <c r="E135" s="468"/>
      <c r="F135" s="469"/>
      <c r="G135" s="470"/>
      <c r="H135" s="471"/>
      <c r="I135" s="471"/>
      <c r="J135" s="471"/>
      <c r="K135" s="471"/>
      <c r="L135" s="470"/>
      <c r="M135" s="471"/>
      <c r="N135" s="471"/>
      <c r="O135" s="471"/>
      <c r="P135" s="677"/>
      <c r="Q135" s="678"/>
      <c r="R135" s="678"/>
      <c r="S135" s="678"/>
      <c r="T135" s="678"/>
      <c r="U135" s="678"/>
      <c r="V135" s="679"/>
      <c r="W135" s="475">
        <f>IF(OR(B135=Słowniki!A$46,B135=Słowniki!A$56,B135=Słowniki!A$58,B135=Słowniki!A$59),0.08,0.23)</f>
        <v>0.23</v>
      </c>
      <c r="X135" s="476"/>
      <c r="Y135" s="476"/>
      <c r="Z135" s="476"/>
      <c r="AA135" s="462">
        <f t="shared" si="2"/>
        <v>0</v>
      </c>
      <c r="AB135" s="462"/>
      <c r="AC135" s="462"/>
      <c r="AD135" s="462"/>
      <c r="AE135" s="462"/>
      <c r="AF135" s="462"/>
      <c r="AG135" s="462"/>
      <c r="AH135" s="329">
        <f t="shared" si="0"/>
        <v>1</v>
      </c>
      <c r="AI135" s="330"/>
      <c r="AJ135" s="331"/>
      <c r="AK135" s="291">
        <f t="shared" si="1"/>
        <v>0</v>
      </c>
      <c r="AL135" s="293"/>
      <c r="AM135" s="221"/>
      <c r="AN135" s="221"/>
      <c r="AO135" s="222"/>
    </row>
    <row r="136" spans="1:65" s="223" customFormat="1" ht="43.2" customHeight="1" x14ac:dyDescent="0.25">
      <c r="A136" s="220">
        <v>9</v>
      </c>
      <c r="B136" s="467"/>
      <c r="C136" s="468"/>
      <c r="D136" s="468"/>
      <c r="E136" s="468"/>
      <c r="F136" s="469"/>
      <c r="G136" s="470"/>
      <c r="H136" s="471"/>
      <c r="I136" s="471"/>
      <c r="J136" s="471"/>
      <c r="K136" s="471"/>
      <c r="L136" s="470"/>
      <c r="M136" s="471"/>
      <c r="N136" s="471"/>
      <c r="O136" s="471"/>
      <c r="P136" s="677"/>
      <c r="Q136" s="678"/>
      <c r="R136" s="678"/>
      <c r="S136" s="678"/>
      <c r="T136" s="678"/>
      <c r="U136" s="678"/>
      <c r="V136" s="679"/>
      <c r="W136" s="475">
        <f>IF(OR(B136=Słowniki!A$46,B136=Słowniki!A$56,B136=Słowniki!A$58,B136=Słowniki!A$59),0.08,0.23)</f>
        <v>0.23</v>
      </c>
      <c r="X136" s="476"/>
      <c r="Y136" s="476"/>
      <c r="Z136" s="476"/>
      <c r="AA136" s="462">
        <f t="shared" si="2"/>
        <v>0</v>
      </c>
      <c r="AB136" s="462"/>
      <c r="AC136" s="462"/>
      <c r="AD136" s="462"/>
      <c r="AE136" s="462"/>
      <c r="AF136" s="462"/>
      <c r="AG136" s="462"/>
      <c r="AH136" s="329">
        <f t="shared" si="0"/>
        <v>1</v>
      </c>
      <c r="AI136" s="330"/>
      <c r="AJ136" s="331"/>
      <c r="AK136" s="291">
        <f t="shared" si="1"/>
        <v>0</v>
      </c>
      <c r="AL136" s="293"/>
      <c r="AM136" s="221"/>
      <c r="AN136" s="221"/>
      <c r="AO136" s="222"/>
    </row>
    <row r="137" spans="1:65" s="223" customFormat="1" ht="43.2" customHeight="1" x14ac:dyDescent="0.25">
      <c r="A137" s="220">
        <v>10</v>
      </c>
      <c r="B137" s="467"/>
      <c r="C137" s="468"/>
      <c r="D137" s="468"/>
      <c r="E137" s="468"/>
      <c r="F137" s="469"/>
      <c r="G137" s="470"/>
      <c r="H137" s="471"/>
      <c r="I137" s="471"/>
      <c r="J137" s="471"/>
      <c r="K137" s="471"/>
      <c r="L137" s="470"/>
      <c r="M137" s="471"/>
      <c r="N137" s="471"/>
      <c r="O137" s="471"/>
      <c r="P137" s="677"/>
      <c r="Q137" s="678"/>
      <c r="R137" s="678"/>
      <c r="S137" s="678"/>
      <c r="T137" s="678"/>
      <c r="U137" s="678"/>
      <c r="V137" s="679"/>
      <c r="W137" s="475">
        <f>IF(OR(B137=Słowniki!A$46,B137=Słowniki!A$56,B137=Słowniki!A$58,B137=Słowniki!A$59),0.08,0.23)</f>
        <v>0.23</v>
      </c>
      <c r="X137" s="476"/>
      <c r="Y137" s="476"/>
      <c r="Z137" s="476"/>
      <c r="AA137" s="462">
        <f t="shared" si="2"/>
        <v>0</v>
      </c>
      <c r="AB137" s="462"/>
      <c r="AC137" s="462"/>
      <c r="AD137" s="462"/>
      <c r="AE137" s="462"/>
      <c r="AF137" s="462"/>
      <c r="AG137" s="462"/>
      <c r="AH137" s="329">
        <f t="shared" si="0"/>
        <v>1</v>
      </c>
      <c r="AI137" s="330"/>
      <c r="AJ137" s="331"/>
      <c r="AK137" s="291">
        <f t="shared" si="1"/>
        <v>0</v>
      </c>
      <c r="AL137" s="293"/>
      <c r="AM137" s="221"/>
      <c r="AN137" s="221"/>
      <c r="AO137" s="222"/>
    </row>
    <row r="138" spans="1:65" s="223" customFormat="1" ht="43.2" customHeight="1" x14ac:dyDescent="0.25">
      <c r="A138" s="220">
        <v>11</v>
      </c>
      <c r="B138" s="467"/>
      <c r="C138" s="468"/>
      <c r="D138" s="468"/>
      <c r="E138" s="468"/>
      <c r="F138" s="469"/>
      <c r="G138" s="470"/>
      <c r="H138" s="471"/>
      <c r="I138" s="471"/>
      <c r="J138" s="471"/>
      <c r="K138" s="471"/>
      <c r="L138" s="470"/>
      <c r="M138" s="471"/>
      <c r="N138" s="471"/>
      <c r="O138" s="471"/>
      <c r="P138" s="677"/>
      <c r="Q138" s="678"/>
      <c r="R138" s="678"/>
      <c r="S138" s="678"/>
      <c r="T138" s="678"/>
      <c r="U138" s="678"/>
      <c r="V138" s="679"/>
      <c r="W138" s="475">
        <f>IF(OR(B138=Słowniki!A$46,B138=Słowniki!A$56,B138=Słowniki!A$58,B138=Słowniki!A$59),0.08,0.23)</f>
        <v>0.23</v>
      </c>
      <c r="X138" s="476"/>
      <c r="Y138" s="476"/>
      <c r="Z138" s="476"/>
      <c r="AA138" s="462">
        <f t="shared" si="2"/>
        <v>0</v>
      </c>
      <c r="AB138" s="462"/>
      <c r="AC138" s="462"/>
      <c r="AD138" s="462"/>
      <c r="AE138" s="462"/>
      <c r="AF138" s="462"/>
      <c r="AG138" s="462"/>
      <c r="AH138" s="329">
        <f t="shared" si="0"/>
        <v>1</v>
      </c>
      <c r="AI138" s="330"/>
      <c r="AJ138" s="331"/>
      <c r="AK138" s="291">
        <f t="shared" si="1"/>
        <v>0</v>
      </c>
      <c r="AL138" s="293"/>
      <c r="AM138" s="221"/>
      <c r="AN138" s="221"/>
      <c r="AO138" s="222"/>
    </row>
    <row r="139" spans="1:65" s="223" customFormat="1" ht="43.2" customHeight="1" x14ac:dyDescent="0.25">
      <c r="A139" s="220">
        <v>12</v>
      </c>
      <c r="B139" s="467"/>
      <c r="C139" s="468"/>
      <c r="D139" s="468"/>
      <c r="E139" s="468"/>
      <c r="F139" s="469"/>
      <c r="G139" s="470"/>
      <c r="H139" s="471"/>
      <c r="I139" s="471"/>
      <c r="J139" s="471"/>
      <c r="K139" s="471"/>
      <c r="L139" s="470"/>
      <c r="M139" s="471"/>
      <c r="N139" s="471"/>
      <c r="O139" s="471"/>
      <c r="P139" s="677"/>
      <c r="Q139" s="678"/>
      <c r="R139" s="678"/>
      <c r="S139" s="678"/>
      <c r="T139" s="678"/>
      <c r="U139" s="678"/>
      <c r="V139" s="679"/>
      <c r="W139" s="475">
        <f>IF(OR(B139=Słowniki!A$46,B139=Słowniki!A$56,B139=Słowniki!A$58,B139=Słowniki!A$59),0.08,0.23)</f>
        <v>0.23</v>
      </c>
      <c r="X139" s="476"/>
      <c r="Y139" s="476"/>
      <c r="Z139" s="476"/>
      <c r="AA139" s="462">
        <f t="shared" si="2"/>
        <v>0</v>
      </c>
      <c r="AB139" s="462"/>
      <c r="AC139" s="462"/>
      <c r="AD139" s="462"/>
      <c r="AE139" s="462"/>
      <c r="AF139" s="462"/>
      <c r="AG139" s="462"/>
      <c r="AH139" s="329">
        <f t="shared" si="0"/>
        <v>1</v>
      </c>
      <c r="AI139" s="330"/>
      <c r="AJ139" s="331"/>
      <c r="AK139" s="291">
        <f t="shared" si="1"/>
        <v>0</v>
      </c>
      <c r="AL139" s="293"/>
      <c r="AM139" s="221"/>
      <c r="AN139" s="221"/>
      <c r="AO139" s="222"/>
    </row>
    <row r="140" spans="1:65" s="223" customFormat="1" ht="43.2" customHeight="1" x14ac:dyDescent="0.25">
      <c r="A140" s="220">
        <v>13</v>
      </c>
      <c r="B140" s="467"/>
      <c r="C140" s="468"/>
      <c r="D140" s="468"/>
      <c r="E140" s="468"/>
      <c r="F140" s="469"/>
      <c r="G140" s="470"/>
      <c r="H140" s="471"/>
      <c r="I140" s="471"/>
      <c r="J140" s="471"/>
      <c r="K140" s="471"/>
      <c r="L140" s="470"/>
      <c r="M140" s="471"/>
      <c r="N140" s="471"/>
      <c r="O140" s="471"/>
      <c r="P140" s="677"/>
      <c r="Q140" s="678"/>
      <c r="R140" s="678"/>
      <c r="S140" s="678"/>
      <c r="T140" s="678"/>
      <c r="U140" s="678"/>
      <c r="V140" s="679"/>
      <c r="W140" s="475">
        <f>IF(OR(B140=Słowniki!A$46,B140=Słowniki!A$56,B140=Słowniki!A$58,B140=Słowniki!A$59),0.08,0.23)</f>
        <v>0.23</v>
      </c>
      <c r="X140" s="476"/>
      <c r="Y140" s="476"/>
      <c r="Z140" s="476"/>
      <c r="AA140" s="462">
        <f t="shared" si="2"/>
        <v>0</v>
      </c>
      <c r="AB140" s="462"/>
      <c r="AC140" s="462"/>
      <c r="AD140" s="462"/>
      <c r="AE140" s="462"/>
      <c r="AF140" s="462"/>
      <c r="AG140" s="462"/>
      <c r="AH140" s="329">
        <f t="shared" si="0"/>
        <v>1</v>
      </c>
      <c r="AI140" s="330"/>
      <c r="AJ140" s="331"/>
      <c r="AK140" s="291">
        <f t="shared" si="1"/>
        <v>0</v>
      </c>
      <c r="AL140" s="293"/>
      <c r="AM140" s="221"/>
      <c r="AN140" s="221"/>
      <c r="AO140" s="222"/>
    </row>
    <row r="141" spans="1:65" s="223" customFormat="1" ht="43.2" customHeight="1" x14ac:dyDescent="0.25">
      <c r="A141" s="220">
        <v>14</v>
      </c>
      <c r="B141" s="467"/>
      <c r="C141" s="468"/>
      <c r="D141" s="468"/>
      <c r="E141" s="468"/>
      <c r="F141" s="469"/>
      <c r="G141" s="470"/>
      <c r="H141" s="471"/>
      <c r="I141" s="471"/>
      <c r="J141" s="471"/>
      <c r="K141" s="471"/>
      <c r="L141" s="470"/>
      <c r="M141" s="471"/>
      <c r="N141" s="471"/>
      <c r="O141" s="471"/>
      <c r="P141" s="677"/>
      <c r="Q141" s="678"/>
      <c r="R141" s="678"/>
      <c r="S141" s="678"/>
      <c r="T141" s="678"/>
      <c r="U141" s="678"/>
      <c r="V141" s="679"/>
      <c r="W141" s="475">
        <f>IF(OR(B141=Słowniki!A$46,B141=Słowniki!A$56,B141=Słowniki!A$58,B141=Słowniki!A$59),0.08,0.23)</f>
        <v>0.23</v>
      </c>
      <c r="X141" s="476"/>
      <c r="Y141" s="476"/>
      <c r="Z141" s="476"/>
      <c r="AA141" s="462">
        <f t="shared" si="2"/>
        <v>0</v>
      </c>
      <c r="AB141" s="462"/>
      <c r="AC141" s="462"/>
      <c r="AD141" s="462"/>
      <c r="AE141" s="462"/>
      <c r="AF141" s="462"/>
      <c r="AG141" s="462"/>
      <c r="AH141" s="329">
        <f t="shared" si="0"/>
        <v>1</v>
      </c>
      <c r="AI141" s="330"/>
      <c r="AJ141" s="331"/>
      <c r="AK141" s="291">
        <f t="shared" si="1"/>
        <v>0</v>
      </c>
      <c r="AL141" s="293"/>
      <c r="AM141" s="221"/>
      <c r="AN141" s="221"/>
      <c r="AO141" s="222"/>
    </row>
    <row r="142" spans="1:65" s="223" customFormat="1" ht="43.2" customHeight="1" x14ac:dyDescent="0.25">
      <c r="A142" s="220">
        <v>15</v>
      </c>
      <c r="B142" s="467"/>
      <c r="C142" s="468"/>
      <c r="D142" s="468"/>
      <c r="E142" s="468"/>
      <c r="F142" s="469"/>
      <c r="G142" s="470"/>
      <c r="H142" s="471"/>
      <c r="I142" s="471"/>
      <c r="J142" s="471"/>
      <c r="K142" s="471"/>
      <c r="L142" s="470"/>
      <c r="M142" s="471"/>
      <c r="N142" s="471"/>
      <c r="O142" s="471"/>
      <c r="P142" s="677"/>
      <c r="Q142" s="678"/>
      <c r="R142" s="678"/>
      <c r="S142" s="678"/>
      <c r="T142" s="678"/>
      <c r="U142" s="678"/>
      <c r="V142" s="679"/>
      <c r="W142" s="475">
        <f>IF(OR(B142=Słowniki!A$46,B142=Słowniki!A$56,B142=Słowniki!A$58,B142=Słowniki!A$59),0.08,0.23)</f>
        <v>0.23</v>
      </c>
      <c r="X142" s="476"/>
      <c r="Y142" s="476"/>
      <c r="Z142" s="476"/>
      <c r="AA142" s="462">
        <f t="shared" si="2"/>
        <v>0</v>
      </c>
      <c r="AB142" s="462"/>
      <c r="AC142" s="462"/>
      <c r="AD142" s="462"/>
      <c r="AE142" s="462"/>
      <c r="AF142" s="462"/>
      <c r="AG142" s="462"/>
      <c r="AH142" s="329">
        <f t="shared" si="0"/>
        <v>1</v>
      </c>
      <c r="AI142" s="330"/>
      <c r="AJ142" s="331"/>
      <c r="AK142" s="291">
        <f t="shared" si="1"/>
        <v>0</v>
      </c>
      <c r="AL142" s="293"/>
      <c r="AM142" s="221"/>
      <c r="AN142" s="221"/>
      <c r="AO142" s="222"/>
    </row>
    <row r="143" spans="1:65" s="223" customFormat="1" ht="43.2" customHeight="1" x14ac:dyDescent="0.25">
      <c r="A143" s="220">
        <v>16</v>
      </c>
      <c r="B143" s="467"/>
      <c r="C143" s="468"/>
      <c r="D143" s="468"/>
      <c r="E143" s="468"/>
      <c r="F143" s="469"/>
      <c r="G143" s="470"/>
      <c r="H143" s="471"/>
      <c r="I143" s="471"/>
      <c r="J143" s="471"/>
      <c r="K143" s="471"/>
      <c r="L143" s="470"/>
      <c r="M143" s="471"/>
      <c r="N143" s="471"/>
      <c r="O143" s="471"/>
      <c r="P143" s="677"/>
      <c r="Q143" s="678"/>
      <c r="R143" s="678"/>
      <c r="S143" s="678"/>
      <c r="T143" s="678"/>
      <c r="U143" s="678"/>
      <c r="V143" s="679"/>
      <c r="W143" s="475">
        <f>IF(OR(B143=Słowniki!A$46,B143=Słowniki!A$56,B143=Słowniki!A$58,B143=Słowniki!A$59),0.08,0.23)</f>
        <v>0.23</v>
      </c>
      <c r="X143" s="476"/>
      <c r="Y143" s="476"/>
      <c r="Z143" s="476"/>
      <c r="AA143" s="462">
        <f t="shared" si="2"/>
        <v>0</v>
      </c>
      <c r="AB143" s="462"/>
      <c r="AC143" s="462"/>
      <c r="AD143" s="462"/>
      <c r="AE143" s="462"/>
      <c r="AF143" s="462"/>
      <c r="AG143" s="462"/>
      <c r="AH143" s="329">
        <f t="shared" si="0"/>
        <v>1</v>
      </c>
      <c r="AI143" s="330"/>
      <c r="AJ143" s="331"/>
      <c r="AK143" s="291">
        <f t="shared" si="1"/>
        <v>0</v>
      </c>
      <c r="AL143" s="293"/>
      <c r="AM143" s="221"/>
      <c r="AN143" s="221"/>
      <c r="AO143" s="222"/>
    </row>
    <row r="144" spans="1:65" s="223" customFormat="1" ht="43.2" customHeight="1" x14ac:dyDescent="0.25">
      <c r="A144" s="220">
        <v>17</v>
      </c>
      <c r="B144" s="467"/>
      <c r="C144" s="468"/>
      <c r="D144" s="468"/>
      <c r="E144" s="468"/>
      <c r="F144" s="469"/>
      <c r="G144" s="470"/>
      <c r="H144" s="471"/>
      <c r="I144" s="471"/>
      <c r="J144" s="471"/>
      <c r="K144" s="471"/>
      <c r="L144" s="470"/>
      <c r="M144" s="471"/>
      <c r="N144" s="471"/>
      <c r="O144" s="471"/>
      <c r="P144" s="677"/>
      <c r="Q144" s="678"/>
      <c r="R144" s="678"/>
      <c r="S144" s="678"/>
      <c r="T144" s="678"/>
      <c r="U144" s="678"/>
      <c r="V144" s="679"/>
      <c r="W144" s="475">
        <f>IF(OR(B144=Słowniki!A$46,B144=Słowniki!A$56,B144=Słowniki!A$58,B144=Słowniki!A$59),0.08,0.23)</f>
        <v>0.23</v>
      </c>
      <c r="X144" s="476"/>
      <c r="Y144" s="476"/>
      <c r="Z144" s="476"/>
      <c r="AA144" s="462">
        <f t="shared" si="2"/>
        <v>0</v>
      </c>
      <c r="AB144" s="462"/>
      <c r="AC144" s="462"/>
      <c r="AD144" s="462"/>
      <c r="AE144" s="462"/>
      <c r="AF144" s="462"/>
      <c r="AG144" s="462"/>
      <c r="AH144" s="329">
        <f t="shared" si="0"/>
        <v>1</v>
      </c>
      <c r="AI144" s="330"/>
      <c r="AJ144" s="331"/>
      <c r="AK144" s="291">
        <f t="shared" si="1"/>
        <v>0</v>
      </c>
      <c r="AL144" s="293"/>
      <c r="AM144" s="221"/>
      <c r="AN144" s="221"/>
      <c r="AO144" s="222"/>
    </row>
    <row r="145" spans="1:41" s="223" customFormat="1" ht="43.2" customHeight="1" x14ac:dyDescent="0.25">
      <c r="A145" s="220">
        <v>18</v>
      </c>
      <c r="B145" s="467"/>
      <c r="C145" s="468"/>
      <c r="D145" s="468"/>
      <c r="E145" s="468"/>
      <c r="F145" s="469"/>
      <c r="G145" s="470"/>
      <c r="H145" s="471"/>
      <c r="I145" s="471"/>
      <c r="J145" s="471"/>
      <c r="K145" s="471"/>
      <c r="L145" s="470"/>
      <c r="M145" s="471"/>
      <c r="N145" s="471"/>
      <c r="O145" s="471"/>
      <c r="P145" s="677"/>
      <c r="Q145" s="678"/>
      <c r="R145" s="678"/>
      <c r="S145" s="678"/>
      <c r="T145" s="678"/>
      <c r="U145" s="678"/>
      <c r="V145" s="679"/>
      <c r="W145" s="475">
        <f>IF(OR(B145=Słowniki!A$46,B145=Słowniki!A$56,B145=Słowniki!A$58,B145=Słowniki!A$59),0.08,0.23)</f>
        <v>0.23</v>
      </c>
      <c r="X145" s="476"/>
      <c r="Y145" s="476"/>
      <c r="Z145" s="476"/>
      <c r="AA145" s="462">
        <f t="shared" si="2"/>
        <v>0</v>
      </c>
      <c r="AB145" s="462"/>
      <c r="AC145" s="462"/>
      <c r="AD145" s="462"/>
      <c r="AE145" s="462"/>
      <c r="AF145" s="462"/>
      <c r="AG145" s="462"/>
      <c r="AH145" s="329">
        <f t="shared" si="0"/>
        <v>1</v>
      </c>
      <c r="AI145" s="330"/>
      <c r="AJ145" s="331"/>
      <c r="AK145" s="291">
        <f t="shared" si="1"/>
        <v>0</v>
      </c>
      <c r="AL145" s="293"/>
      <c r="AM145" s="221"/>
      <c r="AN145" s="221"/>
      <c r="AO145" s="222"/>
    </row>
    <row r="146" spans="1:41" s="223" customFormat="1" ht="43.2" customHeight="1" x14ac:dyDescent="0.25">
      <c r="A146" s="220">
        <v>19</v>
      </c>
      <c r="B146" s="467"/>
      <c r="C146" s="468"/>
      <c r="D146" s="468"/>
      <c r="E146" s="468"/>
      <c r="F146" s="469"/>
      <c r="G146" s="470"/>
      <c r="H146" s="471"/>
      <c r="I146" s="471"/>
      <c r="J146" s="471"/>
      <c r="K146" s="471"/>
      <c r="L146" s="470"/>
      <c r="M146" s="471"/>
      <c r="N146" s="471"/>
      <c r="O146" s="471"/>
      <c r="P146" s="677"/>
      <c r="Q146" s="678"/>
      <c r="R146" s="678"/>
      <c r="S146" s="678"/>
      <c r="T146" s="678"/>
      <c r="U146" s="678"/>
      <c r="V146" s="679"/>
      <c r="W146" s="475">
        <f>IF(OR(B146=Słowniki!A$46,B146=Słowniki!A$56,B146=Słowniki!A$58,B146=Słowniki!A$59),0.08,0.23)</f>
        <v>0.23</v>
      </c>
      <c r="X146" s="476"/>
      <c r="Y146" s="476"/>
      <c r="Z146" s="476"/>
      <c r="AA146" s="462">
        <f t="shared" si="2"/>
        <v>0</v>
      </c>
      <c r="AB146" s="462"/>
      <c r="AC146" s="462"/>
      <c r="AD146" s="462"/>
      <c r="AE146" s="462"/>
      <c r="AF146" s="462"/>
      <c r="AG146" s="462"/>
      <c r="AH146" s="329">
        <f t="shared" si="0"/>
        <v>1</v>
      </c>
      <c r="AI146" s="330"/>
      <c r="AJ146" s="331"/>
      <c r="AK146" s="291">
        <f t="shared" si="1"/>
        <v>0</v>
      </c>
      <c r="AL146" s="293"/>
      <c r="AM146" s="221"/>
      <c r="AN146" s="221"/>
      <c r="AO146" s="222"/>
    </row>
    <row r="147" spans="1:41" s="223" customFormat="1" ht="43.2" customHeight="1" x14ac:dyDescent="0.25">
      <c r="A147" s="220">
        <v>20</v>
      </c>
      <c r="B147" s="467"/>
      <c r="C147" s="468"/>
      <c r="D147" s="468"/>
      <c r="E147" s="468"/>
      <c r="F147" s="469"/>
      <c r="G147" s="470"/>
      <c r="H147" s="471"/>
      <c r="I147" s="471"/>
      <c r="J147" s="471"/>
      <c r="K147" s="471"/>
      <c r="L147" s="470"/>
      <c r="M147" s="471"/>
      <c r="N147" s="471"/>
      <c r="O147" s="471"/>
      <c r="P147" s="677"/>
      <c r="Q147" s="678"/>
      <c r="R147" s="678"/>
      <c r="S147" s="678"/>
      <c r="T147" s="678"/>
      <c r="U147" s="678"/>
      <c r="V147" s="679"/>
      <c r="W147" s="475">
        <f>IF(OR(B147=Słowniki!A$46,B147=Słowniki!A$56,B147=Słowniki!A$58,B147=Słowniki!A$59),0.08,0.23)</f>
        <v>0.23</v>
      </c>
      <c r="X147" s="476"/>
      <c r="Y147" s="476"/>
      <c r="Z147" s="476"/>
      <c r="AA147" s="462">
        <f t="shared" si="2"/>
        <v>0</v>
      </c>
      <c r="AB147" s="462"/>
      <c r="AC147" s="462"/>
      <c r="AD147" s="462"/>
      <c r="AE147" s="462"/>
      <c r="AF147" s="462"/>
      <c r="AG147" s="462"/>
      <c r="AH147" s="329">
        <f t="shared" si="0"/>
        <v>1</v>
      </c>
      <c r="AI147" s="330"/>
      <c r="AJ147" s="331"/>
      <c r="AK147" s="291">
        <f t="shared" si="1"/>
        <v>0</v>
      </c>
      <c r="AL147" s="293"/>
      <c r="AM147" s="221"/>
      <c r="AN147" s="221"/>
      <c r="AO147" s="222"/>
    </row>
    <row r="148" spans="1:41" s="223" customFormat="1" ht="43.2" customHeight="1" x14ac:dyDescent="0.25">
      <c r="A148" s="220">
        <v>21</v>
      </c>
      <c r="B148" s="467"/>
      <c r="C148" s="468"/>
      <c r="D148" s="468"/>
      <c r="E148" s="468"/>
      <c r="F148" s="469"/>
      <c r="G148" s="470"/>
      <c r="H148" s="471"/>
      <c r="I148" s="471"/>
      <c r="J148" s="471"/>
      <c r="K148" s="471"/>
      <c r="L148" s="470"/>
      <c r="M148" s="471"/>
      <c r="N148" s="471"/>
      <c r="O148" s="471"/>
      <c r="P148" s="677"/>
      <c r="Q148" s="678"/>
      <c r="R148" s="678"/>
      <c r="S148" s="678"/>
      <c r="T148" s="678"/>
      <c r="U148" s="678"/>
      <c r="V148" s="679"/>
      <c r="W148" s="475">
        <f>IF(OR(B148=Słowniki!A$46,B148=Słowniki!A$56,B148=Słowniki!A$58,B148=Słowniki!A$59),0.08,0.23)</f>
        <v>0.23</v>
      </c>
      <c r="X148" s="476"/>
      <c r="Y148" s="476"/>
      <c r="Z148" s="476"/>
      <c r="AA148" s="462">
        <f t="shared" si="2"/>
        <v>0</v>
      </c>
      <c r="AB148" s="462"/>
      <c r="AC148" s="462"/>
      <c r="AD148" s="462"/>
      <c r="AE148" s="462"/>
      <c r="AF148" s="462"/>
      <c r="AG148" s="462"/>
      <c r="AH148" s="329">
        <f t="shared" si="0"/>
        <v>1</v>
      </c>
      <c r="AI148" s="330"/>
      <c r="AJ148" s="331"/>
      <c r="AK148" s="291">
        <f t="shared" si="1"/>
        <v>0</v>
      </c>
      <c r="AL148" s="293"/>
      <c r="AM148" s="221"/>
      <c r="AN148" s="221"/>
      <c r="AO148" s="222"/>
    </row>
    <row r="149" spans="1:41" s="223" customFormat="1" ht="43.2" customHeight="1" x14ac:dyDescent="0.25">
      <c r="A149" s="220">
        <v>22</v>
      </c>
      <c r="B149" s="467"/>
      <c r="C149" s="468"/>
      <c r="D149" s="468"/>
      <c r="E149" s="468"/>
      <c r="F149" s="469"/>
      <c r="G149" s="470"/>
      <c r="H149" s="471"/>
      <c r="I149" s="471"/>
      <c r="J149" s="471"/>
      <c r="K149" s="471"/>
      <c r="L149" s="470"/>
      <c r="M149" s="471"/>
      <c r="N149" s="471"/>
      <c r="O149" s="471"/>
      <c r="P149" s="677"/>
      <c r="Q149" s="678"/>
      <c r="R149" s="678"/>
      <c r="S149" s="678"/>
      <c r="T149" s="678"/>
      <c r="U149" s="678"/>
      <c r="V149" s="679"/>
      <c r="W149" s="475">
        <f>IF(OR(B149=Słowniki!A$46,B149=Słowniki!A$56,B149=Słowniki!A$58,B149=Słowniki!A$59),0.08,0.23)</f>
        <v>0.23</v>
      </c>
      <c r="X149" s="476"/>
      <c r="Y149" s="476"/>
      <c r="Z149" s="476"/>
      <c r="AA149" s="462">
        <f t="shared" si="2"/>
        <v>0</v>
      </c>
      <c r="AB149" s="462"/>
      <c r="AC149" s="462"/>
      <c r="AD149" s="462"/>
      <c r="AE149" s="462"/>
      <c r="AF149" s="462"/>
      <c r="AG149" s="462"/>
      <c r="AH149" s="329">
        <f t="shared" si="0"/>
        <v>1</v>
      </c>
      <c r="AI149" s="330"/>
      <c r="AJ149" s="331"/>
      <c r="AK149" s="291">
        <f t="shared" si="1"/>
        <v>0</v>
      </c>
      <c r="AL149" s="293"/>
      <c r="AM149" s="221"/>
      <c r="AN149" s="221"/>
      <c r="AO149" s="222"/>
    </row>
    <row r="150" spans="1:41" s="60" customFormat="1" ht="15.45" customHeight="1" x14ac:dyDescent="0.25">
      <c r="A150" s="220">
        <v>23</v>
      </c>
      <c r="B150" s="451" t="s">
        <v>128</v>
      </c>
      <c r="C150" s="452"/>
      <c r="D150" s="452"/>
      <c r="E150" s="452"/>
      <c r="F150" s="452"/>
      <c r="G150" s="452"/>
      <c r="H150" s="452"/>
      <c r="I150" s="452"/>
      <c r="J150" s="452"/>
      <c r="K150" s="452"/>
      <c r="L150" s="452"/>
      <c r="M150" s="452"/>
      <c r="N150" s="452"/>
      <c r="O150" s="504"/>
      <c r="P150" s="502">
        <f>SUM(P128:V149)</f>
        <v>0</v>
      </c>
      <c r="Q150" s="503"/>
      <c r="R150" s="503"/>
      <c r="S150" s="503"/>
      <c r="T150" s="503"/>
      <c r="U150" s="503"/>
      <c r="V150" s="503"/>
      <c r="W150" s="500" t="s">
        <v>129</v>
      </c>
      <c r="X150" s="500"/>
      <c r="Y150" s="500"/>
      <c r="Z150" s="501"/>
      <c r="AA150" s="457">
        <f>SUM(AA128:AG149)</f>
        <v>0</v>
      </c>
      <c r="AB150" s="457"/>
      <c r="AC150" s="457"/>
      <c r="AD150" s="457"/>
      <c r="AE150" s="457"/>
      <c r="AF150" s="457"/>
      <c r="AG150" s="457"/>
      <c r="AH150" s="461" t="s">
        <v>129</v>
      </c>
      <c r="AI150" s="461"/>
      <c r="AJ150" s="461"/>
      <c r="AK150" s="457">
        <f>ROUND(SUM(AK128:AL149),2)</f>
        <v>0</v>
      </c>
      <c r="AL150" s="457"/>
      <c r="AM150" s="77"/>
      <c r="AN150" s="61"/>
      <c r="AO150" s="61"/>
    </row>
    <row r="151" spans="1:41" s="60" customFormat="1" ht="124.95" customHeight="1" x14ac:dyDescent="0.25">
      <c r="A151" s="334" t="s">
        <v>1111</v>
      </c>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c r="AI151" s="334"/>
      <c r="AJ151" s="334"/>
      <c r="AK151" s="334"/>
      <c r="AL151" s="334"/>
      <c r="AM151" s="77"/>
      <c r="AN151" s="61"/>
      <c r="AO151" s="61"/>
    </row>
    <row r="152" spans="1:41" s="60" customFormat="1" ht="13.95" customHeight="1" x14ac:dyDescent="0.25">
      <c r="A152" s="129"/>
      <c r="B152" s="453" t="s">
        <v>181</v>
      </c>
      <c r="C152" s="453"/>
      <c r="D152" s="453"/>
      <c r="E152" s="453"/>
      <c r="F152" s="453"/>
      <c r="G152" s="453"/>
      <c r="H152" s="453"/>
      <c r="I152" s="453"/>
      <c r="J152" s="453"/>
      <c r="K152" s="453"/>
      <c r="L152" s="453"/>
      <c r="M152" s="453"/>
      <c r="N152" s="453"/>
      <c r="O152" s="453"/>
      <c r="P152" s="453"/>
      <c r="Q152" s="453"/>
      <c r="R152" s="453"/>
      <c r="S152" s="453"/>
      <c r="T152" s="458">
        <v>0.8</v>
      </c>
      <c r="U152" s="458"/>
      <c r="V152" s="458"/>
      <c r="W152" s="458"/>
      <c r="X152" s="458"/>
      <c r="Y152" s="458"/>
      <c r="Z152" s="458"/>
      <c r="AA152" s="458"/>
      <c r="AB152" s="458"/>
      <c r="AC152" s="458"/>
      <c r="AD152" s="458"/>
      <c r="AE152" s="458"/>
      <c r="AF152" s="458"/>
      <c r="AG152" s="458"/>
      <c r="AH152" s="458"/>
      <c r="AI152" s="458"/>
      <c r="AJ152" s="458"/>
      <c r="AK152" s="130"/>
      <c r="AL152" s="131"/>
      <c r="AM152" s="77"/>
      <c r="AN152" s="61"/>
      <c r="AO152" s="61"/>
    </row>
    <row r="153" spans="1:41" s="60" customFormat="1" ht="13.95" customHeight="1" x14ac:dyDescent="0.3">
      <c r="A153" s="129"/>
      <c r="B153" s="453" t="s">
        <v>183</v>
      </c>
      <c r="C153" s="453"/>
      <c r="D153" s="453"/>
      <c r="E153" s="453"/>
      <c r="F153" s="453"/>
      <c r="G153" s="453"/>
      <c r="H153" s="453"/>
      <c r="I153" s="453"/>
      <c r="J153" s="453"/>
      <c r="K153" s="453"/>
      <c r="L153" s="453"/>
      <c r="M153" s="453"/>
      <c r="N153" s="453"/>
      <c r="O153" s="453"/>
      <c r="P153" s="453"/>
      <c r="Q153" s="453"/>
      <c r="R153" s="453"/>
      <c r="S153" s="453"/>
      <c r="T153" s="459"/>
      <c r="U153" s="459"/>
      <c r="V153" s="459"/>
      <c r="W153" s="459"/>
      <c r="X153" s="459"/>
      <c r="Y153" s="459"/>
      <c r="Z153" s="459"/>
      <c r="AA153" s="459"/>
      <c r="AB153" s="459"/>
      <c r="AC153" s="459"/>
      <c r="AD153" s="459"/>
      <c r="AE153" s="459"/>
      <c r="AF153" s="459"/>
      <c r="AG153" s="459"/>
      <c r="AH153" s="459"/>
      <c r="AI153" s="459"/>
      <c r="AJ153" s="459"/>
      <c r="AK153" s="130"/>
      <c r="AL153" s="131"/>
      <c r="AM153" s="100" t="s">
        <v>215</v>
      </c>
      <c r="AN153" s="61"/>
      <c r="AO153" s="61"/>
    </row>
    <row r="154" spans="1:41" s="60" customFormat="1" ht="13.95" customHeight="1" x14ac:dyDescent="0.25">
      <c r="A154" s="129"/>
      <c r="B154" s="453" t="s">
        <v>182</v>
      </c>
      <c r="C154" s="453"/>
      <c r="D154" s="453"/>
      <c r="E154" s="453"/>
      <c r="F154" s="453"/>
      <c r="G154" s="453"/>
      <c r="H154" s="453"/>
      <c r="I154" s="453"/>
      <c r="J154" s="453"/>
      <c r="K154" s="453"/>
      <c r="L154" s="453"/>
      <c r="M154" s="453"/>
      <c r="N154" s="453"/>
      <c r="O154" s="453"/>
      <c r="P154" s="453"/>
      <c r="Q154" s="453"/>
      <c r="R154" s="453"/>
      <c r="S154" s="453"/>
      <c r="T154" s="466">
        <f>ROUNDDOWN(AK150*(T152+T153),2)</f>
        <v>0</v>
      </c>
      <c r="U154" s="466"/>
      <c r="V154" s="466"/>
      <c r="W154" s="466"/>
      <c r="X154" s="466"/>
      <c r="Y154" s="466"/>
      <c r="Z154" s="466"/>
      <c r="AA154" s="466"/>
      <c r="AB154" s="466"/>
      <c r="AC154" s="466"/>
      <c r="AD154" s="466"/>
      <c r="AE154" s="466"/>
      <c r="AF154" s="466"/>
      <c r="AG154" s="466"/>
      <c r="AH154" s="466"/>
      <c r="AI154" s="466"/>
      <c r="AJ154" s="466"/>
      <c r="AK154" s="130"/>
      <c r="AL154" s="131"/>
      <c r="AM154" s="77"/>
      <c r="AN154" s="61"/>
      <c r="AO154" s="61"/>
    </row>
    <row r="155" spans="1:41" s="60" customFormat="1" ht="45" customHeight="1" x14ac:dyDescent="0.25">
      <c r="A155" s="332" t="s">
        <v>790</v>
      </c>
      <c r="B155" s="332"/>
      <c r="C155" s="332"/>
      <c r="D155" s="332"/>
      <c r="E155" s="332"/>
      <c r="F155" s="332"/>
      <c r="G155" s="332"/>
      <c r="H155" s="332"/>
      <c r="I155" s="332"/>
      <c r="J155" s="332"/>
      <c r="K155" s="332"/>
      <c r="L155" s="332"/>
      <c r="M155" s="332"/>
      <c r="N155" s="332"/>
      <c r="O155" s="332"/>
      <c r="P155" s="332"/>
      <c r="Q155" s="332"/>
      <c r="R155" s="332"/>
      <c r="S155" s="332"/>
      <c r="T155" s="332"/>
      <c r="U155" s="332"/>
      <c r="V155" s="332"/>
      <c r="W155" s="332"/>
      <c r="X155" s="332"/>
      <c r="Y155" s="332"/>
      <c r="Z155" s="332"/>
      <c r="AA155" s="332"/>
      <c r="AB155" s="332"/>
      <c r="AC155" s="332"/>
      <c r="AD155" s="332"/>
      <c r="AE155" s="332"/>
      <c r="AF155" s="332"/>
      <c r="AG155" s="332"/>
      <c r="AH155" s="332"/>
      <c r="AI155" s="332"/>
      <c r="AJ155" s="332"/>
      <c r="AK155" s="332"/>
      <c r="AL155" s="332"/>
      <c r="AM155" s="77"/>
      <c r="AN155" s="61"/>
      <c r="AO155" s="61"/>
    </row>
    <row r="156" spans="1:41" s="60" customFormat="1" ht="35.700000000000003" customHeight="1" x14ac:dyDescent="0.25">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120"/>
    </row>
    <row r="157" spans="1:41" s="60" customFormat="1" ht="43.5" customHeight="1" x14ac:dyDescent="0.25">
      <c r="A157" s="332" t="s">
        <v>831</v>
      </c>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120"/>
    </row>
    <row r="158" spans="1:41" s="60" customFormat="1" ht="35.700000000000003" customHeight="1" x14ac:dyDescent="0.25">
      <c r="A158" s="333"/>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120"/>
    </row>
    <row r="159" spans="1:41" s="60" customFormat="1" ht="31.2" customHeight="1" x14ac:dyDescent="0.25">
      <c r="A159" s="332" t="s">
        <v>1115</v>
      </c>
      <c r="B159" s="332"/>
      <c r="C159" s="332"/>
      <c r="D159" s="332"/>
      <c r="E159" s="332"/>
      <c r="F159" s="332"/>
      <c r="G159" s="332"/>
      <c r="H159" s="332"/>
      <c r="I159" s="332"/>
      <c r="J159" s="332"/>
      <c r="K159" s="332"/>
      <c r="L159" s="332"/>
      <c r="M159" s="332"/>
      <c r="N159" s="332"/>
      <c r="O159" s="332"/>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101"/>
    </row>
    <row r="160" spans="1:41" s="60" customFormat="1" ht="45" customHeight="1" x14ac:dyDescent="0.25">
      <c r="A160" s="333" t="s">
        <v>961</v>
      </c>
      <c r="B160" s="333"/>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117"/>
    </row>
    <row r="161" spans="1:65" s="86" customFormat="1" ht="45" customHeight="1" x14ac:dyDescent="0.25">
      <c r="A161" s="308" t="s">
        <v>1120</v>
      </c>
      <c r="B161" s="332"/>
      <c r="C161" s="332"/>
      <c r="D161" s="332"/>
      <c r="E161" s="332"/>
      <c r="F161" s="332"/>
      <c r="G161" s="332"/>
      <c r="H161" s="332"/>
      <c r="I161" s="332"/>
      <c r="J161" s="332"/>
      <c r="K161" s="332"/>
      <c r="L161" s="332"/>
      <c r="M161" s="332"/>
      <c r="N161" s="332"/>
      <c r="O161" s="332"/>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101"/>
      <c r="AN161" s="60"/>
      <c r="AO161" s="60"/>
      <c r="AP161" s="60"/>
      <c r="AQ161" s="60"/>
      <c r="AR161" s="60"/>
      <c r="AS161" s="60"/>
      <c r="AT161" s="60"/>
      <c r="AU161" s="116"/>
      <c r="AV161" s="116"/>
      <c r="AW161" s="116"/>
      <c r="AX161" s="116"/>
      <c r="AY161" s="116"/>
      <c r="AZ161" s="116"/>
      <c r="BA161" s="116"/>
      <c r="BB161" s="116"/>
      <c r="BC161" s="116"/>
      <c r="BD161" s="116"/>
      <c r="BE161" s="116"/>
      <c r="BF161" s="116"/>
      <c r="BG161" s="116"/>
      <c r="BH161" s="116"/>
      <c r="BI161" s="116"/>
      <c r="BJ161" s="116"/>
      <c r="BK161" s="116"/>
      <c r="BL161" s="116"/>
      <c r="BM161" s="116"/>
    </row>
    <row r="162" spans="1:65" s="86" customFormat="1" ht="45" customHeight="1" x14ac:dyDescent="0.25">
      <c r="A162" s="333" t="str">
        <f>IF(A71=Słowniki!AA3,Słowniki!W6,Słowniki!W5)</f>
        <v>Żaden lokal nie będzie przeznaczony dla rodzin z dziećmi posiadającymi zaświadczenie, o którym mowa w art. 4 ust. 3 ustawy z dnia 4 listopada 2016 r. o wsparciu kobiet w ciąży i rodzin „Za życiem” (Dz. U. z 2024 r. poz. 1829).</v>
      </c>
      <c r="B162" s="333"/>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101"/>
      <c r="AN162" s="60"/>
      <c r="AO162" s="60"/>
      <c r="AP162" s="60"/>
      <c r="AQ162" s="60"/>
      <c r="AR162" s="60"/>
      <c r="AS162" s="60"/>
      <c r="AT162" s="60"/>
      <c r="AU162" s="116"/>
      <c r="AV162" s="116"/>
      <c r="AW162" s="116"/>
      <c r="AX162" s="116"/>
      <c r="AY162" s="116"/>
      <c r="AZ162" s="116"/>
      <c r="BA162" s="116"/>
      <c r="BB162" s="116"/>
      <c r="BC162" s="116"/>
      <c r="BD162" s="116"/>
      <c r="BE162" s="116"/>
      <c r="BF162" s="116"/>
      <c r="BG162" s="116"/>
      <c r="BH162" s="116"/>
      <c r="BI162" s="116"/>
      <c r="BJ162" s="116"/>
      <c r="BK162" s="116"/>
      <c r="BL162" s="116"/>
      <c r="BM162" s="116"/>
    </row>
    <row r="163" spans="1:65" ht="115.2" customHeight="1" x14ac:dyDescent="0.25">
      <c r="A163" s="308" t="s">
        <v>1123</v>
      </c>
      <c r="B163" s="332"/>
      <c r="C163" s="332"/>
      <c r="D163" s="332"/>
      <c r="E163" s="332"/>
      <c r="F163" s="332"/>
      <c r="G163" s="332"/>
      <c r="H163" s="332"/>
      <c r="I163" s="332"/>
      <c r="J163" s="332"/>
      <c r="K163" s="332"/>
      <c r="L163" s="332"/>
      <c r="M163" s="332"/>
      <c r="N163" s="332"/>
      <c r="O163" s="332"/>
      <c r="P163" s="332"/>
      <c r="Q163" s="332"/>
      <c r="R163" s="332"/>
      <c r="S163" s="332"/>
      <c r="T163" s="332"/>
      <c r="U163" s="332"/>
      <c r="V163" s="332"/>
      <c r="W163" s="332"/>
      <c r="X163" s="332"/>
      <c r="Y163" s="332"/>
      <c r="Z163" s="332"/>
      <c r="AA163" s="332"/>
      <c r="AB163" s="332"/>
      <c r="AC163" s="332"/>
      <c r="AD163" s="332"/>
      <c r="AE163" s="332"/>
      <c r="AF163" s="332"/>
      <c r="AG163" s="332"/>
      <c r="AH163" s="332"/>
      <c r="AI163" s="332"/>
      <c r="AJ163" s="332"/>
      <c r="AK163" s="332"/>
      <c r="AL163" s="332"/>
      <c r="AM163" s="117"/>
    </row>
    <row r="164" spans="1:65" ht="76.5" customHeight="1" x14ac:dyDescent="0.25">
      <c r="A164" s="333" t="s">
        <v>784</v>
      </c>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row>
    <row r="165" spans="1:65" ht="52.95" customHeight="1" x14ac:dyDescent="0.25">
      <c r="A165" s="308" t="s">
        <v>1125</v>
      </c>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c r="AH165" s="308"/>
      <c r="AI165" s="308"/>
      <c r="AJ165" s="308"/>
      <c r="AK165" s="308"/>
      <c r="AL165" s="308"/>
    </row>
    <row r="166" spans="1:65" ht="76.5" customHeight="1" x14ac:dyDescent="0.25">
      <c r="A166" s="333" t="str">
        <f>IF(SUM(A67,T67)&gt;0,Słowniki!W$10,Słowniki!W$11)</f>
        <v>Nie dotyczy realizowanego przedsięwzięwzięcia</v>
      </c>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row>
    <row r="167" spans="1:65" ht="79.5" customHeight="1" x14ac:dyDescent="0.25">
      <c r="A167" s="308" t="s">
        <v>1126</v>
      </c>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117"/>
    </row>
    <row r="168" spans="1:65" ht="70.95" customHeight="1" x14ac:dyDescent="0.25">
      <c r="A168" s="333" t="str">
        <f>IF(AND(A73&gt;Słowniki!AA3,A107&gt;Słowniki!AA3),Słowniki!Z$1,Słowniki!Z$2)</f>
        <v>NIE DOTYCZY</v>
      </c>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row>
    <row r="169" spans="1:65" ht="82.5" customHeight="1" x14ac:dyDescent="0.25">
      <c r="A169" s="332" t="s">
        <v>1130</v>
      </c>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77"/>
    </row>
    <row r="170" spans="1:65" ht="56.7" customHeight="1" x14ac:dyDescent="0.25">
      <c r="A170" s="333"/>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117"/>
    </row>
    <row r="171" spans="1:65" ht="52.95" customHeight="1" x14ac:dyDescent="0.25">
      <c r="A171" s="308" t="s">
        <v>1133</v>
      </c>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c r="AJ171" s="308"/>
      <c r="AK171" s="308"/>
      <c r="AL171" s="308"/>
      <c r="AM171" s="77"/>
    </row>
    <row r="172" spans="1:65" ht="48.45" customHeight="1" x14ac:dyDescent="0.25">
      <c r="A172" s="630" t="s">
        <v>946</v>
      </c>
      <c r="B172" s="630"/>
      <c r="C172" s="630"/>
      <c r="D172" s="630"/>
      <c r="E172" s="630"/>
      <c r="F172" s="630"/>
      <c r="G172" s="630"/>
      <c r="H172" s="630"/>
      <c r="I172" s="630"/>
      <c r="J172" s="630"/>
      <c r="K172" s="630"/>
      <c r="L172" s="630"/>
      <c r="M172" s="630"/>
      <c r="N172" s="630"/>
      <c r="O172" s="630"/>
      <c r="P172" s="630"/>
      <c r="Q172" s="630"/>
      <c r="R172" s="630"/>
      <c r="S172" s="630"/>
      <c r="T172" s="630" t="s">
        <v>947</v>
      </c>
      <c r="U172" s="630"/>
      <c r="V172" s="630"/>
      <c r="W172" s="630"/>
      <c r="X172" s="630"/>
      <c r="Y172" s="630"/>
      <c r="Z172" s="630"/>
      <c r="AA172" s="630"/>
      <c r="AB172" s="630"/>
      <c r="AC172" s="630"/>
      <c r="AD172" s="630"/>
      <c r="AE172" s="630"/>
      <c r="AF172" s="630"/>
      <c r="AG172" s="630"/>
      <c r="AH172" s="630"/>
      <c r="AI172" s="630"/>
      <c r="AJ172" s="630"/>
      <c r="AK172" s="630"/>
      <c r="AL172" s="630"/>
      <c r="AM172" s="77"/>
    </row>
    <row r="173" spans="1:65" ht="113.7" customHeight="1" x14ac:dyDescent="0.25">
      <c r="A173" s="629">
        <f>B49</f>
        <v>0</v>
      </c>
      <c r="B173" s="629"/>
      <c r="C173" s="629"/>
      <c r="D173" s="629"/>
      <c r="E173" s="629"/>
      <c r="F173" s="629"/>
      <c r="G173" s="629"/>
      <c r="H173" s="629"/>
      <c r="I173" s="629"/>
      <c r="J173" s="629"/>
      <c r="K173" s="629"/>
      <c r="L173" s="629"/>
      <c r="M173" s="629"/>
      <c r="N173" s="629"/>
      <c r="O173" s="629"/>
      <c r="P173" s="629"/>
      <c r="Q173" s="629"/>
      <c r="R173" s="629"/>
      <c r="S173" s="629"/>
      <c r="T173" s="627" t="s">
        <v>1144</v>
      </c>
      <c r="U173" s="627"/>
      <c r="V173" s="627"/>
      <c r="W173" s="627"/>
      <c r="X173" s="627"/>
      <c r="Y173" s="627"/>
      <c r="Z173" s="627"/>
      <c r="AA173" s="627"/>
      <c r="AB173" s="627"/>
      <c r="AC173" s="627"/>
      <c r="AD173" s="627"/>
      <c r="AE173" s="627"/>
      <c r="AF173" s="627"/>
      <c r="AG173" s="627"/>
      <c r="AH173" s="627"/>
      <c r="AI173" s="627"/>
      <c r="AJ173" s="627"/>
      <c r="AK173" s="627"/>
      <c r="AL173" s="627"/>
      <c r="AM173" s="77"/>
    </row>
    <row r="174" spans="1:65" ht="59.7" customHeight="1" x14ac:dyDescent="0.25">
      <c r="A174" s="315" t="s">
        <v>1135</v>
      </c>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c r="Y174" s="315"/>
      <c r="Z174" s="315"/>
      <c r="AA174" s="315"/>
      <c r="AB174" s="315"/>
      <c r="AC174" s="315"/>
      <c r="AD174" s="315"/>
      <c r="AE174" s="315"/>
      <c r="AF174" s="315"/>
      <c r="AG174" s="315"/>
      <c r="AH174" s="315"/>
      <c r="AI174" s="315"/>
      <c r="AJ174" s="315"/>
      <c r="AK174" s="315"/>
      <c r="AL174" s="315"/>
      <c r="AM174" s="77"/>
    </row>
    <row r="175" spans="1:65" ht="94.5" customHeight="1" x14ac:dyDescent="0.25">
      <c r="A175" s="333"/>
      <c r="B175" s="333"/>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c r="AM175" s="77"/>
    </row>
    <row r="176" spans="1:65" ht="49.2" customHeight="1" x14ac:dyDescent="0.25">
      <c r="A176" s="308" t="s">
        <v>1138</v>
      </c>
      <c r="B176" s="332"/>
      <c r="C176" s="332"/>
      <c r="D176" s="332"/>
      <c r="E176" s="332"/>
      <c r="F176" s="332"/>
      <c r="G176" s="332"/>
      <c r="H176" s="332"/>
      <c r="I176" s="332"/>
      <c r="J176" s="332"/>
      <c r="K176" s="332"/>
      <c r="L176" s="332"/>
      <c r="M176" s="332"/>
      <c r="N176" s="332"/>
      <c r="O176" s="332"/>
      <c r="P176" s="332"/>
      <c r="Q176" s="332"/>
      <c r="R176" s="332"/>
      <c r="S176" s="332"/>
      <c r="T176" s="332"/>
      <c r="U176" s="332"/>
      <c r="V176" s="332"/>
      <c r="W176" s="332"/>
      <c r="X176" s="332"/>
      <c r="Y176" s="332"/>
      <c r="Z176" s="332"/>
      <c r="AA176" s="332"/>
      <c r="AB176" s="332"/>
      <c r="AC176" s="332"/>
      <c r="AD176" s="332"/>
      <c r="AE176" s="332"/>
      <c r="AF176" s="332"/>
      <c r="AG176" s="332"/>
      <c r="AH176" s="332"/>
      <c r="AI176" s="332"/>
      <c r="AJ176" s="332"/>
      <c r="AK176" s="332"/>
      <c r="AL176" s="332"/>
      <c r="AM176" s="77"/>
    </row>
    <row r="177" spans="1:41" ht="53.7" customHeight="1" x14ac:dyDescent="0.25">
      <c r="A177" s="333" t="s">
        <v>1139</v>
      </c>
      <c r="B177" s="333"/>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c r="AM177" s="77"/>
    </row>
    <row r="178" spans="1:41" ht="45" customHeight="1" x14ac:dyDescent="0.25">
      <c r="A178" s="649" t="s">
        <v>752</v>
      </c>
      <c r="B178" s="649"/>
      <c r="C178" s="649"/>
      <c r="D178" s="649"/>
      <c r="E178" s="649"/>
      <c r="F178" s="649"/>
      <c r="G178" s="649"/>
      <c r="H178" s="649"/>
      <c r="I178" s="649"/>
      <c r="J178" s="649"/>
      <c r="K178" s="649"/>
      <c r="L178" s="649"/>
      <c r="M178" s="649"/>
      <c r="N178" s="649"/>
      <c r="O178" s="649"/>
      <c r="P178" s="649"/>
      <c r="Q178" s="649"/>
      <c r="R178" s="649"/>
      <c r="S178" s="649"/>
      <c r="T178" s="649"/>
      <c r="U178" s="649"/>
      <c r="V178" s="649"/>
      <c r="W178" s="649"/>
      <c r="X178" s="649"/>
      <c r="Y178" s="649"/>
      <c r="Z178" s="649"/>
      <c r="AA178" s="649"/>
      <c r="AB178" s="649"/>
      <c r="AC178" s="649"/>
      <c r="AD178" s="649"/>
      <c r="AE178" s="649"/>
      <c r="AF178" s="649"/>
      <c r="AG178" s="649"/>
      <c r="AH178" s="649"/>
      <c r="AI178" s="649"/>
      <c r="AJ178" s="649"/>
      <c r="AK178" s="649"/>
      <c r="AL178" s="649"/>
      <c r="AM178" s="77"/>
      <c r="AN178" s="61"/>
      <c r="AO178" s="61"/>
    </row>
    <row r="179" spans="1:41" ht="61.95" customHeight="1" x14ac:dyDescent="0.25">
      <c r="A179" s="308" t="s">
        <v>979</v>
      </c>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c r="AJ179" s="308"/>
      <c r="AK179" s="308"/>
      <c r="AL179" s="308"/>
      <c r="AM179" s="77"/>
      <c r="AN179" s="61"/>
      <c r="AO179" s="61"/>
    </row>
    <row r="180" spans="1:41" ht="35.700000000000003" customHeight="1" x14ac:dyDescent="0.25">
      <c r="A180" s="308" t="s">
        <v>1024</v>
      </c>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c r="AJ180" s="308"/>
      <c r="AK180" s="308"/>
      <c r="AL180" s="308"/>
      <c r="AM180" s="77"/>
      <c r="AN180" s="61"/>
      <c r="AO180" s="61"/>
    </row>
    <row r="181" spans="1:41" ht="67.2" customHeight="1" x14ac:dyDescent="0.25">
      <c r="A181" s="308" t="s">
        <v>1153</v>
      </c>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c r="AJ181" s="308"/>
      <c r="AK181" s="308"/>
      <c r="AL181" s="308"/>
      <c r="AM181" s="77"/>
      <c r="AN181" s="61"/>
      <c r="AO181" s="61"/>
    </row>
    <row r="182" spans="1:41" ht="81" customHeight="1" x14ac:dyDescent="0.25">
      <c r="A182" s="308" t="s">
        <v>1010</v>
      </c>
      <c r="B182" s="328"/>
      <c r="C182" s="328"/>
      <c r="D182" s="328"/>
      <c r="E182" s="328"/>
      <c r="F182" s="328"/>
      <c r="G182" s="328"/>
      <c r="H182" s="328"/>
      <c r="I182" s="328"/>
      <c r="J182" s="328"/>
      <c r="K182" s="328"/>
      <c r="L182" s="328"/>
      <c r="M182" s="328"/>
      <c r="N182" s="328"/>
      <c r="O182" s="328"/>
      <c r="P182" s="328"/>
      <c r="Q182" s="328"/>
      <c r="R182" s="328"/>
      <c r="S182" s="328"/>
      <c r="T182" s="328"/>
      <c r="U182" s="328"/>
      <c r="V182" s="328"/>
      <c r="W182" s="328"/>
      <c r="X182" s="328"/>
      <c r="Y182" s="328"/>
      <c r="Z182" s="328"/>
      <c r="AA182" s="328"/>
      <c r="AB182" s="328"/>
      <c r="AC182" s="328"/>
      <c r="AD182" s="328"/>
      <c r="AE182" s="328"/>
      <c r="AF182" s="328"/>
      <c r="AG182" s="328"/>
      <c r="AH182" s="328"/>
      <c r="AI182" s="328"/>
      <c r="AJ182" s="328"/>
      <c r="AK182" s="328"/>
      <c r="AL182" s="328"/>
      <c r="AM182" s="77"/>
      <c r="AN182" s="61"/>
      <c r="AO182" s="61"/>
    </row>
    <row r="183" spans="1:41" ht="27" customHeight="1" x14ac:dyDescent="0.25">
      <c r="A183" s="308" t="s">
        <v>1051</v>
      </c>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c r="AM183" s="77"/>
      <c r="AN183" s="61"/>
      <c r="AO183" s="61"/>
    </row>
    <row r="184" spans="1:41" ht="55.95" customHeight="1" x14ac:dyDescent="0.25">
      <c r="A184" s="505" t="str">
        <f>IF(B17="Gmina","1)  w przypadku gminy - wójta (burmistrza, prezydenta miasta)",IF(B17="Powiat","3)  w przypadku powiatu - starostę)",IF(B17="Związek międzygminny","2)  w przypadku związku międzygminnego - zarząd związku",IF(B17="",""))))</f>
        <v/>
      </c>
      <c r="B184" s="505"/>
      <c r="C184" s="505"/>
      <c r="D184" s="505"/>
      <c r="E184" s="505"/>
      <c r="F184" s="505"/>
      <c r="G184" s="505"/>
      <c r="H184" s="505"/>
      <c r="I184" s="505"/>
      <c r="J184" s="505"/>
      <c r="K184" s="505"/>
      <c r="L184" s="505"/>
      <c r="M184" s="505"/>
      <c r="N184" s="505"/>
      <c r="O184" s="505"/>
      <c r="P184" s="505"/>
      <c r="Q184" s="505"/>
      <c r="R184" s="505"/>
      <c r="S184" s="505"/>
      <c r="T184" s="505"/>
      <c r="U184" s="505"/>
      <c r="V184" s="505"/>
      <c r="W184" s="505"/>
      <c r="X184" s="505"/>
      <c r="Y184" s="505"/>
      <c r="Z184" s="505"/>
      <c r="AA184" s="505"/>
      <c r="AB184" s="505"/>
      <c r="AC184" s="505"/>
      <c r="AD184" s="505"/>
      <c r="AE184" s="505"/>
      <c r="AF184" s="505"/>
      <c r="AG184" s="505"/>
      <c r="AH184" s="505"/>
      <c r="AI184" s="505"/>
      <c r="AJ184" s="505"/>
      <c r="AK184" s="505"/>
      <c r="AL184" s="505"/>
      <c r="AM184" s="454" t="s">
        <v>972</v>
      </c>
    </row>
    <row r="185" spans="1:41" ht="45" customHeight="1" x14ac:dyDescent="0.3">
      <c r="A185" s="460" t="s">
        <v>753</v>
      </c>
      <c r="B185" s="460"/>
      <c r="C185" s="460"/>
      <c r="D185" s="460"/>
      <c r="E185" s="460"/>
      <c r="F185" s="460"/>
      <c r="G185" s="460"/>
      <c r="H185" s="460"/>
      <c r="I185" s="460"/>
      <c r="J185" s="460"/>
      <c r="K185" s="460"/>
      <c r="L185" s="460"/>
      <c r="M185" s="460"/>
      <c r="N185" s="460"/>
      <c r="O185" s="460"/>
      <c r="P185" s="460"/>
      <c r="Q185" s="460"/>
      <c r="R185" s="460"/>
      <c r="S185" s="460"/>
      <c r="T185" s="460"/>
      <c r="U185" s="460"/>
      <c r="V185" s="460"/>
      <c r="W185" s="460"/>
      <c r="X185" s="460"/>
      <c r="Y185" s="460"/>
      <c r="Z185" s="460"/>
      <c r="AA185" s="460"/>
      <c r="AB185" s="460"/>
      <c r="AC185" s="460"/>
      <c r="AD185" s="460"/>
      <c r="AE185" s="460"/>
      <c r="AF185" s="460"/>
      <c r="AG185" s="460"/>
      <c r="AH185" s="460"/>
      <c r="AI185" s="460"/>
      <c r="AJ185" s="460"/>
      <c r="AK185" s="460"/>
      <c r="AL185" s="460"/>
      <c r="AM185" s="455"/>
    </row>
    <row r="186" spans="1:41" s="60" customFormat="1" ht="14.25" customHeight="1" x14ac:dyDescent="0.25">
      <c r="A186" s="449" t="s">
        <v>1148</v>
      </c>
      <c r="B186" s="449"/>
      <c r="C186" s="449"/>
      <c r="D186" s="449"/>
      <c r="E186" s="449"/>
      <c r="F186" s="449"/>
      <c r="G186" s="449"/>
      <c r="H186" s="449"/>
      <c r="I186" s="449"/>
      <c r="J186" s="449"/>
      <c r="K186" s="449"/>
      <c r="L186" s="449"/>
      <c r="M186" s="449"/>
      <c r="N186" s="449"/>
      <c r="O186" s="449"/>
      <c r="P186" s="449"/>
      <c r="Q186" s="449"/>
      <c r="R186" s="449"/>
      <c r="S186" s="449"/>
      <c r="T186" s="449"/>
      <c r="U186" s="449"/>
      <c r="V186" s="449"/>
      <c r="W186" s="449"/>
      <c r="X186" s="449"/>
      <c r="Y186" s="449"/>
      <c r="Z186" s="449"/>
      <c r="AA186" s="449"/>
      <c r="AB186" s="449"/>
      <c r="AC186" s="449"/>
      <c r="AD186" s="449"/>
      <c r="AE186" s="449"/>
      <c r="AF186" s="449"/>
      <c r="AG186" s="449"/>
      <c r="AH186" s="449"/>
      <c r="AI186" s="449"/>
      <c r="AJ186" s="449"/>
      <c r="AK186" s="449"/>
      <c r="AL186" s="449"/>
      <c r="AM186" s="101"/>
    </row>
    <row r="187" spans="1:41" s="60" customFormat="1" ht="14.25" customHeight="1" x14ac:dyDescent="0.25">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c r="W187" s="450"/>
      <c r="X187" s="450"/>
      <c r="Y187" s="450"/>
      <c r="Z187" s="450"/>
      <c r="AA187" s="450"/>
      <c r="AB187" s="450"/>
      <c r="AC187" s="450"/>
      <c r="AD187" s="450"/>
      <c r="AE187" s="450"/>
      <c r="AF187" s="450"/>
      <c r="AG187" s="450"/>
      <c r="AH187" s="450"/>
      <c r="AI187" s="450"/>
      <c r="AJ187" s="450"/>
      <c r="AK187" s="450"/>
      <c r="AL187" s="450"/>
      <c r="AM187" s="101"/>
    </row>
    <row r="188" spans="1:41" s="60" customFormat="1" ht="14.25" customHeight="1" x14ac:dyDescent="0.25">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c r="W188" s="450"/>
      <c r="X188" s="450"/>
      <c r="Y188" s="450"/>
      <c r="Z188" s="450"/>
      <c r="AA188" s="450"/>
      <c r="AB188" s="450"/>
      <c r="AC188" s="450"/>
      <c r="AD188" s="450"/>
      <c r="AE188" s="450"/>
      <c r="AF188" s="450"/>
      <c r="AG188" s="450"/>
      <c r="AH188" s="450"/>
      <c r="AI188" s="450"/>
      <c r="AJ188" s="450"/>
      <c r="AK188" s="450"/>
      <c r="AL188" s="450"/>
      <c r="AM188" s="101"/>
    </row>
    <row r="189" spans="1:41" s="60" customFormat="1" ht="14.25" customHeight="1" x14ac:dyDescent="0.3">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c r="W189" s="450"/>
      <c r="X189" s="450"/>
      <c r="Y189" s="450"/>
      <c r="Z189" s="450"/>
      <c r="AA189" s="450"/>
      <c r="AB189" s="450"/>
      <c r="AC189" s="450"/>
      <c r="AD189" s="450"/>
      <c r="AE189" s="450"/>
      <c r="AF189" s="450"/>
      <c r="AG189" s="450"/>
      <c r="AH189" s="450"/>
      <c r="AI189" s="450"/>
      <c r="AJ189" s="450"/>
      <c r="AK189" s="450"/>
      <c r="AL189" s="450"/>
      <c r="AM189" s="256" t="s">
        <v>1155</v>
      </c>
    </row>
    <row r="190" spans="1:41" s="60" customFormat="1" ht="146.69999999999999" customHeight="1" x14ac:dyDescent="0.25">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c r="W190" s="450"/>
      <c r="X190" s="450"/>
      <c r="Y190" s="450"/>
      <c r="Z190" s="450"/>
      <c r="AA190" s="450"/>
      <c r="AB190" s="450"/>
      <c r="AC190" s="450"/>
      <c r="AD190" s="450"/>
      <c r="AE190" s="450"/>
      <c r="AF190" s="450"/>
      <c r="AG190" s="450"/>
      <c r="AH190" s="450"/>
      <c r="AI190" s="450"/>
      <c r="AJ190" s="450"/>
      <c r="AK190" s="450"/>
      <c r="AL190" s="450"/>
      <c r="AM190" s="255" t="s">
        <v>1156</v>
      </c>
    </row>
    <row r="191" spans="1:41" s="60" customFormat="1" ht="14.25" customHeight="1" x14ac:dyDescent="0.3">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101"/>
    </row>
    <row r="192" spans="1:41" s="60" customFormat="1" ht="14.25" customHeight="1" x14ac:dyDescent="0.3">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101"/>
    </row>
    <row r="193" spans="1:39" s="60" customFormat="1" ht="14.25" customHeight="1" x14ac:dyDescent="0.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101"/>
    </row>
    <row r="194" spans="1:39" s="60" customFormat="1" ht="14.25" customHeight="1" x14ac:dyDescent="0.3">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101"/>
    </row>
    <row r="195" spans="1:39" s="60" customFormat="1" ht="14.25" customHeight="1" x14ac:dyDescent="0.3">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101"/>
    </row>
    <row r="196" spans="1:39" s="60" customFormat="1" ht="14.25" customHeight="1" x14ac:dyDescent="0.3">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101"/>
    </row>
    <row r="197" spans="1:39" s="60" customFormat="1" ht="14.25" customHeight="1" x14ac:dyDescent="0.3">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101"/>
    </row>
    <row r="198" spans="1:39" s="60" customFormat="1" ht="14.25" customHeight="1" x14ac:dyDescent="0.3">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101"/>
    </row>
    <row r="199" spans="1:39" s="60" customFormat="1" ht="14.25" customHeight="1" x14ac:dyDescent="0.3">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101"/>
    </row>
    <row r="200" spans="1:39" s="60" customFormat="1" ht="14.25" customHeight="1" x14ac:dyDescent="0.3">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101"/>
    </row>
    <row r="201" spans="1:39" s="60" customFormat="1" ht="14.25" customHeight="1" x14ac:dyDescent="0.3">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101"/>
    </row>
    <row r="202" spans="1:39" s="60" customFormat="1" ht="14.25" customHeight="1" x14ac:dyDescent="0.3">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101"/>
    </row>
    <row r="203" spans="1:39" s="60" customFormat="1" ht="14.25" customHeight="1" x14ac:dyDescent="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101"/>
    </row>
    <row r="204" spans="1:39" s="60" customFormat="1" ht="14.25" customHeight="1" x14ac:dyDescent="0.3">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101"/>
    </row>
    <row r="205" spans="1:39" s="60" customFormat="1" ht="14.25" customHeight="1" x14ac:dyDescent="0.3">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101"/>
    </row>
    <row r="206" spans="1:39" s="60" customFormat="1" ht="14.25" customHeight="1" x14ac:dyDescent="0.3">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101"/>
    </row>
    <row r="207" spans="1:39" s="60" customFormat="1" ht="14.25" customHeight="1" x14ac:dyDescent="0.3">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101"/>
    </row>
    <row r="208" spans="1:39" s="60" customFormat="1" ht="14.25" customHeight="1" x14ac:dyDescent="0.3">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101"/>
    </row>
    <row r="209" spans="1:39" s="60" customFormat="1" ht="14.25" customHeight="1" x14ac:dyDescent="0.3">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101"/>
    </row>
    <row r="210" spans="1:39" s="60" customFormat="1" ht="14.25" customHeight="1" x14ac:dyDescent="0.3">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101"/>
    </row>
    <row r="211" spans="1:39" s="60" customFormat="1" ht="14.25" customHeight="1" x14ac:dyDescent="0.3">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101"/>
    </row>
    <row r="212" spans="1:39" s="60" customFormat="1" ht="14.25" customHeight="1" x14ac:dyDescent="0.3">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101"/>
    </row>
    <row r="213" spans="1:39" s="60" customFormat="1" x14ac:dyDescent="0.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101"/>
    </row>
    <row r="214" spans="1:39" s="60" customFormat="1" x14ac:dyDescent="0.3">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101"/>
    </row>
    <row r="215" spans="1:39" s="60" customFormat="1" x14ac:dyDescent="0.3">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101"/>
    </row>
    <row r="216" spans="1:39" s="60" customFormat="1" x14ac:dyDescent="0.3">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101"/>
    </row>
    <row r="217" spans="1:39" s="60" customFormat="1" x14ac:dyDescent="0.3">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101"/>
    </row>
    <row r="218" spans="1:39" s="60" customFormat="1" x14ac:dyDescent="0.3">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101"/>
    </row>
    <row r="219" spans="1:39" s="60" customFormat="1" x14ac:dyDescent="0.3">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101"/>
    </row>
    <row r="220" spans="1:39" s="60" customFormat="1" x14ac:dyDescent="0.3">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101"/>
    </row>
    <row r="221" spans="1:39" s="60" customFormat="1" x14ac:dyDescent="0.3">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101"/>
    </row>
    <row r="222" spans="1:39" s="60" customFormat="1" x14ac:dyDescent="0.3">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101"/>
    </row>
    <row r="223" spans="1:39" s="60" customFormat="1" x14ac:dyDescent="0.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101"/>
    </row>
    <row r="224" spans="1:39" s="60" customFormat="1" x14ac:dyDescent="0.3">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101"/>
    </row>
    <row r="225" spans="1:39" s="60" customFormat="1" x14ac:dyDescent="0.3">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101"/>
    </row>
    <row r="226" spans="1:39" s="60" customFormat="1" x14ac:dyDescent="0.3">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101"/>
    </row>
    <row r="227" spans="1:39" s="60" customFormat="1" x14ac:dyDescent="0.3">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101"/>
    </row>
    <row r="228" spans="1:39" s="60" customFormat="1" x14ac:dyDescent="0.3">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101"/>
    </row>
    <row r="229" spans="1:39" s="60" customFormat="1" x14ac:dyDescent="0.3">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101"/>
    </row>
    <row r="230" spans="1:39" s="60" customFormat="1" x14ac:dyDescent="0.3">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101"/>
    </row>
    <row r="231" spans="1:39" s="60" customFormat="1" x14ac:dyDescent="0.3">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101"/>
    </row>
    <row r="232" spans="1:39" s="60" customFormat="1" x14ac:dyDescent="0.3">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101"/>
    </row>
    <row r="233" spans="1:39" s="60" customFormat="1" x14ac:dyDescent="0.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101"/>
    </row>
    <row r="234" spans="1:39" s="60" customFormat="1" x14ac:dyDescent="0.3">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101"/>
    </row>
    <row r="235" spans="1:39" s="60" customFormat="1" x14ac:dyDescent="0.3">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101"/>
    </row>
    <row r="236" spans="1:39" s="60" customFormat="1" x14ac:dyDescent="0.3">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101"/>
    </row>
    <row r="237" spans="1:39" s="60" customFormat="1" x14ac:dyDescent="0.3">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101"/>
    </row>
    <row r="238" spans="1:39" s="60" customFormat="1" x14ac:dyDescent="0.3">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101"/>
    </row>
    <row r="239" spans="1:39" s="60" customFormat="1" x14ac:dyDescent="0.3">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101"/>
    </row>
    <row r="240" spans="1:39" s="60" customFormat="1" x14ac:dyDescent="0.3">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101"/>
    </row>
    <row r="241" spans="1:39" s="60" customFormat="1" x14ac:dyDescent="0.3">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101"/>
    </row>
    <row r="242" spans="1:39" s="60" customFormat="1" x14ac:dyDescent="0.3">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101"/>
    </row>
    <row r="243" spans="1:39" s="60" customFormat="1" x14ac:dyDescent="0.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101"/>
    </row>
    <row r="244" spans="1:39" s="60" customFormat="1" x14ac:dyDescent="0.3">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101"/>
    </row>
    <row r="245" spans="1:39" s="60" customFormat="1" x14ac:dyDescent="0.3">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101"/>
    </row>
    <row r="246" spans="1:39" s="60" customFormat="1" x14ac:dyDescent="0.3">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101"/>
    </row>
    <row r="247" spans="1:39" s="60" customFormat="1" x14ac:dyDescent="0.3">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101"/>
    </row>
    <row r="248" spans="1:39" s="60" customFormat="1" x14ac:dyDescent="0.3">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101"/>
    </row>
    <row r="249" spans="1:39" s="60" customFormat="1" x14ac:dyDescent="0.3">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101"/>
    </row>
    <row r="250" spans="1:39" s="60" customFormat="1" x14ac:dyDescent="0.3">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101"/>
    </row>
    <row r="251" spans="1:39" s="60" customFormat="1" x14ac:dyDescent="0.3">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101"/>
    </row>
    <row r="252" spans="1:39" s="60" customFormat="1" x14ac:dyDescent="0.3">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101"/>
    </row>
    <row r="253" spans="1:39" s="60" customFormat="1" x14ac:dyDescent="0.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101"/>
    </row>
    <row r="254" spans="1:39" s="60" customFormat="1" x14ac:dyDescent="0.3">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101"/>
    </row>
    <row r="255" spans="1:39" s="60" customFormat="1" x14ac:dyDescent="0.3">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101"/>
    </row>
    <row r="256" spans="1:39" s="60" customFormat="1" x14ac:dyDescent="0.3">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101"/>
    </row>
    <row r="257" spans="1:39" s="60" customFormat="1" x14ac:dyDescent="0.3">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101"/>
    </row>
    <row r="258" spans="1:39" s="60" customFormat="1" x14ac:dyDescent="0.3">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101"/>
    </row>
    <row r="259" spans="1:39" s="60" customFormat="1" x14ac:dyDescent="0.3">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101"/>
    </row>
    <row r="260" spans="1:39" s="60" customFormat="1" x14ac:dyDescent="0.3">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101"/>
    </row>
    <row r="261" spans="1:39" s="60" customFormat="1" x14ac:dyDescent="0.3">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101"/>
    </row>
    <row r="262" spans="1:39" s="60" customFormat="1" x14ac:dyDescent="0.3">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101"/>
    </row>
    <row r="263" spans="1:39" s="60" customFormat="1" x14ac:dyDescent="0.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101"/>
    </row>
    <row r="264" spans="1:39" s="60" customFormat="1" x14ac:dyDescent="0.3">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101"/>
    </row>
    <row r="265" spans="1:39" s="60" customFormat="1" x14ac:dyDescent="0.3">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101"/>
    </row>
    <row r="266" spans="1:39" s="60" customFormat="1" x14ac:dyDescent="0.3">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101"/>
    </row>
    <row r="267" spans="1:39" s="60" customFormat="1" x14ac:dyDescent="0.3">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101"/>
    </row>
    <row r="268" spans="1:39" s="60" customFormat="1" x14ac:dyDescent="0.3">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101"/>
    </row>
    <row r="269" spans="1:39" s="60" customFormat="1" x14ac:dyDescent="0.3">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101"/>
    </row>
    <row r="270" spans="1:39" s="60" customFormat="1" x14ac:dyDescent="0.3">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101"/>
    </row>
    <row r="271" spans="1:39" s="60" customFormat="1" x14ac:dyDescent="0.3">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101"/>
    </row>
    <row r="272" spans="1:39" s="60" customFormat="1" x14ac:dyDescent="0.3">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101"/>
    </row>
    <row r="273" spans="1:39" s="60" customFormat="1" x14ac:dyDescent="0.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101"/>
    </row>
    <row r="274" spans="1:39" s="60" customFormat="1" x14ac:dyDescent="0.3">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101"/>
    </row>
    <row r="275" spans="1:39" s="60" customFormat="1" x14ac:dyDescent="0.3">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101"/>
    </row>
    <row r="276" spans="1:39" s="60" customFormat="1" x14ac:dyDescent="0.3">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101"/>
    </row>
    <row r="277" spans="1:39" s="60" customFormat="1" x14ac:dyDescent="0.3">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101"/>
    </row>
    <row r="278" spans="1:39" s="60" customFormat="1" x14ac:dyDescent="0.3">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101"/>
    </row>
    <row r="279" spans="1:39" s="60" customFormat="1" x14ac:dyDescent="0.3">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101"/>
    </row>
    <row r="280" spans="1:39" s="60" customFormat="1" x14ac:dyDescent="0.3">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101"/>
    </row>
    <row r="281" spans="1:39" s="60" customFormat="1" x14ac:dyDescent="0.3">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101"/>
    </row>
    <row r="282" spans="1:39" s="60" customFormat="1" x14ac:dyDescent="0.3">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101"/>
    </row>
    <row r="283" spans="1:39" s="60" customFormat="1" x14ac:dyDescent="0.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101"/>
    </row>
    <row r="284" spans="1:39" s="60" customFormat="1" x14ac:dyDescent="0.3">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101"/>
    </row>
    <row r="285" spans="1:39" s="60" customFormat="1" x14ac:dyDescent="0.3">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101"/>
    </row>
    <row r="286" spans="1:39" s="60" customFormat="1" x14ac:dyDescent="0.3">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101"/>
    </row>
    <row r="287" spans="1:39" s="60" customFormat="1" x14ac:dyDescent="0.3">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101"/>
    </row>
    <row r="288" spans="1:39" s="60" customFormat="1" x14ac:dyDescent="0.3">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101"/>
    </row>
    <row r="289" spans="1:39" s="60" customFormat="1" x14ac:dyDescent="0.3">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101"/>
    </row>
    <row r="290" spans="1:39" s="60" customFormat="1" x14ac:dyDescent="0.3">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101"/>
    </row>
    <row r="291" spans="1:39" s="60" customFormat="1" x14ac:dyDescent="0.3">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101"/>
    </row>
    <row r="292" spans="1:39" s="60" customFormat="1" x14ac:dyDescent="0.3">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101"/>
    </row>
    <row r="293" spans="1:39" s="60" customFormat="1" x14ac:dyDescent="0.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101"/>
    </row>
    <row r="294" spans="1:39" s="60" customFormat="1" x14ac:dyDescent="0.3">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101"/>
    </row>
    <row r="295" spans="1:39" s="60" customFormat="1" x14ac:dyDescent="0.3">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101"/>
    </row>
    <row r="296" spans="1:39" s="60" customFormat="1" x14ac:dyDescent="0.3">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101"/>
    </row>
    <row r="297" spans="1:39" s="60" customFormat="1" x14ac:dyDescent="0.3">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101"/>
    </row>
    <row r="298" spans="1:39" s="60" customFormat="1" x14ac:dyDescent="0.3">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101"/>
    </row>
    <row r="299" spans="1:39" s="60" customFormat="1" x14ac:dyDescent="0.3">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101"/>
    </row>
    <row r="300" spans="1:39" s="60" customFormat="1" x14ac:dyDescent="0.3">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101"/>
    </row>
    <row r="301" spans="1:39" s="60" customFormat="1" x14ac:dyDescent="0.3">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101"/>
    </row>
    <row r="302" spans="1:39" s="60" customFormat="1" x14ac:dyDescent="0.3">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101"/>
    </row>
    <row r="303" spans="1:39" s="60" customFormat="1" x14ac:dyDescent="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101"/>
    </row>
    <row r="304" spans="1:39" s="60" customFormat="1" x14ac:dyDescent="0.3">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101"/>
    </row>
    <row r="305" spans="1:39" s="60" customFormat="1" x14ac:dyDescent="0.3">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101"/>
    </row>
    <row r="306" spans="1:39" s="60" customFormat="1" x14ac:dyDescent="0.3">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101"/>
    </row>
    <row r="307" spans="1:39" s="60" customFormat="1" x14ac:dyDescent="0.3">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101"/>
    </row>
    <row r="308" spans="1:39" s="60" customFormat="1" x14ac:dyDescent="0.3">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101"/>
    </row>
    <row r="309" spans="1:39" s="60" customFormat="1" x14ac:dyDescent="0.3">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101"/>
    </row>
    <row r="310" spans="1:39" s="60" customFormat="1" x14ac:dyDescent="0.3">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101"/>
    </row>
    <row r="311" spans="1:39" s="60" customFormat="1" x14ac:dyDescent="0.3">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101"/>
    </row>
    <row r="312" spans="1:39" s="60" customFormat="1" x14ac:dyDescent="0.3">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101"/>
    </row>
    <row r="313" spans="1:39" s="60" customFormat="1" x14ac:dyDescent="0.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101"/>
    </row>
    <row r="314" spans="1:39" s="60" customFormat="1" x14ac:dyDescent="0.3">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101"/>
    </row>
    <row r="315" spans="1:39" s="60" customFormat="1" x14ac:dyDescent="0.3">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101"/>
    </row>
    <row r="316" spans="1:39" s="60" customFormat="1" x14ac:dyDescent="0.3">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101"/>
    </row>
    <row r="317" spans="1:39" s="60" customFormat="1" x14ac:dyDescent="0.3">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101"/>
    </row>
    <row r="318" spans="1:39" s="60" customFormat="1" x14ac:dyDescent="0.3">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101"/>
    </row>
    <row r="319" spans="1:39" s="60" customFormat="1" x14ac:dyDescent="0.3">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101"/>
    </row>
    <row r="320" spans="1:39" s="60" customFormat="1" x14ac:dyDescent="0.3">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101"/>
    </row>
    <row r="321" spans="1:39" s="60" customFormat="1" x14ac:dyDescent="0.3">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101"/>
    </row>
    <row r="322" spans="1:39" s="60" customFormat="1" x14ac:dyDescent="0.3">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101"/>
    </row>
    <row r="323" spans="1:39" s="60" customFormat="1" x14ac:dyDescent="0.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101"/>
    </row>
    <row r="324" spans="1:39" s="60" customFormat="1" x14ac:dyDescent="0.3">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101"/>
    </row>
    <row r="325" spans="1:39" s="60" customFormat="1" x14ac:dyDescent="0.3">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101"/>
    </row>
    <row r="326" spans="1:39" s="60" customFormat="1" x14ac:dyDescent="0.3">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101"/>
    </row>
    <row r="327" spans="1:39" s="60" customFormat="1" x14ac:dyDescent="0.3">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101"/>
    </row>
    <row r="328" spans="1:39" s="60" customFormat="1" x14ac:dyDescent="0.3">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101"/>
    </row>
    <row r="329" spans="1:39" s="60" customFormat="1" x14ac:dyDescent="0.3">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101"/>
    </row>
    <row r="330" spans="1:39" s="60" customFormat="1" x14ac:dyDescent="0.3">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101"/>
    </row>
    <row r="331" spans="1:39" s="60" customFormat="1" x14ac:dyDescent="0.3">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101"/>
    </row>
    <row r="332" spans="1:39" s="60" customFormat="1" x14ac:dyDescent="0.3">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101"/>
    </row>
    <row r="333" spans="1:39" s="60" customFormat="1" x14ac:dyDescent="0.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101"/>
    </row>
    <row r="334" spans="1:39" s="60" customFormat="1" x14ac:dyDescent="0.3">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101"/>
    </row>
    <row r="335" spans="1:39" s="60" customFormat="1" x14ac:dyDescent="0.3">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101"/>
    </row>
    <row r="336" spans="1:39" s="60" customFormat="1" x14ac:dyDescent="0.3">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101"/>
    </row>
    <row r="337" spans="1:39" s="60" customFormat="1" x14ac:dyDescent="0.3">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101"/>
    </row>
    <row r="338" spans="1:39" s="60" customFormat="1" x14ac:dyDescent="0.3">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101"/>
    </row>
    <row r="339" spans="1:39" s="60" customFormat="1" x14ac:dyDescent="0.3">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101"/>
    </row>
    <row r="340" spans="1:39" s="60" customFormat="1" x14ac:dyDescent="0.3">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101"/>
    </row>
    <row r="341" spans="1:39" s="60" customFormat="1" x14ac:dyDescent="0.3">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101"/>
    </row>
    <row r="342" spans="1:39" s="60" customFormat="1" x14ac:dyDescent="0.3">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101"/>
    </row>
    <row r="343" spans="1:39" s="60" customFormat="1" x14ac:dyDescent="0.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101"/>
    </row>
    <row r="344" spans="1:39" s="60" customFormat="1" x14ac:dyDescent="0.3">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101"/>
    </row>
    <row r="345" spans="1:39" s="60" customFormat="1" x14ac:dyDescent="0.3">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101"/>
    </row>
    <row r="346" spans="1:39" s="60" customFormat="1" x14ac:dyDescent="0.3">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101"/>
    </row>
    <row r="347" spans="1:39" s="60" customFormat="1" x14ac:dyDescent="0.3">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101"/>
    </row>
    <row r="348" spans="1:39" s="60" customFormat="1" x14ac:dyDescent="0.3">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101"/>
    </row>
    <row r="349" spans="1:39" s="60" customFormat="1" x14ac:dyDescent="0.3">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101"/>
    </row>
    <row r="350" spans="1:39" s="60" customFormat="1" x14ac:dyDescent="0.3">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101"/>
    </row>
    <row r="351" spans="1:39" s="60" customFormat="1" x14ac:dyDescent="0.3">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101"/>
    </row>
    <row r="352" spans="1:39" s="60" customFormat="1" x14ac:dyDescent="0.3">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101"/>
    </row>
    <row r="353" spans="1:39" s="60" customFormat="1" x14ac:dyDescent="0.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101"/>
    </row>
    <row r="354" spans="1:39" s="60" customFormat="1" x14ac:dyDescent="0.3">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101"/>
    </row>
    <row r="355" spans="1:39" s="60" customFormat="1" x14ac:dyDescent="0.3">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101"/>
    </row>
    <row r="356" spans="1:39" s="60" customFormat="1" x14ac:dyDescent="0.3">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101"/>
    </row>
    <row r="357" spans="1:39" s="60" customFormat="1" x14ac:dyDescent="0.3">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101"/>
    </row>
    <row r="358" spans="1:39" s="60" customFormat="1" x14ac:dyDescent="0.3">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101"/>
    </row>
    <row r="359" spans="1:39" s="60" customFormat="1" x14ac:dyDescent="0.3">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101"/>
    </row>
    <row r="360" spans="1:39" s="60" customFormat="1" x14ac:dyDescent="0.3">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101"/>
    </row>
    <row r="361" spans="1:39" s="60" customFormat="1" x14ac:dyDescent="0.3">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101"/>
    </row>
    <row r="362" spans="1:39" s="60" customFormat="1" x14ac:dyDescent="0.3">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101"/>
    </row>
    <row r="363" spans="1:39" s="60" customFormat="1" x14ac:dyDescent="0.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101"/>
    </row>
    <row r="364" spans="1:39" s="60" customFormat="1" x14ac:dyDescent="0.3">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101"/>
    </row>
    <row r="365" spans="1:39" s="60" customFormat="1" x14ac:dyDescent="0.3">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101"/>
    </row>
    <row r="366" spans="1:39" s="60" customFormat="1" x14ac:dyDescent="0.3">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101"/>
    </row>
    <row r="367" spans="1:39" s="60" customFormat="1" x14ac:dyDescent="0.3">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101"/>
    </row>
    <row r="368" spans="1:39" s="60" customFormat="1" x14ac:dyDescent="0.3">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101"/>
    </row>
    <row r="369" spans="1:39" s="60" customFormat="1" x14ac:dyDescent="0.3">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101"/>
    </row>
    <row r="370" spans="1:39" s="60" customFormat="1" x14ac:dyDescent="0.3">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101"/>
    </row>
    <row r="371" spans="1:39" s="60" customFormat="1" x14ac:dyDescent="0.3">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101"/>
    </row>
    <row r="372" spans="1:39" s="60" customFormat="1" x14ac:dyDescent="0.3">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101"/>
    </row>
    <row r="373" spans="1:39" s="60" customFormat="1" x14ac:dyDescent="0.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101"/>
    </row>
    <row r="374" spans="1:39" s="60" customFormat="1" x14ac:dyDescent="0.3">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101"/>
    </row>
    <row r="375" spans="1:39" s="60" customFormat="1" x14ac:dyDescent="0.3">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101"/>
    </row>
    <row r="376" spans="1:39" s="60" customFormat="1" x14ac:dyDescent="0.3">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101"/>
    </row>
    <row r="377" spans="1:39" s="60" customFormat="1" x14ac:dyDescent="0.3">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101"/>
    </row>
    <row r="378" spans="1:39" s="60" customFormat="1" x14ac:dyDescent="0.3">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101"/>
    </row>
    <row r="379" spans="1:39" s="60" customFormat="1" x14ac:dyDescent="0.3">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101"/>
    </row>
    <row r="380" spans="1:39" s="60" customFormat="1" x14ac:dyDescent="0.3">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101"/>
    </row>
    <row r="381" spans="1:39" s="60" customFormat="1" x14ac:dyDescent="0.3">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101"/>
    </row>
    <row r="382" spans="1:39" s="60" customFormat="1" x14ac:dyDescent="0.3">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101"/>
    </row>
    <row r="383" spans="1:39" s="60" customFormat="1" x14ac:dyDescent="0.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101"/>
    </row>
    <row r="384" spans="1:39" s="60" customFormat="1" x14ac:dyDescent="0.3">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101"/>
    </row>
    <row r="385" spans="1:39" s="60" customFormat="1" x14ac:dyDescent="0.3">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101"/>
    </row>
    <row r="386" spans="1:39" s="60" customFormat="1" x14ac:dyDescent="0.3">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101"/>
    </row>
    <row r="387" spans="1:39" s="60" customFormat="1" x14ac:dyDescent="0.3">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101"/>
    </row>
    <row r="388" spans="1:39" s="60" customFormat="1" x14ac:dyDescent="0.3">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101"/>
    </row>
    <row r="389" spans="1:39" s="60" customFormat="1" x14ac:dyDescent="0.3">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101"/>
    </row>
    <row r="390" spans="1:39" s="60" customFormat="1" x14ac:dyDescent="0.3">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101"/>
    </row>
    <row r="391" spans="1:39" s="60" customFormat="1" x14ac:dyDescent="0.3">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101"/>
    </row>
    <row r="392" spans="1:39" s="60" customFormat="1" x14ac:dyDescent="0.3">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101"/>
    </row>
    <row r="393" spans="1:39" s="60" customFormat="1" x14ac:dyDescent="0.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101"/>
    </row>
    <row r="394" spans="1:39" s="60" customFormat="1" x14ac:dyDescent="0.3">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101"/>
    </row>
    <row r="395" spans="1:39" s="60" customFormat="1" x14ac:dyDescent="0.3">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101"/>
    </row>
    <row r="396" spans="1:39" s="60" customFormat="1" x14ac:dyDescent="0.3">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101"/>
    </row>
    <row r="397" spans="1:39" s="60" customFormat="1" x14ac:dyDescent="0.3">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101"/>
    </row>
    <row r="398" spans="1:39" s="60" customFormat="1" x14ac:dyDescent="0.3">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101"/>
    </row>
    <row r="399" spans="1:39" s="60" customFormat="1" x14ac:dyDescent="0.3">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101"/>
    </row>
    <row r="400" spans="1:39" s="60" customFormat="1" x14ac:dyDescent="0.3">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101"/>
    </row>
    <row r="401" spans="1:39" s="60" customFormat="1" x14ac:dyDescent="0.3">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101"/>
    </row>
    <row r="402" spans="1:39" s="60" customFormat="1" x14ac:dyDescent="0.3">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101"/>
    </row>
    <row r="403" spans="1:39" s="60" customFormat="1" x14ac:dyDescent="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101"/>
    </row>
    <row r="404" spans="1:39" s="60" customFormat="1" x14ac:dyDescent="0.3">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101"/>
    </row>
    <row r="405" spans="1:39" s="60" customFormat="1" x14ac:dyDescent="0.3">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101"/>
    </row>
    <row r="406" spans="1:39" s="60" customFormat="1" x14ac:dyDescent="0.3">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101"/>
    </row>
    <row r="407" spans="1:39" s="60" customFormat="1" x14ac:dyDescent="0.3">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101"/>
    </row>
    <row r="408" spans="1:39" s="60" customFormat="1" x14ac:dyDescent="0.3">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101"/>
    </row>
    <row r="409" spans="1:39" s="60" customFormat="1" x14ac:dyDescent="0.3">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101"/>
    </row>
    <row r="410" spans="1:39" s="60" customFormat="1" x14ac:dyDescent="0.3">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101"/>
    </row>
    <row r="411" spans="1:39" s="60" customFormat="1" x14ac:dyDescent="0.3">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101"/>
    </row>
    <row r="412" spans="1:39" s="60" customFormat="1" x14ac:dyDescent="0.3">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101"/>
    </row>
    <row r="413" spans="1:39" s="60" customFormat="1" x14ac:dyDescent="0.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101"/>
    </row>
    <row r="414" spans="1:39" s="60" customFormat="1" x14ac:dyDescent="0.3">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101"/>
    </row>
    <row r="415" spans="1:39" s="60" customFormat="1" x14ac:dyDescent="0.3">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101"/>
    </row>
    <row r="416" spans="1:39" s="60" customFormat="1" x14ac:dyDescent="0.3">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101"/>
    </row>
    <row r="417" spans="1:39" s="60" customFormat="1" x14ac:dyDescent="0.3">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101"/>
    </row>
    <row r="418" spans="1:39" s="60" customFormat="1" x14ac:dyDescent="0.3">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101"/>
    </row>
    <row r="419" spans="1:39" s="60" customFormat="1" x14ac:dyDescent="0.3">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101"/>
    </row>
    <row r="420" spans="1:39" s="60" customFormat="1" x14ac:dyDescent="0.3">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101"/>
    </row>
    <row r="421" spans="1:39" s="60" customFormat="1" x14ac:dyDescent="0.3">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101"/>
    </row>
    <row r="422" spans="1:39" s="60" customFormat="1" x14ac:dyDescent="0.3">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101"/>
    </row>
    <row r="423" spans="1:39" s="60" customFormat="1" x14ac:dyDescent="0.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101"/>
    </row>
    <row r="424" spans="1:39" s="60" customFormat="1" x14ac:dyDescent="0.3">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101"/>
    </row>
    <row r="425" spans="1:39" s="60" customFormat="1" x14ac:dyDescent="0.3">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101"/>
    </row>
    <row r="426" spans="1:39" s="60" customFormat="1" x14ac:dyDescent="0.3">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101"/>
    </row>
    <row r="427" spans="1:39" s="60" customFormat="1" x14ac:dyDescent="0.3">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101"/>
    </row>
    <row r="428" spans="1:39" s="60" customFormat="1" x14ac:dyDescent="0.3">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101"/>
    </row>
    <row r="429" spans="1:39" s="60" customFormat="1" x14ac:dyDescent="0.3">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101"/>
    </row>
    <row r="430" spans="1:39" s="60" customFormat="1" x14ac:dyDescent="0.3">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101"/>
    </row>
    <row r="431" spans="1:39" s="60" customFormat="1" x14ac:dyDescent="0.3">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101"/>
    </row>
    <row r="432" spans="1:39" s="60" customFormat="1" x14ac:dyDescent="0.3">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101"/>
    </row>
    <row r="433" spans="1:39" s="60" customFormat="1" x14ac:dyDescent="0.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101"/>
    </row>
    <row r="434" spans="1:39" s="60" customFormat="1" x14ac:dyDescent="0.3">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101"/>
    </row>
    <row r="435" spans="1:39" s="60" customFormat="1" x14ac:dyDescent="0.3">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101"/>
    </row>
    <row r="436" spans="1:39" s="60" customFormat="1" x14ac:dyDescent="0.3">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101"/>
    </row>
    <row r="437" spans="1:39" s="60" customFormat="1" x14ac:dyDescent="0.3">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101"/>
    </row>
    <row r="438" spans="1:39" s="60" customFormat="1" x14ac:dyDescent="0.3">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101"/>
    </row>
    <row r="439" spans="1:39" s="60" customFormat="1" x14ac:dyDescent="0.3">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101"/>
    </row>
    <row r="440" spans="1:39" s="60" customFormat="1" x14ac:dyDescent="0.3">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101"/>
    </row>
    <row r="441" spans="1:39" s="60" customFormat="1" x14ac:dyDescent="0.3">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101"/>
    </row>
    <row r="442" spans="1:39" s="60" customFormat="1" x14ac:dyDescent="0.3">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101"/>
    </row>
    <row r="443" spans="1:39" s="60" customFormat="1" x14ac:dyDescent="0.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101"/>
    </row>
    <row r="444" spans="1:39" s="60" customFormat="1" x14ac:dyDescent="0.3">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101"/>
    </row>
    <row r="445" spans="1:39" s="60" customFormat="1" x14ac:dyDescent="0.3">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101"/>
    </row>
    <row r="446" spans="1:39" s="60" customFormat="1" x14ac:dyDescent="0.3">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101"/>
    </row>
  </sheetData>
  <sheetProtection algorithmName="SHA-512" hashValue="69r4OhQgNaw4fTGt00LUZE9mM2wCiy6uPIlaV9MiBKMfsuIy541B8uUDR4Qjc8j3QSPH4Yo85bcmJNUXUAsYNA==" saltValue="H8rYm4IFN0oKEqqeBeqzKA==" spinCount="100000" sheet="1" formatRows="0" insertRows="0"/>
  <mergeCells count="518">
    <mergeCell ref="A1:AL1"/>
    <mergeCell ref="A124:AL124"/>
    <mergeCell ref="A120:AL120"/>
    <mergeCell ref="A121:AL121"/>
    <mergeCell ref="A122:AI122"/>
    <mergeCell ref="AJ122:AL122"/>
    <mergeCell ref="A123:AL123"/>
    <mergeCell ref="AM184:AM185"/>
    <mergeCell ref="B51:AL51"/>
    <mergeCell ref="A65:AL65"/>
    <mergeCell ref="A66:S66"/>
    <mergeCell ref="T66:AL66"/>
    <mergeCell ref="A67:S67"/>
    <mergeCell ref="T67:AL67"/>
    <mergeCell ref="AM104:AV104"/>
    <mergeCell ref="AM52:AO52"/>
    <mergeCell ref="B53:Y53"/>
    <mergeCell ref="Z53:AJ53"/>
    <mergeCell ref="AK53:AL53"/>
    <mergeCell ref="B54:Y54"/>
    <mergeCell ref="Z54:AJ54"/>
    <mergeCell ref="AK54:AL54"/>
    <mergeCell ref="A50:A51"/>
    <mergeCell ref="B50:AL50"/>
    <mergeCell ref="A4:F4"/>
    <mergeCell ref="H4:L4"/>
    <mergeCell ref="A5:F5"/>
    <mergeCell ref="H5:L5"/>
    <mergeCell ref="A18:A19"/>
    <mergeCell ref="B18:AL18"/>
    <mergeCell ref="B19:AL19"/>
    <mergeCell ref="A7:F7"/>
    <mergeCell ref="G7:L7"/>
    <mergeCell ref="N7:P7"/>
    <mergeCell ref="Q7:AA7"/>
    <mergeCell ref="AB7:AE7"/>
    <mergeCell ref="A8:P8"/>
    <mergeCell ref="Q8:AL8"/>
    <mergeCell ref="A9:AL9"/>
    <mergeCell ref="A11:AL11"/>
    <mergeCell ref="A12:AL12"/>
    <mergeCell ref="A13:AL13"/>
    <mergeCell ref="A15:AK15"/>
    <mergeCell ref="A16:A17"/>
    <mergeCell ref="B16:AL16"/>
    <mergeCell ref="B17:AL17"/>
    <mergeCell ref="A20:A23"/>
    <mergeCell ref="B20:AL20"/>
    <mergeCell ref="B21:AL21"/>
    <mergeCell ref="A24:A25"/>
    <mergeCell ref="B24:V24"/>
    <mergeCell ref="W24:AL24"/>
    <mergeCell ref="B25:V25"/>
    <mergeCell ref="W25:AL25"/>
    <mergeCell ref="B22:AL22"/>
    <mergeCell ref="B23:AL23"/>
    <mergeCell ref="A26:A34"/>
    <mergeCell ref="B26:AL26"/>
    <mergeCell ref="B27:AL27"/>
    <mergeCell ref="B28:AL28"/>
    <mergeCell ref="B29:AL29"/>
    <mergeCell ref="B30:AL30"/>
    <mergeCell ref="B31:AL31"/>
    <mergeCell ref="B32:AL32"/>
    <mergeCell ref="B33:AL33"/>
    <mergeCell ref="B34:AL34"/>
    <mergeCell ref="B45:AL45"/>
    <mergeCell ref="A46:A47"/>
    <mergeCell ref="B46:AL46"/>
    <mergeCell ref="B47:AL47"/>
    <mergeCell ref="A48:A49"/>
    <mergeCell ref="B48:AL48"/>
    <mergeCell ref="W40:AL40"/>
    <mergeCell ref="B41:AL41"/>
    <mergeCell ref="B42:AL42"/>
    <mergeCell ref="A43:A44"/>
    <mergeCell ref="B43:AL43"/>
    <mergeCell ref="A35:A42"/>
    <mergeCell ref="B35:AL35"/>
    <mergeCell ref="B36:AL36"/>
    <mergeCell ref="B37:X37"/>
    <mergeCell ref="Y37:AL37"/>
    <mergeCell ref="B38:X38"/>
    <mergeCell ref="Y38:AL38"/>
    <mergeCell ref="B39:V39"/>
    <mergeCell ref="W39:AL39"/>
    <mergeCell ref="B40:V40"/>
    <mergeCell ref="B49:AL49"/>
    <mergeCell ref="B44:S44"/>
    <mergeCell ref="T44:AL44"/>
    <mergeCell ref="B63:AL63"/>
    <mergeCell ref="A64:AL64"/>
    <mergeCell ref="B60:AL60"/>
    <mergeCell ref="B59:Y59"/>
    <mergeCell ref="Z59:AJ59"/>
    <mergeCell ref="AK59:AL59"/>
    <mergeCell ref="Z55:AJ55"/>
    <mergeCell ref="AK55:AL55"/>
    <mergeCell ref="B56:Y56"/>
    <mergeCell ref="Z56:AJ56"/>
    <mergeCell ref="AK56:AL56"/>
    <mergeCell ref="B57:Y57"/>
    <mergeCell ref="Z57:AJ57"/>
    <mergeCell ref="AK57:AL57"/>
    <mergeCell ref="A62:AL62"/>
    <mergeCell ref="A52:A59"/>
    <mergeCell ref="B52:AL52"/>
    <mergeCell ref="B55:Y55"/>
    <mergeCell ref="B58:Y58"/>
    <mergeCell ref="Z58:AJ58"/>
    <mergeCell ref="AK58:AL58"/>
    <mergeCell ref="A61:AL61"/>
    <mergeCell ref="B74:AL74"/>
    <mergeCell ref="AM74:AU75"/>
    <mergeCell ref="A75:AL75"/>
    <mergeCell ref="A98:AL98"/>
    <mergeCell ref="A70:AL70"/>
    <mergeCell ref="A71:AL71"/>
    <mergeCell ref="A72:AL72"/>
    <mergeCell ref="A73:AL73"/>
    <mergeCell ref="B76:J76"/>
    <mergeCell ref="K76:P76"/>
    <mergeCell ref="Q76:W76"/>
    <mergeCell ref="X76:AE76"/>
    <mergeCell ref="AF76:AJ76"/>
    <mergeCell ref="AK76:AL76"/>
    <mergeCell ref="B77:J77"/>
    <mergeCell ref="K77:P77"/>
    <mergeCell ref="Q77:W77"/>
    <mergeCell ref="X77:AE77"/>
    <mergeCell ref="AF77:AJ77"/>
    <mergeCell ref="AK77:AL77"/>
    <mergeCell ref="B78:J78"/>
    <mergeCell ref="K78:P78"/>
    <mergeCell ref="Q78:W78"/>
    <mergeCell ref="X78:AE78"/>
    <mergeCell ref="A105:AL105"/>
    <mergeCell ref="A106:AL106"/>
    <mergeCell ref="A107:AL107"/>
    <mergeCell ref="A108:AL108"/>
    <mergeCell ref="A109:AL109"/>
    <mergeCell ref="A99:AL99"/>
    <mergeCell ref="A100:AL100"/>
    <mergeCell ref="A101:AL101"/>
    <mergeCell ref="A102:AL102"/>
    <mergeCell ref="A103:AL103"/>
    <mergeCell ref="A104:AL104"/>
    <mergeCell ref="AM106:AV106"/>
    <mergeCell ref="A115:AL115"/>
    <mergeCell ref="A116:AL116"/>
    <mergeCell ref="A117:AL117"/>
    <mergeCell ref="A118:AL118"/>
    <mergeCell ref="A119:AL119"/>
    <mergeCell ref="A110:AL110"/>
    <mergeCell ref="A111:AL111"/>
    <mergeCell ref="A112:AL112"/>
    <mergeCell ref="A113:AL113"/>
    <mergeCell ref="A114:AL114"/>
    <mergeCell ref="A125:AL125"/>
    <mergeCell ref="B126:F126"/>
    <mergeCell ref="G126:K126"/>
    <mergeCell ref="L126:O126"/>
    <mergeCell ref="AA126:AG126"/>
    <mergeCell ref="AH126:AJ126"/>
    <mergeCell ref="AK126:AL126"/>
    <mergeCell ref="P126:V126"/>
    <mergeCell ref="W126:Z126"/>
    <mergeCell ref="AH127:AJ127"/>
    <mergeCell ref="AK127:AL127"/>
    <mergeCell ref="B128:F128"/>
    <mergeCell ref="G128:K128"/>
    <mergeCell ref="L128:O128"/>
    <mergeCell ref="AA128:AG128"/>
    <mergeCell ref="AH128:AJ128"/>
    <mergeCell ref="AK128:AL128"/>
    <mergeCell ref="B127:F127"/>
    <mergeCell ref="G127:K127"/>
    <mergeCell ref="L127:O127"/>
    <mergeCell ref="AA127:AG127"/>
    <mergeCell ref="P127:V127"/>
    <mergeCell ref="W127:Z127"/>
    <mergeCell ref="P128:V128"/>
    <mergeCell ref="W128:Z128"/>
    <mergeCell ref="AH129:AJ129"/>
    <mergeCell ref="AK129:AL129"/>
    <mergeCell ref="B130:F130"/>
    <mergeCell ref="G130:K130"/>
    <mergeCell ref="L130:O130"/>
    <mergeCell ref="AA130:AG130"/>
    <mergeCell ref="AH130:AJ130"/>
    <mergeCell ref="AK130:AL130"/>
    <mergeCell ref="B129:F129"/>
    <mergeCell ref="G129:K129"/>
    <mergeCell ref="L129:O129"/>
    <mergeCell ref="AA129:AG129"/>
    <mergeCell ref="P129:V129"/>
    <mergeCell ref="W129:Z129"/>
    <mergeCell ref="P130:V130"/>
    <mergeCell ref="W130:Z130"/>
    <mergeCell ref="AH131:AJ131"/>
    <mergeCell ref="AK131:AL131"/>
    <mergeCell ref="B132:F132"/>
    <mergeCell ref="G132:K132"/>
    <mergeCell ref="L132:O132"/>
    <mergeCell ref="AA132:AG132"/>
    <mergeCell ref="AH132:AJ132"/>
    <mergeCell ref="AK132:AL132"/>
    <mergeCell ref="B131:F131"/>
    <mergeCell ref="G131:K131"/>
    <mergeCell ref="L131:O131"/>
    <mergeCell ref="AA131:AG131"/>
    <mergeCell ref="P131:V131"/>
    <mergeCell ref="W131:Z131"/>
    <mergeCell ref="P132:V132"/>
    <mergeCell ref="W132:Z132"/>
    <mergeCell ref="AH133:AJ133"/>
    <mergeCell ref="AK133:AL133"/>
    <mergeCell ref="B134:F134"/>
    <mergeCell ref="G134:K134"/>
    <mergeCell ref="L134:O134"/>
    <mergeCell ref="AA134:AG134"/>
    <mergeCell ref="AH134:AJ134"/>
    <mergeCell ref="AK134:AL134"/>
    <mergeCell ref="B133:F133"/>
    <mergeCell ref="G133:K133"/>
    <mergeCell ref="L133:O133"/>
    <mergeCell ref="AA133:AG133"/>
    <mergeCell ref="P133:V133"/>
    <mergeCell ref="W133:Z133"/>
    <mergeCell ref="P134:V134"/>
    <mergeCell ref="W134:Z134"/>
    <mergeCell ref="AH135:AJ135"/>
    <mergeCell ref="AK135:AL135"/>
    <mergeCell ref="B136:F136"/>
    <mergeCell ref="G136:K136"/>
    <mergeCell ref="L136:O136"/>
    <mergeCell ref="AA136:AG136"/>
    <mergeCell ref="AH136:AJ136"/>
    <mergeCell ref="AK136:AL136"/>
    <mergeCell ref="B135:F135"/>
    <mergeCell ref="G135:K135"/>
    <mergeCell ref="L135:O135"/>
    <mergeCell ref="AA135:AG135"/>
    <mergeCell ref="P135:V135"/>
    <mergeCell ref="W135:Z135"/>
    <mergeCell ref="P136:V136"/>
    <mergeCell ref="W136:Z136"/>
    <mergeCell ref="AH137:AJ137"/>
    <mergeCell ref="AK137:AL137"/>
    <mergeCell ref="B138:F138"/>
    <mergeCell ref="G138:K138"/>
    <mergeCell ref="L138:O138"/>
    <mergeCell ref="AA138:AG138"/>
    <mergeCell ref="AH138:AJ138"/>
    <mergeCell ref="AK138:AL138"/>
    <mergeCell ref="B137:F137"/>
    <mergeCell ref="G137:K137"/>
    <mergeCell ref="L137:O137"/>
    <mergeCell ref="AA137:AG137"/>
    <mergeCell ref="P137:V137"/>
    <mergeCell ref="W137:Z137"/>
    <mergeCell ref="P138:V138"/>
    <mergeCell ref="W138:Z138"/>
    <mergeCell ref="AH139:AJ139"/>
    <mergeCell ref="AK139:AL139"/>
    <mergeCell ref="B140:F140"/>
    <mergeCell ref="G140:K140"/>
    <mergeCell ref="L140:O140"/>
    <mergeCell ref="AA140:AG140"/>
    <mergeCell ref="AH140:AJ140"/>
    <mergeCell ref="AK140:AL140"/>
    <mergeCell ref="B139:F139"/>
    <mergeCell ref="G139:K139"/>
    <mergeCell ref="L139:O139"/>
    <mergeCell ref="AA139:AG139"/>
    <mergeCell ref="P139:V139"/>
    <mergeCell ref="W139:Z139"/>
    <mergeCell ref="P140:V140"/>
    <mergeCell ref="W140:Z140"/>
    <mergeCell ref="AH141:AJ141"/>
    <mergeCell ref="AK141:AL141"/>
    <mergeCell ref="B142:F142"/>
    <mergeCell ref="G142:K142"/>
    <mergeCell ref="L142:O142"/>
    <mergeCell ref="AA142:AG142"/>
    <mergeCell ref="AH142:AJ142"/>
    <mergeCell ref="AK142:AL142"/>
    <mergeCell ref="B141:F141"/>
    <mergeCell ref="G141:K141"/>
    <mergeCell ref="L141:O141"/>
    <mergeCell ref="AA141:AG141"/>
    <mergeCell ref="P141:V141"/>
    <mergeCell ref="W141:Z141"/>
    <mergeCell ref="P142:V142"/>
    <mergeCell ref="W142:Z142"/>
    <mergeCell ref="AH143:AJ143"/>
    <mergeCell ref="AK143:AL143"/>
    <mergeCell ref="B144:F144"/>
    <mergeCell ref="G144:K144"/>
    <mergeCell ref="L144:O144"/>
    <mergeCell ref="AA144:AG144"/>
    <mergeCell ref="AH144:AJ144"/>
    <mergeCell ref="AK144:AL144"/>
    <mergeCell ref="B143:F143"/>
    <mergeCell ref="G143:K143"/>
    <mergeCell ref="L143:O143"/>
    <mergeCell ref="AA143:AG143"/>
    <mergeCell ref="P143:V143"/>
    <mergeCell ref="W143:Z143"/>
    <mergeCell ref="P144:V144"/>
    <mergeCell ref="W144:Z144"/>
    <mergeCell ref="AH145:AJ145"/>
    <mergeCell ref="AK145:AL145"/>
    <mergeCell ref="B146:F146"/>
    <mergeCell ref="G146:K146"/>
    <mergeCell ref="L146:O146"/>
    <mergeCell ref="AA146:AG146"/>
    <mergeCell ref="AH146:AJ146"/>
    <mergeCell ref="AK146:AL146"/>
    <mergeCell ref="B145:F145"/>
    <mergeCell ref="G145:K145"/>
    <mergeCell ref="L145:O145"/>
    <mergeCell ref="AA145:AG145"/>
    <mergeCell ref="P145:V145"/>
    <mergeCell ref="W145:Z145"/>
    <mergeCell ref="P146:V146"/>
    <mergeCell ref="W146:Z146"/>
    <mergeCell ref="AH147:AJ147"/>
    <mergeCell ref="AK147:AL147"/>
    <mergeCell ref="B148:F148"/>
    <mergeCell ref="G148:K148"/>
    <mergeCell ref="L148:O148"/>
    <mergeCell ref="AA148:AG148"/>
    <mergeCell ref="AH148:AJ148"/>
    <mergeCell ref="AK148:AL148"/>
    <mergeCell ref="B147:F147"/>
    <mergeCell ref="G147:K147"/>
    <mergeCell ref="L147:O147"/>
    <mergeCell ref="AA147:AG147"/>
    <mergeCell ref="P147:V147"/>
    <mergeCell ref="W147:Z147"/>
    <mergeCell ref="P148:V148"/>
    <mergeCell ref="W148:Z148"/>
    <mergeCell ref="B152:S152"/>
    <mergeCell ref="T152:AJ152"/>
    <mergeCell ref="AH149:AJ149"/>
    <mergeCell ref="AK149:AL149"/>
    <mergeCell ref="AA150:AG150"/>
    <mergeCell ref="AH150:AJ150"/>
    <mergeCell ref="AK150:AL150"/>
    <mergeCell ref="B149:F149"/>
    <mergeCell ref="G149:K149"/>
    <mergeCell ref="L149:O149"/>
    <mergeCell ref="AA149:AG149"/>
    <mergeCell ref="A151:AL151"/>
    <mergeCell ref="P149:V149"/>
    <mergeCell ref="W149:Z149"/>
    <mergeCell ref="B150:O150"/>
    <mergeCell ref="P150:V150"/>
    <mergeCell ref="W150:Z150"/>
    <mergeCell ref="A155:AL155"/>
    <mergeCell ref="A156:AL156"/>
    <mergeCell ref="A157:AL157"/>
    <mergeCell ref="A158:AL158"/>
    <mergeCell ref="A159:AL159"/>
    <mergeCell ref="A160:AL160"/>
    <mergeCell ref="B153:S153"/>
    <mergeCell ref="T153:AJ153"/>
    <mergeCell ref="B154:S154"/>
    <mergeCell ref="T154:AJ154"/>
    <mergeCell ref="A169:AL169"/>
    <mergeCell ref="A170:AL170"/>
    <mergeCell ref="A163:AL163"/>
    <mergeCell ref="A164:AL164"/>
    <mergeCell ref="A167:AL167"/>
    <mergeCell ref="A168:AL168"/>
    <mergeCell ref="A161:AL161"/>
    <mergeCell ref="A162:AL162"/>
    <mergeCell ref="A165:AL165"/>
    <mergeCell ref="A166:AL166"/>
    <mergeCell ref="A182:AL182"/>
    <mergeCell ref="A184:AL184"/>
    <mergeCell ref="A185:AL185"/>
    <mergeCell ref="A186:AL190"/>
    <mergeCell ref="A178:AL178"/>
    <mergeCell ref="A179:AL179"/>
    <mergeCell ref="A174:AL174"/>
    <mergeCell ref="A175:AL175"/>
    <mergeCell ref="A171:AL171"/>
    <mergeCell ref="A172:S172"/>
    <mergeCell ref="T172:AL172"/>
    <mergeCell ref="A173:S173"/>
    <mergeCell ref="T173:AL173"/>
    <mergeCell ref="A180:AL180"/>
    <mergeCell ref="A183:AL183"/>
    <mergeCell ref="A176:AL176"/>
    <mergeCell ref="A177:AL177"/>
    <mergeCell ref="A181:AL181"/>
    <mergeCell ref="AF78:AJ78"/>
    <mergeCell ref="AK78:AL78"/>
    <mergeCell ref="B79:J79"/>
    <mergeCell ref="K79:P79"/>
    <mergeCell ref="Q79:W79"/>
    <mergeCell ref="X79:AE79"/>
    <mergeCell ref="AF79:AJ79"/>
    <mergeCell ref="AK79:AL79"/>
    <mergeCell ref="B80:J80"/>
    <mergeCell ref="K80:P80"/>
    <mergeCell ref="Q80:W80"/>
    <mergeCell ref="X80:AE80"/>
    <mergeCell ref="AF80:AJ80"/>
    <mergeCell ref="AK80:AL80"/>
    <mergeCell ref="B81:J81"/>
    <mergeCell ref="K81:P81"/>
    <mergeCell ref="Q81:W81"/>
    <mergeCell ref="X81:AE81"/>
    <mergeCell ref="AF81:AJ81"/>
    <mergeCell ref="AK81:AL81"/>
    <mergeCell ref="B82:J82"/>
    <mergeCell ref="K82:P82"/>
    <mergeCell ref="Q82:W82"/>
    <mergeCell ref="X82:AE82"/>
    <mergeCell ref="AF82:AJ82"/>
    <mergeCell ref="AK82:AL82"/>
    <mergeCell ref="B83:J83"/>
    <mergeCell ref="K83:P83"/>
    <mergeCell ref="Q83:W83"/>
    <mergeCell ref="X83:AE83"/>
    <mergeCell ref="AF83:AJ83"/>
    <mergeCell ref="AK83:AL83"/>
    <mergeCell ref="B84:J84"/>
    <mergeCell ref="K84:P84"/>
    <mergeCell ref="Q84:W84"/>
    <mergeCell ref="X84:AE84"/>
    <mergeCell ref="AF84:AJ84"/>
    <mergeCell ref="AK84:AL84"/>
    <mergeCell ref="B85:J85"/>
    <mergeCell ref="K85:P85"/>
    <mergeCell ref="Q85:W85"/>
    <mergeCell ref="X85:AE85"/>
    <mergeCell ref="AF85:AJ85"/>
    <mergeCell ref="AK85:AL85"/>
    <mergeCell ref="B86:J86"/>
    <mergeCell ref="K86:P86"/>
    <mergeCell ref="Q86:W86"/>
    <mergeCell ref="X86:AE86"/>
    <mergeCell ref="AF86:AJ86"/>
    <mergeCell ref="AK86:AL86"/>
    <mergeCell ref="B87:J87"/>
    <mergeCell ref="K87:P87"/>
    <mergeCell ref="Q87:W87"/>
    <mergeCell ref="X87:AE87"/>
    <mergeCell ref="AF87:AJ87"/>
    <mergeCell ref="AK87:AL87"/>
    <mergeCell ref="B88:J88"/>
    <mergeCell ref="K88:P88"/>
    <mergeCell ref="Q88:W88"/>
    <mergeCell ref="X88:AE88"/>
    <mergeCell ref="AF88:AJ88"/>
    <mergeCell ref="AK88:AL88"/>
    <mergeCell ref="B89:J89"/>
    <mergeCell ref="K89:P89"/>
    <mergeCell ref="Q89:W89"/>
    <mergeCell ref="X89:AE89"/>
    <mergeCell ref="AF89:AJ89"/>
    <mergeCell ref="AK89:AL89"/>
    <mergeCell ref="B90:J90"/>
    <mergeCell ref="K90:P90"/>
    <mergeCell ref="Q90:W90"/>
    <mergeCell ref="X90:AE90"/>
    <mergeCell ref="AF90:AJ90"/>
    <mergeCell ref="AK90:AL90"/>
    <mergeCell ref="B91:J91"/>
    <mergeCell ref="K91:P91"/>
    <mergeCell ref="Q91:W91"/>
    <mergeCell ref="X91:AE91"/>
    <mergeCell ref="AF91:AJ91"/>
    <mergeCell ref="AK91:AL91"/>
    <mergeCell ref="B92:J92"/>
    <mergeCell ref="K92:P92"/>
    <mergeCell ref="Q92:W92"/>
    <mergeCell ref="X92:AE92"/>
    <mergeCell ref="AF92:AJ92"/>
    <mergeCell ref="AK92:AL92"/>
    <mergeCell ref="Q93:W93"/>
    <mergeCell ref="X93:AE93"/>
    <mergeCell ref="AF93:AJ93"/>
    <mergeCell ref="AK93:AL93"/>
    <mergeCell ref="B94:J94"/>
    <mergeCell ref="K94:P94"/>
    <mergeCell ref="Q94:W94"/>
    <mergeCell ref="X94:AE94"/>
    <mergeCell ref="AF94:AJ94"/>
    <mergeCell ref="AK94:AL94"/>
    <mergeCell ref="A68:AL68"/>
    <mergeCell ref="AM68:AM69"/>
    <mergeCell ref="A69:AL69"/>
    <mergeCell ref="AM64:AM65"/>
    <mergeCell ref="B97:J97"/>
    <mergeCell ref="K97:P97"/>
    <mergeCell ref="Q97:W97"/>
    <mergeCell ref="X97:AE97"/>
    <mergeCell ref="AF97:AJ97"/>
    <mergeCell ref="AK97:AL97"/>
    <mergeCell ref="B95:J95"/>
    <mergeCell ref="K95:P95"/>
    <mergeCell ref="Q95:W95"/>
    <mergeCell ref="X95:AE95"/>
    <mergeCell ref="AF95:AJ95"/>
    <mergeCell ref="AK95:AL95"/>
    <mergeCell ref="B96:J96"/>
    <mergeCell ref="K96:P96"/>
    <mergeCell ref="Q96:W96"/>
    <mergeCell ref="X96:AE96"/>
    <mergeCell ref="AF96:AJ96"/>
    <mergeCell ref="AK96:AL96"/>
    <mergeCell ref="B93:J93"/>
    <mergeCell ref="K93:P93"/>
  </mergeCells>
  <conditionalFormatting sqref="A4 H4 A61:A62 A75">
    <cfRule type="expression" dxfId="422" priority="220">
      <formula>IF(A4="",1,0)</formula>
    </cfRule>
  </conditionalFormatting>
  <conditionalFormatting sqref="A64:A67">
    <cfRule type="expression" dxfId="421" priority="78">
      <formula>IF(A64="",1,0)</formula>
    </cfRule>
  </conditionalFormatting>
  <conditionalFormatting sqref="A70:A73">
    <cfRule type="expression" dxfId="418" priority="208">
      <formula>IF(A70="",1,0)</formula>
    </cfRule>
  </conditionalFormatting>
  <conditionalFormatting sqref="A99 A101 A103 A105 A109">
    <cfRule type="expression" dxfId="417" priority="175">
      <formula>IF(A99="",1,0)</formula>
    </cfRule>
  </conditionalFormatting>
  <conditionalFormatting sqref="A107">
    <cfRule type="expression" dxfId="416" priority="173">
      <formula>IF(A107="",1,0)</formula>
    </cfRule>
  </conditionalFormatting>
  <conditionalFormatting sqref="A112">
    <cfRule type="expression" dxfId="415" priority="169">
      <formula>IF(A112="",1,0)</formula>
    </cfRule>
  </conditionalFormatting>
  <conditionalFormatting sqref="A114:A117">
    <cfRule type="expression" dxfId="414" priority="146">
      <formula>IF(A114="",1,0)</formula>
    </cfRule>
  </conditionalFormatting>
  <conditionalFormatting sqref="A119">
    <cfRule type="expression" dxfId="413" priority="166">
      <formula>IF(A119="",1,0)</formula>
    </cfRule>
  </conditionalFormatting>
  <conditionalFormatting sqref="A121:A124">
    <cfRule type="expression" dxfId="412" priority="14">
      <formula>IF(A121="",1,0)</formula>
    </cfRule>
  </conditionalFormatting>
  <conditionalFormatting sqref="A155:A177">
    <cfRule type="expression" dxfId="411" priority="2">
      <formula>IF(A155="",1,0)</formula>
    </cfRule>
  </conditionalFormatting>
  <conditionalFormatting sqref="A179:A181">
    <cfRule type="expression" dxfId="410" priority="1">
      <formula>IF(A179="",1,0)</formula>
    </cfRule>
  </conditionalFormatting>
  <conditionalFormatting sqref="A184:A185">
    <cfRule type="expression" dxfId="409" priority="176">
      <formula>IF(A184="",1,0)</formula>
    </cfRule>
  </conditionalFormatting>
  <conditionalFormatting sqref="A76:B76">
    <cfRule type="expression" dxfId="408" priority="49">
      <formula>IF(A76="",1,0)</formula>
    </cfRule>
  </conditionalFormatting>
  <conditionalFormatting sqref="B21">
    <cfRule type="expression" dxfId="401" priority="30">
      <formula>IF(B21="",1,0)</formula>
    </cfRule>
  </conditionalFormatting>
  <conditionalFormatting sqref="B23">
    <cfRule type="expression" dxfId="400" priority="12">
      <formula>IF(B23="",1,0)</formula>
    </cfRule>
  </conditionalFormatting>
  <conditionalFormatting sqref="B25 W25 B36">
    <cfRule type="expression" dxfId="399" priority="111">
      <formula>IF(B25="",1,0)</formula>
    </cfRule>
  </conditionalFormatting>
  <conditionalFormatting sqref="B28">
    <cfRule type="expression" dxfId="398" priority="110">
      <formula>IF(B28="",1,0)</formula>
    </cfRule>
  </conditionalFormatting>
  <conditionalFormatting sqref="B30">
    <cfRule type="expression" dxfId="397" priority="108">
      <formula>IF(B30="",1,0)</formula>
    </cfRule>
  </conditionalFormatting>
  <conditionalFormatting sqref="B32">
    <cfRule type="expression" dxfId="396" priority="109">
      <formula>IF(B32="",1,0)</formula>
    </cfRule>
  </conditionalFormatting>
  <conditionalFormatting sqref="B34">
    <cfRule type="expression" dxfId="395" priority="107">
      <formula>IF(B34="",1,0)</formula>
    </cfRule>
  </conditionalFormatting>
  <conditionalFormatting sqref="B38">
    <cfRule type="expression" dxfId="394" priority="105">
      <formula>IF(B38="",1,0)</formula>
    </cfRule>
  </conditionalFormatting>
  <conditionalFormatting sqref="B44">
    <cfRule type="expression" dxfId="393" priority="13">
      <formula>IF(B44="",1,0)</formula>
    </cfRule>
  </conditionalFormatting>
  <conditionalFormatting sqref="B47:B49">
    <cfRule type="expression" dxfId="392" priority="95">
      <formula>IF(B47="",1,0)</formula>
    </cfRule>
  </conditionalFormatting>
  <conditionalFormatting sqref="B51">
    <cfRule type="expression" dxfId="391" priority="94">
      <formula>IF(B51="",1,0)</formula>
    </cfRule>
  </conditionalFormatting>
  <conditionalFormatting sqref="B128:B149">
    <cfRule type="expression" dxfId="390" priority="16">
      <formula>IF(B128="",1,0)</formula>
    </cfRule>
  </conditionalFormatting>
  <conditionalFormatting sqref="B17:AL17 B19">
    <cfRule type="expression" dxfId="389" priority="207">
      <formula>IF(B17="",1,0)</formula>
    </cfRule>
  </conditionalFormatting>
  <conditionalFormatting sqref="G128:G149">
    <cfRule type="expression" dxfId="388" priority="20">
      <formula>IF(G128="",1,0)</formula>
    </cfRule>
  </conditionalFormatting>
  <conditionalFormatting sqref="K76:K97 B77:B97">
    <cfRule type="expression" dxfId="387" priority="46">
      <formula>IF(B76="",1,0)</formula>
    </cfRule>
  </conditionalFormatting>
  <conditionalFormatting sqref="L128:L149">
    <cfRule type="expression" dxfId="386" priority="19">
      <formula>IF(L128="",1,0)</formula>
    </cfRule>
  </conditionalFormatting>
  <conditionalFormatting sqref="N7">
    <cfRule type="expression" dxfId="385" priority="33">
      <formula>IF(N7="",1,0)</formula>
    </cfRule>
  </conditionalFormatting>
  <conditionalFormatting sqref="P128:P149">
    <cfRule type="expression" dxfId="384" priority="18">
      <formula>IF(P128="",1,0)</formula>
    </cfRule>
  </conditionalFormatting>
  <conditionalFormatting sqref="Q76:Q97">
    <cfRule type="expression" dxfId="383" priority="44">
      <formula>IF(Q76="",1,0)</formula>
    </cfRule>
  </conditionalFormatting>
  <conditionalFormatting sqref="Q8:AL8">
    <cfRule type="expression" dxfId="382" priority="31">
      <formula>IF(Q8="",1,0)</formula>
    </cfRule>
  </conditionalFormatting>
  <conditionalFormatting sqref="T66:T67">
    <cfRule type="expression" dxfId="381" priority="75">
      <formula>IF(T66="",1,0)</formula>
    </cfRule>
  </conditionalFormatting>
  <conditionalFormatting sqref="T152:T153">
    <cfRule type="expression" dxfId="379" priority="161">
      <formula>IF(T152="",1,0)</formula>
    </cfRule>
  </conditionalFormatting>
  <conditionalFormatting sqref="T173">
    <cfRule type="expression" dxfId="378" priority="15">
      <formula>IF(T173="",1,0)</formula>
    </cfRule>
  </conditionalFormatting>
  <conditionalFormatting sqref="W40 B40:B42">
    <cfRule type="expression" dxfId="377" priority="106">
      <formula>IF(B40="",1,0)</formula>
    </cfRule>
  </conditionalFormatting>
  <conditionalFormatting sqref="W128:W149">
    <cfRule type="expression" dxfId="376" priority="17">
      <formula>IF(W128="",1,0)</formula>
    </cfRule>
  </conditionalFormatting>
  <conditionalFormatting sqref="X77:X96">
    <cfRule type="expression" dxfId="375" priority="40">
      <formula>IF(X77="",1,0)</formula>
    </cfRule>
  </conditionalFormatting>
  <conditionalFormatting sqref="Y38">
    <cfRule type="expression" dxfId="374" priority="104">
      <formula>IF(Y38="",1,0)</formula>
    </cfRule>
  </conditionalFormatting>
  <conditionalFormatting sqref="Z54:Z55">
    <cfRule type="expression" dxfId="373" priority="177">
      <formula>IF(Z54="",1,0)</formula>
    </cfRule>
  </conditionalFormatting>
  <conditionalFormatting sqref="Z57:Z58">
    <cfRule type="expression" dxfId="372" priority="129">
      <formula>IF(Z57="",1,0)</formula>
    </cfRule>
  </conditionalFormatting>
  <conditionalFormatting sqref="AB7">
    <cfRule type="expression" dxfId="371" priority="32">
      <formula>IF(AB7="",1,0)</formula>
    </cfRule>
  </conditionalFormatting>
  <conditionalFormatting sqref="AF77:AF96">
    <cfRule type="expression" dxfId="370" priority="39">
      <formula>IF(AF77="",1,0)</formula>
    </cfRule>
  </conditionalFormatting>
  <conditionalFormatting sqref="AH128:AH149">
    <cfRule type="expression" dxfId="369" priority="21">
      <formula>IF(AH128="",1,0)</formula>
    </cfRule>
  </conditionalFormatting>
  <conditionalFormatting sqref="AJ122">
    <cfRule type="expression" dxfId="368" priority="26">
      <formula>IF(AJ122="",1,0)</formula>
    </cfRule>
  </conditionalFormatting>
  <conditionalFormatting sqref="AK76:AK96">
    <cfRule type="expression" dxfId="367" priority="38">
      <formula>IF(AK76="",1,0)</formula>
    </cfRule>
  </conditionalFormatting>
  <dataValidations count="38">
    <dataValidation type="decimal" allowBlank="1" showInputMessage="1" showErrorMessage="1" promptTitle="Wprowadź" prompt="wielkość" sqref="A109:AL109" xr:uid="{00000000-0002-0000-0900-000000000000}">
      <formula1>0</formula1>
      <formula2>1E+43</formula2>
    </dataValidation>
    <dataValidation type="decimal" allowBlank="1" showInputMessage="1" showErrorMessage="1" promptTitle="Wprowadź" prompt="wielkość" sqref="A105:AL105" xr:uid="{00000000-0002-0000-0900-000001000000}">
      <formula1>0</formula1>
      <formula2>1E+42</formula2>
    </dataValidation>
    <dataValidation type="whole" allowBlank="1" showInputMessage="1" showErrorMessage="1" promptTitle="Wprowadź " prompt="wielkość" sqref="A103:AL103" xr:uid="{00000000-0002-0000-0900-000002000000}">
      <formula1>1</formula1>
      <formula2>1E+34</formula2>
    </dataValidation>
    <dataValidation type="whole" allowBlank="1" showInputMessage="1" showErrorMessage="1" promptTitle="Wprowadź" prompt="wielkość" sqref="A101:AL101" xr:uid="{00000000-0002-0000-0900-000003000000}">
      <formula1>0</formula1>
      <formula2>1E+46</formula2>
    </dataValidation>
    <dataValidation type="whole" allowBlank="1" showInputMessage="1" showErrorMessage="1" promptTitle="Wprowadź" prompt="wielkość" sqref="A99:AL99" xr:uid="{00000000-0002-0000-0900-000004000000}">
      <formula1>0</formula1>
      <formula2>100000000000000000000</formula2>
    </dataValidation>
    <dataValidation allowBlank="1" showInputMessage="1" showErrorMessage="1" promptTitle="Wpisz " prompt="przyczyny braku instalacji wyposażenia lub wpisz nie dotyczy" sqref="A117:AL117" xr:uid="{00000000-0002-0000-0900-000005000000}"/>
    <dataValidation allowBlank="1" showErrorMessage="1" promptTitle="Wybierz" prompt="właściwe oświadczenie" sqref="A115:AL115 A157:AL157 A155:AL155 A159:AL159" xr:uid="{00000000-0002-0000-0900-000006000000}"/>
    <dataValidation type="decimal" allowBlank="1" showInputMessage="1" promptTitle="Wybierz" prompt="właściwą wysokość wsparcia lub wpiszmniejszą wartość" sqref="T152:AJ152" xr:uid="{00000000-0002-0000-0900-000007000000}">
      <formula1>0</formula1>
      <formula2>0.8</formula2>
    </dataValidation>
    <dataValidation allowBlank="1" showErrorMessage="1" promptTitle="Wprowadź" prompt="nr księgi wieczystej - nr działki ewidencyjnej" sqref="A169:AL169 A179:AL179 A180:A181" xr:uid="{00000000-0002-0000-0900-000008000000}"/>
    <dataValidation type="decimal" allowBlank="1" showInputMessage="1" showErrorMessage="1" promptTitle="Wprowadź" prompt="kwotę" sqref="Z58" xr:uid="{00000000-0002-0000-0900-000009000000}">
      <formula1>0</formula1>
      <formula2>10000000000000000000</formula2>
    </dataValidation>
    <dataValidation allowBlank="1" showInputMessage="1" showErrorMessage="1" promptTitle="Wprowadź" prompt="kwotę" sqref="Z56:AJ56" xr:uid="{00000000-0002-0000-0900-00000A000000}"/>
    <dataValidation allowBlank="1" showInputMessage="1" showErrorMessage="1" promptTitle="Wprowadź" prompt="adres ePUAP beneficjenta" sqref="B22" xr:uid="{C97ED367-5F30-4E15-BBB7-E2BA8E38A379}"/>
    <dataValidation type="textLength" operator="equal" allowBlank="1" showInputMessage="1" errorTitle="KRS" promptTitle="Wprowadź" prompt="numer KRS inwestora" sqref="B42:AL42" xr:uid="{00000000-0002-0000-0900-00000C000000}">
      <formula1>10</formula1>
    </dataValidation>
    <dataValidation allowBlank="1" showInputMessage="1" showErrorMessage="1" promptTitle="Wprowadź" prompt="adres do doręczeń elektronicznych inwestora_x000a_" sqref="Y38:AL38" xr:uid="{00000000-0002-0000-0900-00000D000000}"/>
    <dataValidation allowBlank="1" showInputMessage="1" showErrorMessage="1" promptTitle="Wprowadź" prompt="adres inwestora" sqref="B38:X38" xr:uid="{00000000-0002-0000-0900-00000E000000}"/>
    <dataValidation type="textLength" operator="equal" allowBlank="1" showInputMessage="1" showErrorMessage="1" errorTitle="NIP" error="NIP to ciąg dziesięciu cyfr np. 5719611245" promptTitle="Wprowadź" prompt="NIP inwestora" sqref="B40:V40" xr:uid="{00000000-0002-0000-0900-000010000000}">
      <formula1>10</formula1>
    </dataValidation>
    <dataValidation type="textLength" operator="equal" allowBlank="1" showInputMessage="1" showErrorMessage="1" errorTitle="REGON" error="REGON to ciąg dziewięciu cyfr np. 571961124" promptTitle="Wprowadź" prompt="nr REGON inwestora" sqref="W40:AL40" xr:uid="{00000000-0002-0000-0900-000011000000}">
      <formula1>9</formula1>
    </dataValidation>
    <dataValidation type="decimal" allowBlank="1" showInputMessage="1" showErrorMessage="1" promptTitle="Wprowadź " prompt="wielkość" sqref="A107" xr:uid="{00000000-0002-0000-0900-000012000000}">
      <formula1>0</formula1>
      <formula2>1E+31</formula2>
    </dataValidation>
    <dataValidation allowBlank="1" showErrorMessage="1" promptTitle="Wybierz" prompt="właściwe" sqref="A167 A161:AL161 A163:AL163" xr:uid="{00000000-0002-0000-0900-000013000000}"/>
    <dataValidation type="whole" allowBlank="1" showInputMessage="1" showErrorMessage="1" promptTitle="Wprowadź " prompt="ilość" sqref="A73:AL73 A71:AL71" xr:uid="{00000000-0002-0000-0900-000014000000}">
      <formula1>0</formula1>
      <formula2>1000000</formula2>
    </dataValidation>
    <dataValidation type="decimal" allowBlank="1" showInputMessage="1" showErrorMessage="1" sqref="AH128:AJ149" xr:uid="{2E90161F-39DF-42C5-A098-E8EB69097BFD}">
      <formula1>0</formula1>
      <formula2>1</formula2>
    </dataValidation>
    <dataValidation allowBlank="1" showErrorMessage="1" promptTitle="Wprowadź" prompt="kwotę" sqref="B47:AL47" xr:uid="{00000000-0002-0000-0900-000016000000}"/>
    <dataValidation allowBlank="1" showInputMessage="1" showErrorMessage="1" promptTitle="Wprowadź" prompt="nazwę beneficjenta" sqref="B19" xr:uid="{00000000-0002-0000-0900-000017000000}"/>
    <dataValidation allowBlank="1" showInputMessage="1" showErrorMessage="1" promptTitle="Wprowadź" prompt="adres beneficjenta" sqref="B21" xr:uid="{00000000-0002-0000-0900-000018000000}"/>
    <dataValidation allowBlank="1" showInputMessage="1" showErrorMessage="1" promptTitle="Wprowadź" prompt="dane" sqref="B30:AL30 B28:AL28 AJ122:AL122" xr:uid="{00000000-0002-0000-0900-000019000000}"/>
    <dataValidation type="textLength" operator="equal" allowBlank="1" showInputMessage="1" showErrorMessage="1" errorTitle="REGON" error="REGON to ciąg dziewięciu cyfr np. 571961124" promptTitle="Wprowadź" prompt="nr REGON" sqref="W25:AL25" xr:uid="{00000000-0002-0000-0900-00001A000000}">
      <formula1>9</formula1>
    </dataValidation>
    <dataValidation allowBlank="1" showInputMessage="1" showErrorMessage="1" promptTitle="Wprowadź" prompt="nazwę Inwestora" sqref="B36:AL36" xr:uid="{00000000-0002-0000-0900-00001B000000}"/>
    <dataValidation type="textLength" operator="equal" allowBlank="1" showInputMessage="1" showErrorMessage="1" errorTitle="NIP" error="NIP to ciąg dziesięciu cyfr np. 5719611245" promptTitle="Wprowadź" prompt="NIP" sqref="B25:V25" xr:uid="{00000000-0002-0000-0900-00001D000000}">
      <formula1>10</formula1>
    </dataValidation>
    <dataValidation allowBlank="1" showInputMessage="1" showErrorMessage="1" promptTitle="Wybierz" prompt="właściwe" sqref="B74:AL74" xr:uid="{00000000-0002-0000-0900-00001E000000}"/>
    <dataValidation type="whole" allowBlank="1" showInputMessage="1" showErrorMessage="1" promptTitle="Wprowadź " prompt="ilość mieszkań przeznaczonych na podnajem" sqref="A65" xr:uid="{00000000-0002-0000-0900-00001F000000}">
      <formula1>0</formula1>
      <formula2>1E+34</formula2>
    </dataValidation>
    <dataValidation allowBlank="1" showInputMessage="1" sqref="AU161:XFD162" xr:uid="{00000000-0002-0000-0900-000020000000}"/>
    <dataValidation allowBlank="1" showInputMessage="1" showErrorMessage="1" promptTitle="Wprowadź" prompt="Adres do doręczeń elektronicznych" sqref="B23:AL23" xr:uid="{7F7634CA-ABF4-4F5A-B66E-6DF28BD5CBBC}"/>
    <dataValidation operator="greaterThanOrEqual" allowBlank="1" showInputMessage="1" showErrorMessage="1" promptTitle="Wprowadź" prompt="datę w formacie rrrr-mm-dd_x000a_" sqref="B51:AL51" xr:uid="{00000000-0002-0000-0900-000022000000}"/>
    <dataValidation type="whole" allowBlank="1" showInputMessage="1" showErrorMessage="1" promptTitle="Wprowadź" prompt="opcjonalni ilość" sqref="T67 A67" xr:uid="{00000000-0002-0000-0900-000023000000}">
      <formula1>0</formula1>
      <formula2>10000000</formula2>
    </dataValidation>
    <dataValidation allowBlank="1" sqref="AK76 K76 Q76 A76:B76" xr:uid="{00000000-0002-0000-0900-000024000000}"/>
    <dataValidation allowBlank="1" showInputMessage="1" showErrorMessage="1" promptTitle="Wprowadź" prompt="opcjonalni ilość" sqref="A68:AL68" xr:uid="{00000000-0002-0000-0900-000025000000}"/>
    <dataValidation type="textLength" operator="equal" allowBlank="1" showInputMessage="1" promptTitle="Wprowadź" prompt="numer rachunku bankowego" sqref="T44:AL44" xr:uid="{9980879E-99CB-4CE8-8941-59E8BD7D788B}">
      <formula1>26</formula1>
    </dataValidation>
    <dataValidation type="textLength" operator="equal" showInputMessage="1" promptTitle="Wprowadź" prompt="numer rachunku bankowego tj. 26 cyfr" sqref="B44:S44" xr:uid="{0522738D-494B-4144-B068-E875F9168298}">
      <formula1>26</formula1>
    </dataValidation>
  </dataValidations>
  <hyperlinks>
    <hyperlink ref="AM47" location="'Wnioski art 5a inne'!B121" display="Kliknij &quot;tutaj&quot; i przejdź do wypełnienia zestawienia kosztów" xr:uid="{00000000-0004-0000-0900-000000000000}"/>
    <hyperlink ref="B47:AL47" location="'Wnioski art 5 oraz 5a inne'!B130" display="'Wnioski art 5 oraz 5a inne'!B130" xr:uid="{00000000-0004-0000-0900-000001000000}"/>
    <hyperlink ref="AM153" location="'Wnioski art 5a inne'!B49" display="Wróć do wypełniania wniosku" xr:uid="{00000000-0004-0000-0900-000002000000}"/>
    <hyperlink ref="AM20" r:id="rId1" display="Weryfikocji można dokonać na stronie internetowej -&gt; https://eteryt.stat.gov.pl/eTeryt/rejestr_teryt/udostepnianie_danych/baza_teryt/uzytkownicy_indywidualni/wyszukiwanie/wyszukiwanie.aspx?contrast=default" xr:uid="{00000000-0004-0000-0900-000003000000}"/>
    <hyperlink ref="AM22" r:id="rId2" xr:uid="{00000000-0004-0000-0900-000004000000}"/>
    <hyperlink ref="AM18" r:id="rId3" xr:uid="{00000000-0004-0000-0900-000005000000}"/>
    <hyperlink ref="AM24" r:id="rId4" xr:uid="{00000000-0004-0000-0900-000006000000}"/>
    <hyperlink ref="AM41" r:id="rId5" xr:uid="{00000000-0004-0000-0900-000007000000}"/>
    <hyperlink ref="AM190" r:id="rId6" xr:uid="{B4B7C20A-35C4-42BB-93FA-6746F4C96EB9}"/>
  </hyperlinks>
  <pageMargins left="0.70866141732283472" right="0.70866141732283472" top="0.74803149606299213" bottom="0.74803149606299213" header="0.31496062992125984" footer="0.31496062992125984"/>
  <pageSetup paperSize="9" orientation="portrait" r:id="rId7"/>
  <headerFooter>
    <oddFooter>&amp;LStrona &amp;P z &amp;N &amp;R&amp;F&amp;A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77" id="{55325891-2F1B-4E38-B80E-5665871D23A5}">
            <xm:f>IF($A$63=Słowniki!$F$19,1,0)</xm:f>
            <x14:dxf>
              <fill>
                <patternFill>
                  <bgColor theme="0"/>
                </patternFill>
              </fill>
            </x14:dxf>
          </x14:cfRule>
          <xm:sqref>A67</xm:sqref>
        </x14:conditionalFormatting>
        <x14:conditionalFormatting xmlns:xm="http://schemas.microsoft.com/office/excel/2006/main">
          <x14:cfRule type="expression" priority="28" id="{49C6D459-B4DD-405D-AA5E-ECC0EBC5B31E}">
            <xm:f>IF($A$76=Słowniki!$F$19,1,0)</xm:f>
            <x14:dxf>
              <fill>
                <patternFill>
                  <bgColor theme="0"/>
                </patternFill>
              </fill>
            </x14:dxf>
          </x14:cfRule>
          <xm:sqref>A68</xm:sqref>
        </x14:conditionalFormatting>
        <x14:conditionalFormatting xmlns:xm="http://schemas.microsoft.com/office/excel/2006/main">
          <x14:cfRule type="expression" priority="170" id="{0A9A3B80-CA8A-41FD-B792-BCA0189C04D1}">
            <xm:f>IF(#REF!=Słowniki!$P$2,1,0)</xm:f>
            <x14:dxf>
              <font>
                <b/>
                <i val="0"/>
                <strike/>
                <color theme="1"/>
              </font>
            </x14:dxf>
          </x14:cfRule>
          <xm:sqref>A111:AL111</xm:sqref>
        </x14:conditionalFormatting>
        <x14:conditionalFormatting xmlns:xm="http://schemas.microsoft.com/office/excel/2006/main">
          <x14:cfRule type="expression" priority="73" id="{81EACC8E-431C-48BA-B813-86465565BED8}">
            <xm:f>IF(#REF!=Słowniki!$P$2,1,0)</xm:f>
            <x14:dxf>
              <font>
                <b/>
                <i val="0"/>
                <strike/>
                <color theme="1"/>
              </font>
            </x14:dxf>
          </x14:cfRule>
          <xm:sqref>A113:AL113</xm:sqref>
        </x14:conditionalFormatting>
        <x14:conditionalFormatting xmlns:xm="http://schemas.microsoft.com/office/excel/2006/main">
          <x14:cfRule type="expression" priority="11" id="{BF4D68A4-8078-4A4D-A823-DD431E816AAF}">
            <xm:f>IF($A$107=Słowniki!$P$2,1,0)</xm:f>
            <x14:dxf>
              <font>
                <strike/>
              </font>
            </x14:dxf>
          </x14:cfRule>
          <xm:sqref>A118:AL118</xm:sqref>
        </x14:conditionalFormatting>
        <x14:conditionalFormatting xmlns:xm="http://schemas.microsoft.com/office/excel/2006/main">
          <x14:cfRule type="expression" priority="25" id="{03E59FB6-0BD4-426C-AD09-B03E1D863DD7}">
            <xm:f>IF('Wniosek art 5 budowa'!$A$151=Słowniki!$P$2,1,0)</xm:f>
            <x14:dxf>
              <font>
                <strike/>
              </font>
            </x14:dxf>
          </x14:cfRule>
          <xm:sqref>A120:AL120</xm:sqref>
        </x14:conditionalFormatting>
        <x14:conditionalFormatting xmlns:xm="http://schemas.microsoft.com/office/excel/2006/main">
          <x14:cfRule type="expression" priority="8" id="{E8F01206-AB09-4C60-BCF5-D72EA2ACE8C4}">
            <xm:f>IF($A$158=Słowniki!$P$2,1,0)</xm:f>
            <x14:dxf>
              <font>
                <strike/>
              </font>
            </x14:dxf>
          </x14:cfRule>
          <xm:sqref>A161:AL161</xm:sqref>
        </x14:conditionalFormatting>
        <x14:conditionalFormatting xmlns:xm="http://schemas.microsoft.com/office/excel/2006/main">
          <x14:cfRule type="expression" priority="64" id="{C5836DA3-F91A-4440-A930-1BB8C492C55B}">
            <xm:f>IF($A$157=Słowniki!$P$2,1,0)</xm:f>
            <x14:dxf>
              <font>
                <strike/>
              </font>
            </x14:dxf>
          </x14:cfRule>
          <xm:sqref>A167:AL167</xm:sqref>
        </x14:conditionalFormatting>
        <x14:conditionalFormatting xmlns:xm="http://schemas.microsoft.com/office/excel/2006/main">
          <x14:cfRule type="expression" priority="74" id="{B693B843-B7C4-4F5B-9C82-8CF6B76AA11C}">
            <xm:f>IF($A$63=Słowniki!$F$19,1,0)</xm:f>
            <x14:dxf>
              <fill>
                <patternFill>
                  <bgColor theme="0"/>
                </patternFill>
              </fill>
            </x14:dxf>
          </x14:cfRule>
          <xm:sqref>T67</xm:sqref>
        </x14:conditionalFormatting>
      </x14:conditionalFormattings>
    </ext>
    <ext xmlns:x14="http://schemas.microsoft.com/office/spreadsheetml/2009/9/main" uri="{CCE6A557-97BC-4b89-ADB6-D9C93CAAB3DF}">
      <x14:dataValidations xmlns:xm="http://schemas.microsoft.com/office/excel/2006/main" count="31">
        <x14:dataValidation type="list" allowBlank="1" showInputMessage="1" showErrorMessage="1" promptTitle="Wybierz" prompt="właściwe" xr:uid="{00000000-0002-0000-0900-000026000000}">
          <x14:formula1>
            <xm:f>Słowniki!$W$7:$W$8</xm:f>
          </x14:formula1>
          <xm:sqref>A158:AL158</xm:sqref>
        </x14:dataValidation>
        <x14:dataValidation type="list" allowBlank="1" showInputMessage="1" showErrorMessage="1" promptTitle="Wybierz" prompt="właściwy rodzaj" xr:uid="{00000000-0002-0000-0900-000027000000}">
          <x14:formula1>
            <xm:f>Słowniki!$J$4</xm:f>
          </x14:formula1>
          <xm:sqref>A75:AL75</xm:sqref>
        </x14:dataValidation>
        <x14:dataValidation type="list" allowBlank="1" showInputMessage="1" showErrorMessage="1" promptTitle="Wybierz" prompt="rodzaj przedsięwzięcia" xr:uid="{00000000-0002-0000-0900-000028000000}">
          <x14:formula1>
            <xm:f>Słowniki!$D$3:$D$4</xm:f>
          </x14:formula1>
          <xm:sqref>A61:AL61</xm:sqref>
        </x14:dataValidation>
        <x14:dataValidation type="list" allowBlank="1" showInputMessage="1" showErrorMessage="1" promptTitle="Wybierz" prompt="jeżeli przedsięwzięcie jest mieszane" xr:uid="{00000000-0002-0000-0900-000029000000}">
          <x14:formula1>
            <xm:f>Słowniki!$C$13:$C$15</xm:f>
          </x14:formula1>
          <xm:sqref>A62:AL62</xm:sqref>
        </x14:dataValidation>
        <x14:dataValidation type="list" allowBlank="1" showInputMessage="1" showErrorMessage="1" promptTitle="Wybierz" prompt="właściwe" xr:uid="{00000000-0002-0000-0900-00002B000000}">
          <x14:formula1>
            <xm:f>Słowniki!$X$8:$X$9</xm:f>
          </x14:formula1>
          <xm:sqref>A114:AL114</xm:sqref>
        </x14:dataValidation>
        <x14:dataValidation type="list" allowBlank="1" showInputMessage="1" showErrorMessage="1" promptTitle="Wybierz" prompt="właściwe" xr:uid="{00000000-0002-0000-0900-00002C000000}">
          <x14:formula1>
            <xm:f>Słowniki!$E$169:$E$170</xm:f>
          </x14:formula1>
          <xm:sqref>T153:AJ153</xm:sqref>
        </x14:dataValidation>
        <x14:dataValidation type="list" allowBlank="1" showInputMessage="1" showErrorMessage="1" promptTitle="Wybierz" prompt="właściwe" xr:uid="{00000000-0002-0000-0900-00002D000000}">
          <x14:formula1>
            <xm:f>Słowniki!$U$1:$U$2</xm:f>
          </x14:formula1>
          <xm:sqref>A112:AL112</xm:sqref>
        </x14:dataValidation>
        <x14:dataValidation type="list" allowBlank="1" showInputMessage="1" showErrorMessage="1" promptTitle="Wybierz" prompt="właściwe" xr:uid="{00000000-0002-0000-0900-00002E000000}">
          <x14:formula1>
            <xm:f>Słowniki!$U$5:$U$6</xm:f>
          </x14:formula1>
          <xm:sqref>A119:AL119</xm:sqref>
        </x14:dataValidation>
        <x14:dataValidation type="list" allowBlank="1" showInputMessage="1" showErrorMessage="1" promptTitle="Wybierz" prompt="właściwe" xr:uid="{00000000-0002-0000-0900-00002F000000}">
          <x14:formula1>
            <xm:f>Słowniki!$U$3:$U$4</xm:f>
          </x14:formula1>
          <xm:sqref>A116:AL116</xm:sqref>
        </x14:dataValidation>
        <x14:dataValidation type="list" allowBlank="1" showInputMessage="1" showErrorMessage="1" promptTitle="Wybierz" prompt="właściwe" xr:uid="{00000000-0002-0000-0900-000030000000}">
          <x14:formula1>
            <xm:f>Słowniki!$W$3:$W$4</xm:f>
          </x14:formula1>
          <xm:sqref>A160:AL160</xm:sqref>
        </x14:dataValidation>
        <x14:dataValidation type="list" allowBlank="1" showInputMessage="1" showErrorMessage="1" promptTitle="Wybierz" prompt="właściwe" xr:uid="{00000000-0002-0000-0900-000031000000}">
          <x14:formula1>
            <xm:f>Słowniki!$W$1:$W$2</xm:f>
          </x14:formula1>
          <xm:sqref>A156:AL156</xm:sqref>
        </x14:dataValidation>
        <x14:dataValidation type="list" allowBlank="1" showInputMessage="1" showErrorMessage="1" promptTitle="Wybierz" prompt="właściwe" xr:uid="{00000000-0002-0000-0900-000032000000}">
          <x14:formula1>
            <xm:f>Słowniki!$Z$1:$Z$2</xm:f>
          </x14:formula1>
          <xm:sqref>A168:AL168</xm:sqref>
        </x14:dataValidation>
        <x14:dataValidation type="list" allowBlank="1" showInputMessage="1" showErrorMessage="1" promptTitle="Wybierz" prompt="właściwe" xr:uid="{00000000-0002-0000-0900-000033000000}">
          <x14:formula1>
            <xm:f>Słowniki!$Y$1:$Y$5</xm:f>
          </x14:formula1>
          <xm:sqref>A164:AL164</xm:sqref>
        </x14:dataValidation>
        <x14:dataValidation type="list" allowBlank="1" showInputMessage="1" showErrorMessage="1" promptTitle="Wybierz" prompt="właściwe" xr:uid="{00000000-0002-0000-0900-000034000000}">
          <x14:formula1>
            <xm:f>Słowniki!$W$5:$W$6</xm:f>
          </x14:formula1>
          <xm:sqref>A162:AL162</xm:sqref>
        </x14:dataValidation>
        <x14:dataValidation type="list" allowBlank="1" showInputMessage="1" showErrorMessage="1" promptTitle="Wybierz" prompt="właściwe" xr:uid="{00000000-0002-0000-0900-000035000000}">
          <x14:formula1>
            <xm:f>Słowniki!$AE$4:$AE$5</xm:f>
          </x14:formula1>
          <xm:sqref>A170:AL170</xm:sqref>
        </x14:dataValidation>
        <x14:dataValidation type="list" allowBlank="1" showInputMessage="1" showErrorMessage="1" promptTitle="Wybierz" prompt="beneficjenta" xr:uid="{00000000-0002-0000-0900-000036000000}">
          <x14:formula1>
            <xm:f>Słowniki!$A$2:$A$3</xm:f>
          </x14:formula1>
          <xm:sqref>B17:AL17</xm:sqref>
        </x14:dataValidation>
        <x14:dataValidation type="list" allowBlank="1" showInputMessage="1" promptTitle="Wprowadź" prompt="dane lub wybierz nie dotyczy" xr:uid="{00000000-0002-0000-0900-000037000000}">
          <x14:formula1>
            <xm:f>Słowniki!$F$19</xm:f>
          </x14:formula1>
          <xm:sqref>B34:AL34 B32:AL32</xm:sqref>
        </x14:dataValidation>
        <x14:dataValidation type="list" allowBlank="1" showInputMessage="1" showErrorMessage="1" promptTitle="Wybierz" prompt="właściwe" xr:uid="{00000000-0002-0000-0900-00003A000000}">
          <x14:formula1>
            <xm:f>Słowniki!$AO$1:$AO$2</xm:f>
          </x14:formula1>
          <xm:sqref>B48:AL48</xm:sqref>
        </x14:dataValidation>
        <x14:dataValidation type="list" allowBlank="1" promptTitle="Wybierz" prompt="właściwe" xr:uid="{00000000-0002-0000-0900-00003B000000}">
          <x14:formula1>
            <xm:f>Słowniki!$O$2:$O$4</xm:f>
          </x14:formula1>
          <xm:sqref>A184:AL184</xm:sqref>
        </x14:dataValidation>
        <x14:dataValidation type="list" allowBlank="1" showInputMessage="1" showErrorMessage="1" promptTitle="Wybierz" prompt="właściwe" xr:uid="{00000000-0002-0000-0900-00003E000000}">
          <x14:formula1>
            <xm:f>Słowniki!$F$7</xm:f>
          </x14:formula1>
          <xm:sqref>A64:AL64</xm:sqref>
        </x14:dataValidation>
        <x14:dataValidation type="list" allowBlank="1" showInputMessage="1" showErrorMessage="1" promptTitle="Wybierz" prompt="właściwe" xr:uid="{00000000-0002-0000-0900-00003F000000}">
          <x14:formula1>
            <xm:f>Słowniki!$W$10:$W$11</xm:f>
          </x14:formula1>
          <xm:sqref>A166:AL166</xm:sqref>
        </x14:dataValidation>
        <x14:dataValidation type="list" allowBlank="1" showInputMessage="1" showErrorMessage="1" promptTitle="Wybierz" prompt="właściwe" xr:uid="{00000000-0002-0000-0900-000040000000}">
          <x14:formula1>
            <xm:f>Słowniki!$W$12:$W$14</xm:f>
          </x14:formula1>
          <xm:sqref>A175:AL175</xm:sqref>
        </x14:dataValidation>
        <x14:dataValidation type="list" allowBlank="1" showInputMessage="1" showErrorMessage="1" promptTitle="Wybierz" prompt="właściwe" xr:uid="{00000000-0002-0000-0900-000041000000}">
          <x14:formula1>
            <xm:f>Słowniki!$D$17:$D$18</xm:f>
          </x14:formula1>
          <xm:sqref>T172:AL172</xm:sqref>
        </x14:dataValidation>
        <x14:dataValidation type="list" allowBlank="1" showInputMessage="1" showErrorMessage="1" promptTitle="Wybierz" prompt="właściwe" xr:uid="{00000000-0002-0000-0900-000042000000}">
          <x14:formula1>
            <xm:f>Słowniki!$C$17:$C$18</xm:f>
          </x14:formula1>
          <xm:sqref>A172:S172</xm:sqref>
        </x14:dataValidation>
        <x14:dataValidation type="list" allowBlank="1" showInputMessage="1" showErrorMessage="1" promptTitle="Wybierz" prompt="właściwe" xr:uid="{00000000-0002-0000-0900-000043000000}">
          <x14:formula1>
            <xm:f>Słowniki!$C$3:$C$4</xm:f>
          </x14:formula1>
          <xm:sqref>AB7:AE7 N7:P7</xm:sqref>
        </x14:dataValidation>
        <x14:dataValidation type="list" allowBlank="1" showInputMessage="1" showErrorMessage="1" promptTitle="Wybierz" prompt="właściwe" xr:uid="{271F40FD-2845-4631-98DA-58E93A7FB01B}">
          <x14:formula1>
            <xm:f>Słowniki!$C$49:$C$50</xm:f>
          </x14:formula1>
          <xm:sqref>A121:AL121</xm:sqref>
        </x14:dataValidation>
        <x14:dataValidation type="list" allowBlank="1" showInputMessage="1" promptTitle="Wybierz" prompt="właściwe" xr:uid="{1BB1171D-1983-480D-989F-76BDB17D7B19}">
          <x14:formula1>
            <xm:f>Słowniki!$A$34:$A$39</xm:f>
          </x14:formula1>
          <xm:sqref>G128:K149</xm:sqref>
        </x14:dataValidation>
        <x14:dataValidation type="list" allowBlank="1" showInputMessage="1" xr:uid="{AEA7C5EB-3620-4157-9876-E2C58B4320FE}">
          <x14:formula1>
            <xm:f>Słowniki!$B$49</xm:f>
          </x14:formula1>
          <xm:sqref>T173:AL173</xm:sqref>
        </x14:dataValidation>
        <x14:dataValidation type="list" errorStyle="information" allowBlank="1" showInputMessage="1" showErrorMessage="1" promptTitle="Wybierz" prompt="właściwe" xr:uid="{E18A8CC1-08E0-4A37-A6BC-A6B1B9333F24}">
          <x14:formula1>
            <xm:f>Słowniki!$A$46:$A$60</xm:f>
          </x14:formula1>
          <xm:sqref>B128:F149</xm:sqref>
        </x14:dataValidation>
        <x14:dataValidation type="list" allowBlank="1" showInputMessage="1" showErrorMessage="1" xr:uid="{CFB0E5FC-206E-4D0C-AA34-F00EAF24662B}">
          <x14:formula1>
            <xm:f>Słowniki!$Y$9:$Y$10</xm:f>
          </x14:formula1>
          <xm:sqref>A177:AL177</xm:sqref>
        </x14:dataValidation>
        <x14:dataValidation type="date" operator="greaterThan" allowBlank="1" showInputMessage="1" showErrorMessage="1" promptTitle="Wprowadź" prompt="datę w formacie rrrr-mm-dd_x000a_" xr:uid="{00000000-0002-0000-0900-000044000000}">
          <x14:formula1>
            <xm:f>Słowniki!AQ7</xm:f>
          </x14:formula1>
          <xm:sqref>B49:AL49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M435"/>
  <sheetViews>
    <sheetView showGridLines="0" topLeftCell="A170" zoomScale="90" zoomScaleNormal="90" workbookViewId="0">
      <selection activeCell="AM178" sqref="AM178"/>
    </sheetView>
  </sheetViews>
  <sheetFormatPr defaultColWidth="9.33203125" defaultRowHeight="14.4" x14ac:dyDescent="0.3"/>
  <cols>
    <col min="1" max="1" width="3.33203125" style="90" customWidth="1"/>
    <col min="2" max="2" width="4" style="90" customWidth="1"/>
    <col min="3" max="3" width="2.33203125" style="90" customWidth="1"/>
    <col min="4" max="4" width="2.5546875" style="90" customWidth="1"/>
    <col min="5" max="5" width="2" style="90" customWidth="1"/>
    <col min="6" max="6" width="1.6640625" style="90" customWidth="1"/>
    <col min="7" max="7" width="1.44140625" style="90" customWidth="1"/>
    <col min="8" max="8" width="2.33203125" style="90" customWidth="1"/>
    <col min="9" max="9" width="2.44140625" style="90" customWidth="1"/>
    <col min="10" max="10" width="1.5546875" style="90" customWidth="1"/>
    <col min="11" max="11" width="1.6640625" style="90" customWidth="1"/>
    <col min="12" max="12" width="5.33203125" style="90" customWidth="1"/>
    <col min="13" max="13" width="0.6640625" style="90" customWidth="1"/>
    <col min="14" max="14" width="3.44140625" style="90" customWidth="1"/>
    <col min="15" max="15" width="2.5546875" style="90" customWidth="1"/>
    <col min="16" max="17" width="1.5546875" style="90" customWidth="1"/>
    <col min="18" max="18" width="1.33203125" style="90" customWidth="1"/>
    <col min="19" max="19" width="2.33203125" style="90" customWidth="1"/>
    <col min="20" max="20" width="1.33203125" style="90" customWidth="1"/>
    <col min="21" max="21" width="1" style="90" customWidth="1"/>
    <col min="22" max="22" width="0.6640625" style="90" customWidth="1"/>
    <col min="23" max="23" width="3" style="90" customWidth="1"/>
    <col min="24" max="24" width="1.33203125" style="90" customWidth="1"/>
    <col min="25" max="25" width="1.44140625" style="90" customWidth="1"/>
    <col min="26" max="27" width="1.33203125" style="90" customWidth="1"/>
    <col min="28" max="28" width="2" style="90" customWidth="1"/>
    <col min="29" max="29" width="1" style="90" customWidth="1"/>
    <col min="30" max="31" width="1.6640625" style="90" customWidth="1"/>
    <col min="32" max="32" width="1.33203125" style="90" customWidth="1"/>
    <col min="33" max="33" width="1.6640625" style="90" customWidth="1"/>
    <col min="34" max="34" width="2.33203125" style="90" customWidth="1"/>
    <col min="35" max="35" width="1.44140625" style="90" customWidth="1"/>
    <col min="36" max="36" width="4" style="90" customWidth="1"/>
    <col min="37" max="37" width="9.33203125" style="90" customWidth="1"/>
    <col min="38" max="38" width="5.6640625" style="90" customWidth="1"/>
    <col min="39" max="39" width="117" style="101" customWidth="1"/>
    <col min="40" max="65" width="9.33203125" style="60"/>
    <col min="66" max="16384" width="9.33203125" style="68"/>
  </cols>
  <sheetData>
    <row r="1" spans="1:54" ht="28.9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155"/>
      <c r="R2" s="155"/>
      <c r="S2" s="155"/>
      <c r="T2" s="155"/>
      <c r="U2" s="155"/>
      <c r="V2" s="155"/>
      <c r="W2" s="155"/>
      <c r="X2" s="155"/>
      <c r="Y2" s="155"/>
      <c r="Z2" s="155"/>
      <c r="AA2" s="155"/>
      <c r="AB2" s="155"/>
      <c r="AC2" s="155"/>
      <c r="AD2" s="155"/>
      <c r="AE2" s="155"/>
      <c r="AF2" s="155"/>
      <c r="AG2" s="155"/>
      <c r="AH2" s="155"/>
      <c r="AI2" s="155"/>
      <c r="AJ2" s="155"/>
      <c r="AK2" s="155"/>
      <c r="AL2" s="155"/>
      <c r="AM2" s="102" t="s">
        <v>160</v>
      </c>
      <c r="AN2" s="70"/>
      <c r="AO2" s="70"/>
      <c r="AP2" s="70"/>
      <c r="AQ2" s="70"/>
      <c r="AR2" s="70"/>
      <c r="AS2" s="70"/>
      <c r="AT2" s="70"/>
      <c r="AU2" s="70"/>
      <c r="AV2" s="70"/>
      <c r="AW2" s="70"/>
      <c r="AX2" s="70"/>
      <c r="AY2" s="70"/>
      <c r="AZ2" s="70"/>
      <c r="BA2" s="70"/>
      <c r="BB2" s="70"/>
    </row>
    <row r="3" spans="1:54" x14ac:dyDescent="0.3">
      <c r="A3" s="88"/>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row>
    <row r="4" spans="1:54" x14ac:dyDescent="0.3">
      <c r="A4" s="513"/>
      <c r="B4" s="513"/>
      <c r="C4" s="513"/>
      <c r="D4" s="513"/>
      <c r="E4" s="513"/>
      <c r="F4" s="513"/>
      <c r="G4" s="89"/>
      <c r="H4" s="514">
        <f ca="1">TODAY()</f>
        <v>46184</v>
      </c>
      <c r="I4" s="513"/>
      <c r="J4" s="513"/>
      <c r="K4" s="513"/>
      <c r="L4" s="513"/>
      <c r="M4" s="88"/>
      <c r="N4"/>
      <c r="O4"/>
      <c r="P4"/>
      <c r="Q4"/>
      <c r="R4"/>
      <c r="S4"/>
      <c r="T4"/>
      <c r="U4"/>
      <c r="V4"/>
      <c r="W4"/>
      <c r="X4"/>
      <c r="Y4"/>
      <c r="Z4"/>
      <c r="AA4" s="88"/>
      <c r="AB4" s="88"/>
      <c r="AC4" s="88"/>
      <c r="AD4" s="88"/>
      <c r="AE4" s="88"/>
      <c r="AF4" s="88"/>
      <c r="AG4" s="88"/>
      <c r="AH4" s="88"/>
      <c r="AI4" s="88"/>
      <c r="AJ4" s="88"/>
      <c r="AK4" s="88"/>
      <c r="AL4" s="88"/>
    </row>
    <row r="5" spans="1:54" ht="15" customHeight="1" x14ac:dyDescent="0.3">
      <c r="A5" s="515" t="s">
        <v>125</v>
      </c>
      <c r="B5" s="515"/>
      <c r="C5" s="515"/>
      <c r="D5" s="515"/>
      <c r="E5" s="515"/>
      <c r="F5" s="515"/>
      <c r="G5" s="151"/>
      <c r="H5" s="515" t="s">
        <v>124</v>
      </c>
      <c r="I5" s="515"/>
      <c r="J5" s="515"/>
      <c r="K5" s="515"/>
      <c r="L5" s="515"/>
      <c r="M5" s="148"/>
      <c r="N5"/>
      <c r="O5"/>
      <c r="P5"/>
      <c r="Q5"/>
      <c r="R5"/>
      <c r="S5"/>
      <c r="T5"/>
      <c r="U5"/>
      <c r="V5"/>
      <c r="W5"/>
      <c r="X5"/>
      <c r="Y5"/>
      <c r="Z5"/>
      <c r="AA5" s="148"/>
      <c r="AB5" s="148"/>
      <c r="AC5" s="148"/>
      <c r="AD5" s="148"/>
      <c r="AE5" s="148"/>
      <c r="AF5" s="148"/>
      <c r="AG5" s="148"/>
      <c r="AH5" s="148"/>
      <c r="AI5" s="148"/>
      <c r="AJ5" s="148"/>
      <c r="AK5" s="148"/>
      <c r="AL5" s="148"/>
    </row>
    <row r="6" spans="1:54" x14ac:dyDescent="0.3">
      <c r="A6" s="153"/>
      <c r="B6" s="153"/>
      <c r="C6" s="153"/>
      <c r="D6" s="153"/>
      <c r="E6" s="153"/>
      <c r="F6" s="153"/>
      <c r="G6" s="151"/>
      <c r="H6" s="148"/>
      <c r="I6" s="148"/>
      <c r="J6" s="148"/>
      <c r="K6" s="148"/>
      <c r="L6" s="148"/>
      <c r="M6" s="148"/>
      <c r="N6"/>
      <c r="O6"/>
      <c r="P6"/>
      <c r="Q6"/>
      <c r="R6"/>
      <c r="S6"/>
      <c r="T6"/>
      <c r="U6"/>
      <c r="V6"/>
      <c r="W6"/>
      <c r="X6"/>
      <c r="Y6"/>
      <c r="Z6"/>
      <c r="AA6" s="148"/>
      <c r="AB6" s="148"/>
      <c r="AC6" s="148"/>
      <c r="AD6" s="148"/>
      <c r="AE6" s="148"/>
      <c r="AF6" s="148"/>
      <c r="AG6" s="148"/>
      <c r="AH6" s="148"/>
      <c r="AI6" s="148"/>
      <c r="AJ6" s="148"/>
      <c r="AK6" s="148"/>
      <c r="AL6" s="148"/>
    </row>
    <row r="7" spans="1:54" s="60" customFormat="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s="60" customFormat="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s="60" customFormat="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3">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row>
    <row r="15" spans="1:5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x14ac:dyDescent="0.25">
      <c r="A17" s="326"/>
      <c r="B17" s="443"/>
      <c r="C17" s="443"/>
      <c r="D17" s="443"/>
      <c r="E17" s="443"/>
      <c r="F17" s="443"/>
      <c r="G17" s="443"/>
      <c r="H17" s="443"/>
      <c r="I17" s="443"/>
      <c r="J17" s="443"/>
      <c r="K17" s="443"/>
      <c r="L17" s="443"/>
      <c r="M17" s="443"/>
      <c r="N17" s="443"/>
      <c r="O17" s="443"/>
      <c r="P17" s="443"/>
      <c r="Q17" s="443"/>
      <c r="R17" s="443"/>
      <c r="S17" s="443"/>
      <c r="T17" s="443"/>
      <c r="U17" s="443"/>
      <c r="V17" s="443"/>
      <c r="W17" s="443"/>
      <c r="X17" s="443"/>
      <c r="Y17" s="443"/>
      <c r="Z17" s="443"/>
      <c r="AA17" s="443"/>
      <c r="AB17" s="443"/>
      <c r="AC17" s="443"/>
      <c r="AD17" s="443"/>
      <c r="AE17" s="443"/>
      <c r="AF17" s="443"/>
      <c r="AG17" s="443"/>
      <c r="AH17" s="443"/>
      <c r="AI17" s="443"/>
      <c r="AJ17" s="443"/>
      <c r="AK17" s="443"/>
      <c r="AL17" s="443"/>
    </row>
    <row r="18" spans="1:39"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x14ac:dyDescent="0.25">
      <c r="A19" s="326"/>
      <c r="B19" s="591"/>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92"/>
      <c r="AK19" s="592"/>
      <c r="AL19" s="592"/>
    </row>
    <row r="20" spans="1:39" ht="28.9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48"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x14ac:dyDescent="0.3">
      <c r="A25" s="326"/>
      <c r="B25" s="600"/>
      <c r="C25" s="600"/>
      <c r="D25" s="600"/>
      <c r="E25" s="600"/>
      <c r="F25" s="600"/>
      <c r="G25" s="600"/>
      <c r="H25" s="600"/>
      <c r="I25" s="600"/>
      <c r="J25" s="600"/>
      <c r="K25" s="600"/>
      <c r="L25" s="600"/>
      <c r="M25" s="600"/>
      <c r="N25" s="600"/>
      <c r="O25" s="600"/>
      <c r="P25" s="600"/>
      <c r="Q25" s="600"/>
      <c r="R25" s="600"/>
      <c r="S25" s="600"/>
      <c r="T25" s="600"/>
      <c r="U25" s="600"/>
      <c r="V25" s="600"/>
      <c r="W25" s="352"/>
      <c r="X25" s="352"/>
      <c r="Y25" s="352"/>
      <c r="Z25" s="352"/>
      <c r="AA25" s="352"/>
      <c r="AB25" s="352"/>
      <c r="AC25" s="352"/>
      <c r="AD25" s="352"/>
      <c r="AE25" s="352"/>
      <c r="AF25" s="352"/>
      <c r="AG25" s="352"/>
      <c r="AH25" s="352"/>
      <c r="AI25" s="352"/>
      <c r="AJ25" s="352"/>
      <c r="AK25" s="352"/>
      <c r="AL25" s="352"/>
    </row>
    <row r="26" spans="1:39" x14ac:dyDescent="0.25">
      <c r="A26" s="337" t="s">
        <v>9</v>
      </c>
      <c r="B26" s="344" t="s">
        <v>66</v>
      </c>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row>
    <row r="27" spans="1:39" x14ac:dyDescent="0.25">
      <c r="A27" s="326"/>
      <c r="B27" s="344" t="s">
        <v>170</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606"/>
    </row>
    <row r="28" spans="1:39" x14ac:dyDescent="0.25">
      <c r="A28" s="326"/>
      <c r="B28" s="593"/>
      <c r="C28" s="594"/>
      <c r="D28" s="594"/>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5"/>
    </row>
    <row r="29" spans="1:39" x14ac:dyDescent="0.25">
      <c r="A29" s="326"/>
      <c r="B29" s="587" t="s">
        <v>211</v>
      </c>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9"/>
    </row>
    <row r="30" spans="1:39" x14ac:dyDescent="0.25">
      <c r="A30" s="326"/>
      <c r="B30" s="593"/>
      <c r="C30" s="594"/>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5"/>
    </row>
    <row r="31" spans="1:39" x14ac:dyDescent="0.25">
      <c r="A31" s="326"/>
      <c r="B31" s="588" t="s">
        <v>171</v>
      </c>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9"/>
    </row>
    <row r="32" spans="1:39" x14ac:dyDescent="0.25">
      <c r="A32" s="326"/>
      <c r="B32" s="593"/>
      <c r="C32" s="594"/>
      <c r="D32" s="594"/>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5"/>
      <c r="AM32" s="101" t="s">
        <v>174</v>
      </c>
    </row>
    <row r="33" spans="1:39" x14ac:dyDescent="0.25">
      <c r="A33" s="326"/>
      <c r="B33" s="587" t="s">
        <v>212</v>
      </c>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row>
    <row r="34" spans="1:39" x14ac:dyDescent="0.25">
      <c r="A34" s="326"/>
      <c r="B34" s="593"/>
      <c r="C34" s="594"/>
      <c r="D34" s="594"/>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5"/>
      <c r="AM34" s="101" t="s">
        <v>174</v>
      </c>
    </row>
    <row r="35" spans="1:39" ht="14.7" customHeight="1" x14ac:dyDescent="0.25">
      <c r="A35" s="337" t="s">
        <v>882</v>
      </c>
      <c r="B35" s="614" t="s">
        <v>676</v>
      </c>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row>
    <row r="36" spans="1:39" x14ac:dyDescent="0.25">
      <c r="A36" s="326"/>
      <c r="B36" s="615"/>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row>
    <row r="37" spans="1:39" ht="59.7" customHeight="1" x14ac:dyDescent="0.25">
      <c r="A37" s="326"/>
      <c r="B37" s="599" t="s">
        <v>677</v>
      </c>
      <c r="C37" s="601"/>
      <c r="D37" s="601"/>
      <c r="E37" s="601"/>
      <c r="F37" s="601"/>
      <c r="G37" s="601"/>
      <c r="H37" s="601"/>
      <c r="I37" s="601"/>
      <c r="J37" s="601"/>
      <c r="K37" s="601"/>
      <c r="L37" s="601"/>
      <c r="M37" s="601"/>
      <c r="N37" s="601"/>
      <c r="O37" s="601"/>
      <c r="P37" s="601"/>
      <c r="Q37" s="601"/>
      <c r="R37" s="601"/>
      <c r="S37" s="601"/>
      <c r="T37" s="601"/>
      <c r="U37" s="601"/>
      <c r="V37" s="601"/>
      <c r="W37" s="601"/>
      <c r="X37" s="601"/>
      <c r="Y37" s="602" t="s">
        <v>1068</v>
      </c>
      <c r="Z37" s="603"/>
      <c r="AA37" s="603"/>
      <c r="AB37" s="603"/>
      <c r="AC37" s="603"/>
      <c r="AD37" s="603"/>
      <c r="AE37" s="603"/>
      <c r="AF37" s="603"/>
      <c r="AG37" s="603"/>
      <c r="AH37" s="603"/>
      <c r="AI37" s="603"/>
      <c r="AJ37" s="603"/>
      <c r="AK37" s="603"/>
      <c r="AL37" s="603"/>
    </row>
    <row r="38" spans="1:39" x14ac:dyDescent="0.25">
      <c r="A38" s="326"/>
      <c r="B38" s="604"/>
      <c r="C38" s="605"/>
      <c r="D38" s="605"/>
      <c r="E38" s="605"/>
      <c r="F38" s="605"/>
      <c r="G38" s="605"/>
      <c r="H38" s="605"/>
      <c r="I38" s="605"/>
      <c r="J38" s="605"/>
      <c r="K38" s="605"/>
      <c r="L38" s="605"/>
      <c r="M38" s="605"/>
      <c r="N38" s="605"/>
      <c r="O38" s="605"/>
      <c r="P38" s="605"/>
      <c r="Q38" s="605"/>
      <c r="R38" s="605"/>
      <c r="S38" s="605"/>
      <c r="T38" s="605"/>
      <c r="U38" s="605"/>
      <c r="V38" s="605"/>
      <c r="W38" s="605"/>
      <c r="X38" s="605"/>
      <c r="Y38" s="598"/>
      <c r="Z38" s="598"/>
      <c r="AA38" s="598"/>
      <c r="AB38" s="598"/>
      <c r="AC38" s="598"/>
      <c r="AD38" s="598"/>
      <c r="AE38" s="598"/>
      <c r="AF38" s="598"/>
      <c r="AG38" s="598"/>
      <c r="AH38" s="598"/>
      <c r="AI38" s="598"/>
      <c r="AJ38" s="598"/>
      <c r="AK38" s="598"/>
      <c r="AL38" s="598"/>
    </row>
    <row r="39" spans="1:39" x14ac:dyDescent="0.25">
      <c r="A39" s="326"/>
      <c r="B39" s="599" t="s">
        <v>678</v>
      </c>
      <c r="C39" s="344"/>
      <c r="D39" s="344"/>
      <c r="E39" s="344"/>
      <c r="F39" s="344"/>
      <c r="G39" s="344"/>
      <c r="H39" s="344"/>
      <c r="I39" s="344"/>
      <c r="J39" s="344"/>
      <c r="K39" s="344"/>
      <c r="L39" s="344"/>
      <c r="M39" s="344"/>
      <c r="N39" s="344"/>
      <c r="O39" s="344"/>
      <c r="P39" s="344"/>
      <c r="Q39" s="344"/>
      <c r="R39" s="344"/>
      <c r="S39" s="344"/>
      <c r="T39" s="344"/>
      <c r="U39" s="344"/>
      <c r="V39" s="344"/>
      <c r="W39" s="599" t="s">
        <v>679</v>
      </c>
      <c r="X39" s="344"/>
      <c r="Y39" s="344"/>
      <c r="Z39" s="344"/>
      <c r="AA39" s="344"/>
      <c r="AB39" s="344"/>
      <c r="AC39" s="344"/>
      <c r="AD39" s="344"/>
      <c r="AE39" s="344"/>
      <c r="AF39" s="344"/>
      <c r="AG39" s="344"/>
      <c r="AH39" s="344"/>
      <c r="AI39" s="344"/>
      <c r="AJ39" s="344"/>
      <c r="AK39" s="344"/>
      <c r="AL39" s="344"/>
    </row>
    <row r="40" spans="1:39" x14ac:dyDescent="0.3">
      <c r="A40" s="326"/>
      <c r="B40" s="350"/>
      <c r="C40" s="350"/>
      <c r="D40" s="350"/>
      <c r="E40" s="350"/>
      <c r="F40" s="350"/>
      <c r="G40" s="350"/>
      <c r="H40" s="350"/>
      <c r="I40" s="350"/>
      <c r="J40" s="350"/>
      <c r="K40" s="350"/>
      <c r="L40" s="350"/>
      <c r="M40" s="350"/>
      <c r="N40" s="350"/>
      <c r="O40" s="350"/>
      <c r="P40" s="350"/>
      <c r="Q40" s="350"/>
      <c r="R40" s="350"/>
      <c r="S40" s="350"/>
      <c r="T40" s="350"/>
      <c r="U40" s="350"/>
      <c r="V40" s="350"/>
      <c r="W40" s="327"/>
      <c r="X40" s="327"/>
      <c r="Y40" s="327"/>
      <c r="Z40" s="327"/>
      <c r="AA40" s="327"/>
      <c r="AB40" s="327"/>
      <c r="AC40" s="327"/>
      <c r="AD40" s="327"/>
      <c r="AE40" s="327"/>
      <c r="AF40" s="327"/>
      <c r="AG40" s="327"/>
      <c r="AH40" s="327"/>
      <c r="AI40" s="327"/>
      <c r="AJ40" s="327"/>
      <c r="AK40" s="327"/>
      <c r="AL40" s="327"/>
    </row>
    <row r="41" spans="1:39" x14ac:dyDescent="0.3">
      <c r="A41" s="326"/>
      <c r="B41" s="338" t="s">
        <v>680</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100" t="s">
        <v>971</v>
      </c>
    </row>
    <row r="42" spans="1:39" x14ac:dyDescent="0.3">
      <c r="A42" s="326"/>
      <c r="B42" s="327"/>
      <c r="C42" s="327"/>
      <c r="D42" s="327"/>
      <c r="E42" s="327"/>
      <c r="F42" s="327"/>
      <c r="G42" s="327"/>
      <c r="H42" s="327"/>
      <c r="I42" s="327"/>
      <c r="J42" s="327"/>
      <c r="K42" s="327"/>
      <c r="L42" s="327"/>
      <c r="M42" s="327"/>
      <c r="N42" s="327"/>
      <c r="O42" s="327"/>
      <c r="P42" s="327"/>
      <c r="Q42" s="327"/>
      <c r="R42" s="327"/>
      <c r="S42" s="327"/>
      <c r="T42" s="327"/>
      <c r="U42" s="327"/>
      <c r="V42" s="327"/>
      <c r="W42" s="327"/>
      <c r="X42" s="327"/>
      <c r="Y42" s="327"/>
      <c r="Z42" s="327"/>
      <c r="AA42" s="327"/>
      <c r="AB42" s="327"/>
      <c r="AC42" s="327"/>
      <c r="AD42" s="327"/>
      <c r="AE42" s="327"/>
      <c r="AF42" s="327"/>
      <c r="AG42" s="327"/>
      <c r="AH42" s="327"/>
      <c r="AI42" s="327"/>
      <c r="AJ42" s="327"/>
      <c r="AK42" s="327"/>
      <c r="AL42" s="327"/>
    </row>
    <row r="43" spans="1:39" ht="46.2" customHeight="1" x14ac:dyDescent="0.25">
      <c r="A43" s="337" t="s">
        <v>640</v>
      </c>
      <c r="B43" s="342" t="s">
        <v>754</v>
      </c>
      <c r="C43" s="342"/>
      <c r="D43" s="342"/>
      <c r="E43" s="342"/>
      <c r="F43" s="342"/>
      <c r="G43" s="342"/>
      <c r="H43" s="342"/>
      <c r="I43" s="342"/>
      <c r="J43" s="342"/>
      <c r="K43" s="342"/>
      <c r="L43" s="342"/>
      <c r="M43" s="342"/>
      <c r="N43" s="342"/>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row>
    <row r="44" spans="1:39" x14ac:dyDescent="0.3">
      <c r="A44" s="326"/>
      <c r="B44" s="352"/>
      <c r="C44" s="352"/>
      <c r="D44" s="352"/>
      <c r="E44" s="352"/>
      <c r="F44" s="352"/>
      <c r="G44" s="352"/>
      <c r="H44" s="352"/>
      <c r="I44" s="352"/>
      <c r="J44" s="352"/>
      <c r="K44" s="352"/>
      <c r="L44" s="352"/>
      <c r="M44" s="352"/>
      <c r="N44" s="352"/>
      <c r="O44" s="352"/>
      <c r="P44" s="352"/>
      <c r="Q44" s="352"/>
      <c r="R44" s="352"/>
      <c r="S44" s="352"/>
      <c r="T44" s="348" t="str" cm="1">
        <f t="array" ref="T44">LEFT(B44,2)&amp;" "&amp;_xlfn.TEXTJOIN(" ",,MID(B44,{3,7,11,15,19,23},4))</f>
        <v xml:space="preserve"> </v>
      </c>
      <c r="U44" s="348"/>
      <c r="V44" s="348"/>
      <c r="W44" s="348"/>
      <c r="X44" s="348"/>
      <c r="Y44" s="348"/>
      <c r="Z44" s="348"/>
      <c r="AA44" s="348"/>
      <c r="AB44" s="348"/>
      <c r="AC44" s="348"/>
      <c r="AD44" s="348"/>
      <c r="AE44" s="348"/>
      <c r="AF44" s="348"/>
      <c r="AG44" s="348"/>
      <c r="AH44" s="348"/>
      <c r="AI44" s="348"/>
      <c r="AJ44" s="348"/>
      <c r="AK44" s="348"/>
      <c r="AL44" s="348"/>
    </row>
    <row r="45" spans="1:39" x14ac:dyDescent="0.25">
      <c r="A45" s="149" t="s">
        <v>67</v>
      </c>
      <c r="B45" s="351" t="s">
        <v>68</v>
      </c>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row>
    <row r="46" spans="1:39" x14ac:dyDescent="0.25">
      <c r="A46" s="326" t="s">
        <v>1</v>
      </c>
      <c r="B46" s="344" t="s">
        <v>85</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x14ac:dyDescent="0.3">
      <c r="A47" s="326"/>
      <c r="B47" s="655">
        <f>T141</f>
        <v>0</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c r="AL47" s="655"/>
      <c r="AM47" s="118" t="s">
        <v>213</v>
      </c>
    </row>
    <row r="48" spans="1:39" ht="28.95" customHeight="1" x14ac:dyDescent="0.25">
      <c r="A48" s="554" t="s">
        <v>6</v>
      </c>
      <c r="B48" s="520" t="s">
        <v>1023</v>
      </c>
      <c r="C48" s="520"/>
      <c r="D48" s="520"/>
      <c r="E48" s="520"/>
      <c r="F48" s="520"/>
      <c r="G48" s="520"/>
      <c r="H48" s="520"/>
      <c r="I48" s="520"/>
      <c r="J48" s="520"/>
      <c r="K48" s="520"/>
      <c r="L48" s="520"/>
      <c r="M48" s="520"/>
      <c r="N48" s="520"/>
      <c r="O48" s="520"/>
      <c r="P48" s="520"/>
      <c r="Q48" s="520"/>
      <c r="R48" s="520"/>
      <c r="S48" s="520"/>
      <c r="T48" s="520"/>
      <c r="U48" s="520"/>
      <c r="V48" s="520"/>
      <c r="W48" s="520"/>
      <c r="X48" s="520"/>
      <c r="Y48" s="520"/>
      <c r="Z48" s="520"/>
      <c r="AA48" s="520"/>
      <c r="AB48" s="520"/>
      <c r="AC48" s="520"/>
      <c r="AD48" s="520"/>
      <c r="AE48" s="520"/>
      <c r="AF48" s="520"/>
      <c r="AG48" s="520"/>
      <c r="AH48" s="520"/>
      <c r="AI48" s="520"/>
      <c r="AJ48" s="520"/>
      <c r="AK48" s="520"/>
      <c r="AL48" s="520"/>
    </row>
    <row r="49" spans="1:65" x14ac:dyDescent="0.25">
      <c r="A49" s="326"/>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101" t="s">
        <v>633</v>
      </c>
    </row>
    <row r="50" spans="1:65" ht="52.5" customHeight="1" x14ac:dyDescent="0.25">
      <c r="A50" s="554" t="s">
        <v>7</v>
      </c>
      <c r="B50" s="522" t="s">
        <v>886</v>
      </c>
      <c r="C50" s="523"/>
      <c r="D50" s="523"/>
      <c r="E50" s="523"/>
      <c r="F50" s="523"/>
      <c r="G50" s="523"/>
      <c r="H50" s="523"/>
      <c r="I50" s="523"/>
      <c r="J50" s="523"/>
      <c r="K50" s="523"/>
      <c r="L50" s="523"/>
      <c r="M50" s="523"/>
      <c r="N50" s="523"/>
      <c r="O50" s="523"/>
      <c r="P50" s="523"/>
      <c r="Q50" s="523"/>
      <c r="R50" s="523"/>
      <c r="S50" s="523"/>
      <c r="T50" s="523"/>
      <c r="U50" s="523"/>
      <c r="V50" s="523"/>
      <c r="W50" s="523"/>
      <c r="X50" s="523"/>
      <c r="Y50" s="523"/>
      <c r="Z50" s="523"/>
      <c r="AA50" s="523"/>
      <c r="AB50" s="523"/>
      <c r="AC50" s="523"/>
      <c r="AD50" s="523"/>
      <c r="AE50" s="523"/>
      <c r="AF50" s="523"/>
      <c r="AG50" s="523"/>
      <c r="AH50" s="523"/>
      <c r="AI50" s="523"/>
      <c r="AJ50" s="523"/>
      <c r="AK50" s="523"/>
      <c r="AL50" s="524"/>
    </row>
    <row r="51" spans="1:65" x14ac:dyDescent="0.25">
      <c r="A51" s="326"/>
      <c r="B51" s="347"/>
      <c r="C51" s="347"/>
      <c r="D51" s="347"/>
      <c r="E51" s="347"/>
      <c r="F51" s="347"/>
      <c r="G51" s="347"/>
      <c r="H51" s="347"/>
      <c r="I51" s="347"/>
      <c r="J51" s="347"/>
      <c r="K51" s="347"/>
      <c r="L51" s="347"/>
      <c r="M51" s="347"/>
      <c r="N51" s="347"/>
      <c r="O51" s="347"/>
      <c r="P51" s="347"/>
      <c r="Q51" s="347"/>
      <c r="R51" s="347"/>
      <c r="S51" s="347"/>
      <c r="T51" s="347"/>
      <c r="U51" s="347"/>
      <c r="V51" s="347"/>
      <c r="W51" s="347"/>
      <c r="X51" s="347"/>
      <c r="Y51" s="347"/>
      <c r="Z51" s="347"/>
      <c r="AA51" s="347"/>
      <c r="AB51" s="347"/>
      <c r="AC51" s="347"/>
      <c r="AD51" s="347"/>
      <c r="AE51" s="347"/>
      <c r="AF51" s="347"/>
      <c r="AG51" s="347"/>
      <c r="AH51" s="347"/>
      <c r="AI51" s="347"/>
      <c r="AJ51" s="347"/>
      <c r="AK51" s="347"/>
      <c r="AL51" s="347"/>
      <c r="AM51" s="101" t="s">
        <v>209</v>
      </c>
    </row>
    <row r="52" spans="1:65" x14ac:dyDescent="0.25">
      <c r="A52" s="345" t="s">
        <v>9</v>
      </c>
      <c r="B52" s="419" t="s">
        <v>223</v>
      </c>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4"/>
      <c r="AI52" s="344"/>
      <c r="AJ52" s="344"/>
      <c r="AK52" s="344"/>
      <c r="AL52" s="344"/>
      <c r="AM52" s="590"/>
      <c r="AN52" s="590"/>
      <c r="AO52" s="590"/>
    </row>
    <row r="53" spans="1:65" ht="14.7" customHeight="1" x14ac:dyDescent="0.25">
      <c r="A53" s="344"/>
      <c r="B53" s="577" t="s">
        <v>700</v>
      </c>
      <c r="C53" s="577"/>
      <c r="D53" s="577"/>
      <c r="E53" s="577"/>
      <c r="F53" s="577"/>
      <c r="G53" s="577"/>
      <c r="H53" s="577"/>
      <c r="I53" s="577"/>
      <c r="J53" s="577"/>
      <c r="K53" s="577"/>
      <c r="L53" s="577"/>
      <c r="M53" s="577"/>
      <c r="N53" s="577"/>
      <c r="O53" s="577"/>
      <c r="P53" s="577"/>
      <c r="Q53" s="577"/>
      <c r="R53" s="577"/>
      <c r="S53" s="577"/>
      <c r="T53" s="577"/>
      <c r="U53" s="577"/>
      <c r="V53" s="577"/>
      <c r="W53" s="577"/>
      <c r="X53" s="577"/>
      <c r="Y53" s="578"/>
      <c r="Z53" s="426" t="s">
        <v>702</v>
      </c>
      <c r="AA53" s="427"/>
      <c r="AB53" s="427"/>
      <c r="AC53" s="427"/>
      <c r="AD53" s="427"/>
      <c r="AE53" s="427"/>
      <c r="AF53" s="427"/>
      <c r="AG53" s="427"/>
      <c r="AH53" s="427"/>
      <c r="AI53" s="427"/>
      <c r="AJ53" s="427"/>
      <c r="AK53" s="426" t="s">
        <v>701</v>
      </c>
      <c r="AL53" s="427"/>
    </row>
    <row r="54" spans="1:65" ht="19.2" customHeight="1" x14ac:dyDescent="0.3">
      <c r="A54" s="344"/>
      <c r="B54" s="656" t="s">
        <v>226</v>
      </c>
      <c r="C54" s="657"/>
      <c r="D54" s="657"/>
      <c r="E54" s="657"/>
      <c r="F54" s="657"/>
      <c r="G54" s="657"/>
      <c r="H54" s="657"/>
      <c r="I54" s="657"/>
      <c r="J54" s="657"/>
      <c r="K54" s="657"/>
      <c r="L54" s="657"/>
      <c r="M54" s="657"/>
      <c r="N54" s="657"/>
      <c r="O54" s="657"/>
      <c r="P54" s="657"/>
      <c r="Q54" s="657"/>
      <c r="R54" s="657"/>
      <c r="S54" s="657"/>
      <c r="T54" s="657"/>
      <c r="U54" s="657"/>
      <c r="V54" s="657"/>
      <c r="W54" s="657"/>
      <c r="X54" s="657"/>
      <c r="Y54" s="658"/>
      <c r="Z54" s="403"/>
      <c r="AA54" s="403"/>
      <c r="AB54" s="403"/>
      <c r="AC54" s="403"/>
      <c r="AD54" s="403"/>
      <c r="AE54" s="403"/>
      <c r="AF54" s="403"/>
      <c r="AG54" s="403"/>
      <c r="AH54" s="403"/>
      <c r="AI54" s="403"/>
      <c r="AJ54" s="403"/>
      <c r="AK54" s="582" t="e">
        <f>Z54/Z$58</f>
        <v>#DIV/0!</v>
      </c>
      <c r="AL54" s="583"/>
    </row>
    <row r="55" spans="1:65" ht="19.2" customHeight="1" x14ac:dyDescent="0.3">
      <c r="A55" s="344"/>
      <c r="B55" s="656" t="s">
        <v>222</v>
      </c>
      <c r="C55" s="657"/>
      <c r="D55" s="657"/>
      <c r="E55" s="657"/>
      <c r="F55" s="657"/>
      <c r="G55" s="657"/>
      <c r="H55" s="657"/>
      <c r="I55" s="657"/>
      <c r="J55" s="657"/>
      <c r="K55" s="657"/>
      <c r="L55" s="657"/>
      <c r="M55" s="657"/>
      <c r="N55" s="657"/>
      <c r="O55" s="657"/>
      <c r="P55" s="657"/>
      <c r="Q55" s="657"/>
      <c r="R55" s="657"/>
      <c r="S55" s="657"/>
      <c r="T55" s="657"/>
      <c r="U55" s="657"/>
      <c r="V55" s="657"/>
      <c r="W55" s="657"/>
      <c r="X55" s="657"/>
      <c r="Y55" s="658"/>
      <c r="Z55" s="403"/>
      <c r="AA55" s="403"/>
      <c r="AB55" s="403"/>
      <c r="AC55" s="403"/>
      <c r="AD55" s="403"/>
      <c r="AE55" s="403"/>
      <c r="AF55" s="403"/>
      <c r="AG55" s="403"/>
      <c r="AH55" s="403"/>
      <c r="AI55" s="403"/>
      <c r="AJ55" s="403"/>
      <c r="AK55" s="582" t="e">
        <f>Z55/Z$58</f>
        <v>#DIV/0!</v>
      </c>
      <c r="AL55" s="583"/>
    </row>
    <row r="56" spans="1:65" ht="19.2" customHeight="1" x14ac:dyDescent="0.3">
      <c r="A56" s="344"/>
      <c r="B56" s="656" t="s">
        <v>88</v>
      </c>
      <c r="C56" s="657"/>
      <c r="D56" s="657"/>
      <c r="E56" s="657"/>
      <c r="F56" s="657"/>
      <c r="G56" s="657"/>
      <c r="H56" s="657"/>
      <c r="I56" s="657"/>
      <c r="J56" s="657"/>
      <c r="K56" s="657"/>
      <c r="L56" s="657"/>
      <c r="M56" s="657"/>
      <c r="N56" s="657"/>
      <c r="O56" s="657"/>
      <c r="P56" s="657"/>
      <c r="Q56" s="657"/>
      <c r="R56" s="657"/>
      <c r="S56" s="657"/>
      <c r="T56" s="657"/>
      <c r="U56" s="657"/>
      <c r="V56" s="657"/>
      <c r="W56" s="657"/>
      <c r="X56" s="657"/>
      <c r="Y56" s="658"/>
      <c r="Z56" s="432">
        <f>B47</f>
        <v>0</v>
      </c>
      <c r="AA56" s="341"/>
      <c r="AB56" s="341"/>
      <c r="AC56" s="341"/>
      <c r="AD56" s="341"/>
      <c r="AE56" s="341"/>
      <c r="AF56" s="341"/>
      <c r="AG56" s="341"/>
      <c r="AH56" s="341"/>
      <c r="AI56" s="341"/>
      <c r="AJ56" s="341"/>
      <c r="AK56" s="582" t="e">
        <f>Z56/Z$58</f>
        <v>#DIV/0!</v>
      </c>
      <c r="AL56" s="583"/>
      <c r="AM56" s="76" t="s">
        <v>208</v>
      </c>
    </row>
    <row r="57" spans="1:65" ht="19.2" customHeight="1" x14ac:dyDescent="0.3">
      <c r="A57" s="344"/>
      <c r="B57" s="656" t="s">
        <v>92</v>
      </c>
      <c r="C57" s="657"/>
      <c r="D57" s="657"/>
      <c r="E57" s="657"/>
      <c r="F57" s="657"/>
      <c r="G57" s="657"/>
      <c r="H57" s="657"/>
      <c r="I57" s="657"/>
      <c r="J57" s="657"/>
      <c r="K57" s="657"/>
      <c r="L57" s="657"/>
      <c r="M57" s="657"/>
      <c r="N57" s="657"/>
      <c r="O57" s="657"/>
      <c r="P57" s="657"/>
      <c r="Q57" s="657"/>
      <c r="R57" s="657"/>
      <c r="S57" s="657"/>
      <c r="T57" s="657"/>
      <c r="U57" s="657"/>
      <c r="V57" s="657"/>
      <c r="W57" s="657"/>
      <c r="X57" s="657"/>
      <c r="Y57" s="658"/>
      <c r="Z57" s="403"/>
      <c r="AA57" s="403"/>
      <c r="AB57" s="403"/>
      <c r="AC57" s="403"/>
      <c r="AD57" s="403"/>
      <c r="AE57" s="403"/>
      <c r="AF57" s="403"/>
      <c r="AG57" s="403"/>
      <c r="AH57" s="403"/>
      <c r="AI57" s="403"/>
      <c r="AJ57" s="403"/>
      <c r="AK57" s="582" t="e">
        <f>Z57/Z$58</f>
        <v>#DIV/0!</v>
      </c>
      <c r="AL57" s="583"/>
    </row>
    <row r="58" spans="1:65" ht="19.2" customHeight="1" x14ac:dyDescent="0.3">
      <c r="A58" s="344"/>
      <c r="B58" s="656" t="s">
        <v>235</v>
      </c>
      <c r="C58" s="657"/>
      <c r="D58" s="657"/>
      <c r="E58" s="657"/>
      <c r="F58" s="657"/>
      <c r="G58" s="657"/>
      <c r="H58" s="657"/>
      <c r="I58" s="657"/>
      <c r="J58" s="657"/>
      <c r="K58" s="657"/>
      <c r="L58" s="657"/>
      <c r="M58" s="657"/>
      <c r="N58" s="657"/>
      <c r="O58" s="657"/>
      <c r="P58" s="657"/>
      <c r="Q58" s="657"/>
      <c r="R58" s="657"/>
      <c r="S58" s="657"/>
      <c r="T58" s="657"/>
      <c r="U58" s="657"/>
      <c r="V58" s="657"/>
      <c r="W58" s="657"/>
      <c r="X58" s="657"/>
      <c r="Y58" s="658"/>
      <c r="Z58" s="422">
        <f>SUM(Z54+Z55+Z56+Z57)</f>
        <v>0</v>
      </c>
      <c r="AA58" s="422"/>
      <c r="AB58" s="422"/>
      <c r="AC58" s="422"/>
      <c r="AD58" s="422"/>
      <c r="AE58" s="422"/>
      <c r="AF58" s="422"/>
      <c r="AG58" s="422"/>
      <c r="AH58" s="422"/>
      <c r="AI58" s="422"/>
      <c r="AJ58" s="422"/>
      <c r="AK58" s="341" t="e">
        <f>SUM(AK54+AK55+AK56+AK57)</f>
        <v>#DIV/0!</v>
      </c>
      <c r="AL58" s="341"/>
      <c r="AM58" s="101" t="s">
        <v>175</v>
      </c>
    </row>
    <row r="59" spans="1:65" x14ac:dyDescent="0.3">
      <c r="A59" s="150" t="s">
        <v>69</v>
      </c>
      <c r="B59" s="328" t="s">
        <v>70</v>
      </c>
      <c r="C59" s="328"/>
      <c r="D59" s="328"/>
      <c r="E59" s="328"/>
      <c r="F59" s="328"/>
      <c r="G59" s="328"/>
      <c r="H59" s="328"/>
      <c r="I59" s="328"/>
      <c r="J59" s="328"/>
      <c r="K59" s="328"/>
      <c r="L59" s="328"/>
      <c r="M59" s="328"/>
      <c r="N59" s="328"/>
      <c r="O59" s="328"/>
      <c r="P59" s="328"/>
      <c r="Q59" s="328"/>
      <c r="R59" s="328"/>
      <c r="S59" s="328"/>
      <c r="T59" s="328"/>
      <c r="U59" s="328"/>
      <c r="V59" s="328"/>
      <c r="W59" s="328"/>
      <c r="X59" s="328"/>
      <c r="Y59" s="328"/>
      <c r="Z59" s="328"/>
      <c r="AA59" s="328"/>
      <c r="AB59" s="328"/>
      <c r="AC59" s="328"/>
      <c r="AD59" s="328"/>
      <c r="AE59" s="328"/>
      <c r="AF59" s="328"/>
      <c r="AG59" s="328"/>
      <c r="AH59" s="328"/>
      <c r="AI59" s="328"/>
      <c r="AJ59" s="328"/>
      <c r="AK59" s="328"/>
      <c r="AL59" s="328"/>
    </row>
    <row r="60" spans="1:65" ht="31.95" customHeight="1" x14ac:dyDescent="0.25">
      <c r="A60" s="508" t="s">
        <v>890</v>
      </c>
      <c r="B60" s="508"/>
      <c r="C60" s="508"/>
      <c r="D60" s="508"/>
      <c r="E60" s="508"/>
      <c r="F60" s="508"/>
      <c r="G60" s="508"/>
      <c r="H60" s="508"/>
      <c r="I60" s="508"/>
      <c r="J60" s="508"/>
      <c r="K60" s="508"/>
      <c r="L60" s="508"/>
      <c r="M60" s="508"/>
      <c r="N60" s="508"/>
      <c r="O60" s="508"/>
      <c r="P60" s="508"/>
      <c r="Q60" s="508"/>
      <c r="R60" s="508"/>
      <c r="S60" s="508"/>
      <c r="T60" s="508"/>
      <c r="U60" s="508"/>
      <c r="V60" s="508"/>
      <c r="W60" s="508"/>
      <c r="X60" s="508"/>
      <c r="Y60" s="508"/>
      <c r="Z60" s="508"/>
      <c r="AA60" s="508"/>
      <c r="AB60" s="508"/>
      <c r="AC60" s="508"/>
      <c r="AD60" s="508"/>
      <c r="AE60" s="508"/>
      <c r="AF60" s="508"/>
      <c r="AG60" s="508"/>
      <c r="AH60" s="508"/>
      <c r="AI60" s="508"/>
      <c r="AJ60" s="508"/>
      <c r="AK60" s="508"/>
      <c r="AL60" s="508"/>
    </row>
    <row r="61" spans="1:65" ht="31.95" customHeight="1" x14ac:dyDescent="0.25">
      <c r="A61" s="508"/>
      <c r="B61" s="508"/>
      <c r="C61" s="508"/>
      <c r="D61" s="508"/>
      <c r="E61" s="508"/>
      <c r="F61" s="508"/>
      <c r="G61" s="508"/>
      <c r="H61" s="508"/>
      <c r="I61" s="508"/>
      <c r="J61" s="508"/>
      <c r="K61" s="508"/>
      <c r="L61" s="508"/>
      <c r="M61" s="508"/>
      <c r="N61" s="508"/>
      <c r="O61" s="508"/>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08"/>
    </row>
    <row r="62" spans="1:65" s="85" customFormat="1" x14ac:dyDescent="0.3">
      <c r="A62" s="150" t="s">
        <v>90</v>
      </c>
      <c r="B62" s="328" t="s">
        <v>674</v>
      </c>
      <c r="C62" s="328"/>
      <c r="D62" s="328"/>
      <c r="E62" s="328"/>
      <c r="F62" s="328"/>
      <c r="G62" s="328"/>
      <c r="H62" s="328"/>
      <c r="I62" s="328"/>
      <c r="J62" s="328"/>
      <c r="K62" s="328"/>
      <c r="L62" s="328"/>
      <c r="M62" s="328"/>
      <c r="N62" s="328"/>
      <c r="O62" s="328"/>
      <c r="P62" s="328"/>
      <c r="Q62" s="328"/>
      <c r="R62" s="328"/>
      <c r="S62" s="328"/>
      <c r="T62" s="328"/>
      <c r="U62" s="328"/>
      <c r="V62" s="328"/>
      <c r="W62" s="328"/>
      <c r="X62" s="328"/>
      <c r="Y62" s="328"/>
      <c r="Z62" s="328"/>
      <c r="AA62" s="328"/>
      <c r="AB62" s="328"/>
      <c r="AC62" s="328"/>
      <c r="AD62" s="328"/>
      <c r="AE62" s="328"/>
      <c r="AF62" s="328"/>
      <c r="AG62" s="328"/>
      <c r="AH62" s="328"/>
      <c r="AI62" s="328"/>
      <c r="AJ62" s="328"/>
      <c r="AK62" s="328"/>
      <c r="AL62" s="328"/>
      <c r="AM62" s="102"/>
      <c r="AN62" s="64"/>
      <c r="AO62" s="64"/>
      <c r="AP62" s="64"/>
      <c r="AQ62" s="64"/>
      <c r="AR62" s="64"/>
      <c r="AS62" s="64"/>
      <c r="AT62" s="64"/>
      <c r="AU62" s="64"/>
      <c r="AV62" s="64"/>
      <c r="AW62" s="64"/>
      <c r="AX62" s="64"/>
      <c r="AY62" s="64"/>
      <c r="AZ62" s="64"/>
      <c r="BA62" s="64"/>
      <c r="BB62" s="64"/>
      <c r="BC62" s="64"/>
      <c r="BD62" s="64"/>
      <c r="BE62" s="64"/>
      <c r="BF62" s="64"/>
      <c r="BG62" s="64"/>
      <c r="BH62" s="64"/>
      <c r="BI62" s="64"/>
      <c r="BJ62" s="64"/>
      <c r="BK62" s="64"/>
      <c r="BL62" s="64"/>
      <c r="BM62" s="64"/>
    </row>
    <row r="63" spans="1:65" ht="54.45" customHeight="1" x14ac:dyDescent="0.25">
      <c r="A63" s="508" t="s">
        <v>954</v>
      </c>
      <c r="B63" s="508"/>
      <c r="C63" s="508"/>
      <c r="D63" s="508"/>
      <c r="E63" s="508"/>
      <c r="F63" s="508"/>
      <c r="G63" s="508"/>
      <c r="H63" s="508"/>
      <c r="I63" s="508"/>
      <c r="J63" s="508"/>
      <c r="K63" s="508"/>
      <c r="L63" s="508"/>
      <c r="M63" s="508"/>
      <c r="N63" s="508"/>
      <c r="O63" s="508"/>
      <c r="P63" s="508"/>
      <c r="Q63" s="508"/>
      <c r="R63" s="508"/>
      <c r="S63" s="508"/>
      <c r="T63" s="508"/>
      <c r="U63" s="508"/>
      <c r="V63" s="508"/>
      <c r="W63" s="508"/>
      <c r="X63" s="508"/>
      <c r="Y63" s="508"/>
      <c r="Z63" s="508"/>
      <c r="AA63" s="508"/>
      <c r="AB63" s="508"/>
      <c r="AC63" s="508"/>
      <c r="AD63" s="508"/>
      <c r="AE63" s="508"/>
      <c r="AF63" s="508"/>
      <c r="AG63" s="508"/>
      <c r="AH63" s="508"/>
      <c r="AI63" s="508"/>
      <c r="AJ63" s="508"/>
      <c r="AK63" s="508"/>
      <c r="AL63" s="508"/>
    </row>
    <row r="64" spans="1:65" x14ac:dyDescent="0.25">
      <c r="A64" s="415"/>
      <c r="B64" s="416"/>
      <c r="C64" s="416"/>
      <c r="D64" s="416"/>
      <c r="E64" s="416"/>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7"/>
    </row>
    <row r="65" spans="1:47" x14ac:dyDescent="0.25">
      <c r="A65" s="376" t="s">
        <v>658</v>
      </c>
      <c r="B65" s="376"/>
      <c r="C65" s="376"/>
      <c r="D65" s="376"/>
      <c r="E65" s="376"/>
      <c r="F65" s="376"/>
      <c r="G65" s="376"/>
      <c r="H65" s="376"/>
      <c r="I65" s="376"/>
      <c r="J65" s="376"/>
      <c r="K65" s="376"/>
      <c r="L65" s="376"/>
      <c r="M65" s="376"/>
      <c r="N65" s="376"/>
      <c r="O65" s="376"/>
      <c r="P65" s="376"/>
      <c r="Q65" s="376"/>
      <c r="R65" s="376"/>
      <c r="S65" s="376"/>
      <c r="T65" s="376"/>
      <c r="U65" s="376"/>
      <c r="V65" s="376"/>
      <c r="W65" s="376"/>
      <c r="X65" s="376"/>
      <c r="Y65" s="376"/>
      <c r="Z65" s="376"/>
      <c r="AA65" s="376"/>
      <c r="AB65" s="376"/>
      <c r="AC65" s="376"/>
      <c r="AD65" s="376"/>
      <c r="AE65" s="376"/>
      <c r="AF65" s="376"/>
      <c r="AG65" s="376"/>
      <c r="AH65" s="376"/>
      <c r="AI65" s="376"/>
      <c r="AJ65" s="376"/>
      <c r="AK65" s="376"/>
      <c r="AL65" s="376"/>
    </row>
    <row r="66" spans="1:47" x14ac:dyDescent="0.25">
      <c r="A66" s="355">
        <v>0</v>
      </c>
      <c r="B66" s="355"/>
      <c r="C66" s="355"/>
      <c r="D66" s="355"/>
      <c r="E66" s="355"/>
      <c r="F66" s="355"/>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c r="AD66" s="355"/>
      <c r="AE66" s="355"/>
      <c r="AF66" s="355"/>
      <c r="AG66" s="355"/>
      <c r="AH66" s="355"/>
      <c r="AI66" s="355"/>
      <c r="AJ66" s="355"/>
      <c r="AK66" s="355"/>
      <c r="AL66" s="355"/>
    </row>
    <row r="67" spans="1:47" ht="14.7" customHeight="1" x14ac:dyDescent="0.25">
      <c r="A67" s="149" t="s">
        <v>91</v>
      </c>
      <c r="B67" s="351" t="s">
        <v>155</v>
      </c>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35" t="s">
        <v>910</v>
      </c>
      <c r="AN67" s="335"/>
      <c r="AO67" s="335"/>
      <c r="AP67" s="335"/>
      <c r="AQ67" s="335"/>
      <c r="AR67" s="335"/>
      <c r="AS67" s="335"/>
      <c r="AT67" s="335"/>
      <c r="AU67" s="335"/>
    </row>
    <row r="68" spans="1:47" ht="58.95" customHeight="1" x14ac:dyDescent="0.25">
      <c r="A68" s="508" t="s">
        <v>911</v>
      </c>
      <c r="B68" s="508"/>
      <c r="C68" s="508"/>
      <c r="D68" s="508"/>
      <c r="E68" s="508"/>
      <c r="F68" s="508"/>
      <c r="G68" s="508"/>
      <c r="H68" s="508"/>
      <c r="I68" s="508"/>
      <c r="J68" s="508"/>
      <c r="K68" s="508"/>
      <c r="L68" s="508"/>
      <c r="M68" s="508"/>
      <c r="N68" s="508"/>
      <c r="O68" s="508"/>
      <c r="P68" s="508"/>
      <c r="Q68" s="508"/>
      <c r="R68" s="508"/>
      <c r="S68" s="508"/>
      <c r="T68" s="508"/>
      <c r="U68" s="508"/>
      <c r="V68" s="508"/>
      <c r="W68" s="508"/>
      <c r="X68" s="508"/>
      <c r="Y68" s="508"/>
      <c r="Z68" s="508"/>
      <c r="AA68" s="508"/>
      <c r="AB68" s="508"/>
      <c r="AC68" s="508"/>
      <c r="AD68" s="508"/>
      <c r="AE68" s="508"/>
      <c r="AF68" s="508"/>
      <c r="AG68" s="508"/>
      <c r="AH68" s="508"/>
      <c r="AI68" s="508"/>
      <c r="AJ68" s="508"/>
      <c r="AK68" s="508"/>
      <c r="AL68" s="508"/>
      <c r="AM68" s="335"/>
      <c r="AN68" s="335"/>
      <c r="AO68" s="335"/>
      <c r="AP68" s="335"/>
      <c r="AQ68" s="335"/>
      <c r="AR68" s="335"/>
      <c r="AS68" s="335"/>
      <c r="AT68" s="335"/>
      <c r="AU68" s="335"/>
    </row>
    <row r="69" spans="1:47" ht="140.69999999999999" customHeight="1" x14ac:dyDescent="0.25">
      <c r="A69" s="219" t="s">
        <v>127</v>
      </c>
      <c r="B69" s="689" t="s">
        <v>822</v>
      </c>
      <c r="C69" s="689"/>
      <c r="D69" s="689"/>
      <c r="E69" s="689"/>
      <c r="F69" s="689"/>
      <c r="G69" s="689"/>
      <c r="H69" s="689"/>
      <c r="I69" s="689"/>
      <c r="J69" s="689"/>
      <c r="K69" s="689" t="s">
        <v>825</v>
      </c>
      <c r="L69" s="689"/>
      <c r="M69" s="689"/>
      <c r="N69" s="689"/>
      <c r="O69" s="689"/>
      <c r="P69" s="689"/>
      <c r="Q69" s="689" t="s">
        <v>834</v>
      </c>
      <c r="R69" s="689"/>
      <c r="S69" s="689"/>
      <c r="T69" s="689"/>
      <c r="U69" s="689"/>
      <c r="V69" s="689"/>
      <c r="W69" s="689"/>
      <c r="X69" s="494" t="s">
        <v>836</v>
      </c>
      <c r="Y69" s="495"/>
      <c r="Z69" s="495"/>
      <c r="AA69" s="495"/>
      <c r="AB69" s="495"/>
      <c r="AC69" s="495"/>
      <c r="AD69" s="495"/>
      <c r="AE69" s="495"/>
      <c r="AF69" s="495"/>
      <c r="AG69" s="495"/>
      <c r="AH69" s="495"/>
      <c r="AI69" s="495"/>
      <c r="AJ69" s="496"/>
      <c r="AK69" s="697" t="s">
        <v>832</v>
      </c>
      <c r="AL69" s="697"/>
      <c r="AM69" s="66"/>
      <c r="AN69" s="66"/>
      <c r="AO69" s="66"/>
      <c r="AP69" s="66"/>
      <c r="AQ69" s="66"/>
      <c r="AR69" s="66"/>
      <c r="AS69" s="66"/>
      <c r="AT69" s="66"/>
    </row>
    <row r="70" spans="1:47" x14ac:dyDescent="0.3">
      <c r="A70" s="202">
        <v>1</v>
      </c>
      <c r="B70" s="477"/>
      <c r="C70" s="478"/>
      <c r="D70" s="478"/>
      <c r="E70" s="478"/>
      <c r="F70" s="478"/>
      <c r="G70" s="478"/>
      <c r="H70" s="478"/>
      <c r="I70" s="478"/>
      <c r="J70" s="479"/>
      <c r="K70" s="480"/>
      <c r="L70" s="481"/>
      <c r="M70" s="481"/>
      <c r="N70" s="481"/>
      <c r="O70" s="481"/>
      <c r="P70" s="482"/>
      <c r="Q70" s="680"/>
      <c r="R70" s="681"/>
      <c r="S70" s="681"/>
      <c r="T70" s="681"/>
      <c r="U70" s="681"/>
      <c r="V70" s="681"/>
      <c r="W70" s="688"/>
      <c r="X70" s="685"/>
      <c r="Y70" s="686"/>
      <c r="Z70" s="686"/>
      <c r="AA70" s="686"/>
      <c r="AB70" s="686"/>
      <c r="AC70" s="686"/>
      <c r="AD70" s="686"/>
      <c r="AE70" s="686"/>
      <c r="AF70" s="686"/>
      <c r="AG70" s="686"/>
      <c r="AH70" s="686"/>
      <c r="AI70" s="686"/>
      <c r="AJ70" s="687"/>
      <c r="AK70" s="680"/>
      <c r="AL70" s="681"/>
      <c r="AM70" s="66"/>
      <c r="AN70" s="66"/>
      <c r="AO70" s="66"/>
      <c r="AP70" s="66"/>
      <c r="AQ70" s="66"/>
      <c r="AR70" s="66"/>
      <c r="AS70" s="66"/>
      <c r="AT70" s="66"/>
    </row>
    <row r="71" spans="1:47" x14ac:dyDescent="0.3">
      <c r="A71" s="202">
        <v>2</v>
      </c>
      <c r="B71" s="477"/>
      <c r="C71" s="478"/>
      <c r="D71" s="478"/>
      <c r="E71" s="478"/>
      <c r="F71" s="478"/>
      <c r="G71" s="478"/>
      <c r="H71" s="478"/>
      <c r="I71" s="478"/>
      <c r="J71" s="479"/>
      <c r="K71" s="480"/>
      <c r="L71" s="481"/>
      <c r="M71" s="481"/>
      <c r="N71" s="481"/>
      <c r="O71" s="481"/>
      <c r="P71" s="482"/>
      <c r="Q71" s="680"/>
      <c r="R71" s="681"/>
      <c r="S71" s="681"/>
      <c r="T71" s="681"/>
      <c r="U71" s="681"/>
      <c r="V71" s="681"/>
      <c r="W71" s="688"/>
      <c r="X71" s="685"/>
      <c r="Y71" s="686"/>
      <c r="Z71" s="686"/>
      <c r="AA71" s="686"/>
      <c r="AB71" s="686"/>
      <c r="AC71" s="686"/>
      <c r="AD71" s="686"/>
      <c r="AE71" s="686"/>
      <c r="AF71" s="686"/>
      <c r="AG71" s="686"/>
      <c r="AH71" s="686"/>
      <c r="AI71" s="686"/>
      <c r="AJ71" s="687"/>
      <c r="AK71" s="680"/>
      <c r="AL71" s="681"/>
      <c r="AM71" s="66"/>
      <c r="AN71" s="66"/>
      <c r="AO71" s="66"/>
      <c r="AP71" s="66"/>
      <c r="AQ71" s="66"/>
      <c r="AR71" s="66"/>
      <c r="AS71" s="66"/>
      <c r="AT71" s="66"/>
    </row>
    <row r="72" spans="1:47" x14ac:dyDescent="0.3">
      <c r="A72" s="202">
        <v>3</v>
      </c>
      <c r="B72" s="477"/>
      <c r="C72" s="478"/>
      <c r="D72" s="478"/>
      <c r="E72" s="478"/>
      <c r="F72" s="478"/>
      <c r="G72" s="478"/>
      <c r="H72" s="478"/>
      <c r="I72" s="478"/>
      <c r="J72" s="479"/>
      <c r="K72" s="480"/>
      <c r="L72" s="481"/>
      <c r="M72" s="481"/>
      <c r="N72" s="481"/>
      <c r="O72" s="481"/>
      <c r="P72" s="482"/>
      <c r="Q72" s="680"/>
      <c r="R72" s="681"/>
      <c r="S72" s="681"/>
      <c r="T72" s="681"/>
      <c r="U72" s="681"/>
      <c r="V72" s="681"/>
      <c r="W72" s="688"/>
      <c r="X72" s="685"/>
      <c r="Y72" s="686"/>
      <c r="Z72" s="686"/>
      <c r="AA72" s="686"/>
      <c r="AB72" s="686"/>
      <c r="AC72" s="686"/>
      <c r="AD72" s="686"/>
      <c r="AE72" s="686"/>
      <c r="AF72" s="686"/>
      <c r="AG72" s="686"/>
      <c r="AH72" s="686"/>
      <c r="AI72" s="686"/>
      <c r="AJ72" s="687"/>
      <c r="AK72" s="680"/>
      <c r="AL72" s="681"/>
      <c r="AM72" s="66"/>
      <c r="AN72" s="66"/>
      <c r="AO72" s="66"/>
      <c r="AP72" s="66"/>
      <c r="AQ72" s="66"/>
      <c r="AR72" s="66"/>
      <c r="AS72" s="66"/>
      <c r="AT72" s="66"/>
    </row>
    <row r="73" spans="1:47" x14ac:dyDescent="0.3">
      <c r="A73" s="202">
        <v>4</v>
      </c>
      <c r="B73" s="477"/>
      <c r="C73" s="478"/>
      <c r="D73" s="478"/>
      <c r="E73" s="478"/>
      <c r="F73" s="478"/>
      <c r="G73" s="478"/>
      <c r="H73" s="478"/>
      <c r="I73" s="478"/>
      <c r="J73" s="479"/>
      <c r="K73" s="480"/>
      <c r="L73" s="481"/>
      <c r="M73" s="481"/>
      <c r="N73" s="481"/>
      <c r="O73" s="481"/>
      <c r="P73" s="482"/>
      <c r="Q73" s="680"/>
      <c r="R73" s="681"/>
      <c r="S73" s="681"/>
      <c r="T73" s="681"/>
      <c r="U73" s="681"/>
      <c r="V73" s="681"/>
      <c r="W73" s="688"/>
      <c r="X73" s="685"/>
      <c r="Y73" s="686"/>
      <c r="Z73" s="686"/>
      <c r="AA73" s="686"/>
      <c r="AB73" s="686"/>
      <c r="AC73" s="686"/>
      <c r="AD73" s="686"/>
      <c r="AE73" s="686"/>
      <c r="AF73" s="686"/>
      <c r="AG73" s="686"/>
      <c r="AH73" s="686"/>
      <c r="AI73" s="686"/>
      <c r="AJ73" s="687"/>
      <c r="AK73" s="680"/>
      <c r="AL73" s="681"/>
      <c r="AM73" s="66"/>
      <c r="AN73" s="66"/>
      <c r="AO73" s="66"/>
      <c r="AP73" s="66"/>
      <c r="AQ73" s="66"/>
      <c r="AR73" s="66"/>
      <c r="AS73" s="66"/>
      <c r="AT73" s="66"/>
    </row>
    <row r="74" spans="1:47" x14ac:dyDescent="0.3">
      <c r="A74" s="202">
        <v>5</v>
      </c>
      <c r="B74" s="477"/>
      <c r="C74" s="478"/>
      <c r="D74" s="478"/>
      <c r="E74" s="478"/>
      <c r="F74" s="478"/>
      <c r="G74" s="478"/>
      <c r="H74" s="478"/>
      <c r="I74" s="478"/>
      <c r="J74" s="479"/>
      <c r="K74" s="480"/>
      <c r="L74" s="481"/>
      <c r="M74" s="481"/>
      <c r="N74" s="481"/>
      <c r="O74" s="481"/>
      <c r="P74" s="482"/>
      <c r="Q74" s="680"/>
      <c r="R74" s="681"/>
      <c r="S74" s="681"/>
      <c r="T74" s="681"/>
      <c r="U74" s="681"/>
      <c r="V74" s="681"/>
      <c r="W74" s="688"/>
      <c r="X74" s="685"/>
      <c r="Y74" s="686"/>
      <c r="Z74" s="686"/>
      <c r="AA74" s="686"/>
      <c r="AB74" s="686"/>
      <c r="AC74" s="686"/>
      <c r="AD74" s="686"/>
      <c r="AE74" s="686"/>
      <c r="AF74" s="686"/>
      <c r="AG74" s="686"/>
      <c r="AH74" s="686"/>
      <c r="AI74" s="686"/>
      <c r="AJ74" s="687"/>
      <c r="AK74" s="680"/>
      <c r="AL74" s="681"/>
      <c r="AM74" s="66"/>
      <c r="AN74" s="66"/>
      <c r="AO74" s="66"/>
      <c r="AP74" s="66"/>
      <c r="AQ74" s="66"/>
      <c r="AR74" s="66"/>
      <c r="AS74" s="66"/>
      <c r="AT74" s="66"/>
    </row>
    <row r="75" spans="1:47" x14ac:dyDescent="0.3">
      <c r="A75" s="202">
        <v>6</v>
      </c>
      <c r="B75" s="477"/>
      <c r="C75" s="478"/>
      <c r="D75" s="478"/>
      <c r="E75" s="478"/>
      <c r="F75" s="478"/>
      <c r="G75" s="478"/>
      <c r="H75" s="478"/>
      <c r="I75" s="478"/>
      <c r="J75" s="479"/>
      <c r="K75" s="480"/>
      <c r="L75" s="481"/>
      <c r="M75" s="481"/>
      <c r="N75" s="481"/>
      <c r="O75" s="481"/>
      <c r="P75" s="482"/>
      <c r="Q75" s="680"/>
      <c r="R75" s="681"/>
      <c r="S75" s="681"/>
      <c r="T75" s="681"/>
      <c r="U75" s="681"/>
      <c r="V75" s="681"/>
      <c r="W75" s="688"/>
      <c r="X75" s="685"/>
      <c r="Y75" s="686"/>
      <c r="Z75" s="686"/>
      <c r="AA75" s="686"/>
      <c r="AB75" s="686"/>
      <c r="AC75" s="686"/>
      <c r="AD75" s="686"/>
      <c r="AE75" s="686"/>
      <c r="AF75" s="686"/>
      <c r="AG75" s="686"/>
      <c r="AH75" s="686"/>
      <c r="AI75" s="686"/>
      <c r="AJ75" s="687"/>
      <c r="AK75" s="680"/>
      <c r="AL75" s="681"/>
      <c r="AM75" s="66"/>
      <c r="AN75" s="66"/>
      <c r="AO75" s="66"/>
      <c r="AP75" s="66"/>
      <c r="AQ75" s="66"/>
      <c r="AR75" s="66"/>
      <c r="AS75" s="66"/>
      <c r="AT75" s="66"/>
    </row>
    <row r="76" spans="1:47" x14ac:dyDescent="0.3">
      <c r="A76" s="202">
        <v>7</v>
      </c>
      <c r="B76" s="477"/>
      <c r="C76" s="478"/>
      <c r="D76" s="478"/>
      <c r="E76" s="478"/>
      <c r="F76" s="478"/>
      <c r="G76" s="478"/>
      <c r="H76" s="478"/>
      <c r="I76" s="478"/>
      <c r="J76" s="479"/>
      <c r="K76" s="480"/>
      <c r="L76" s="481"/>
      <c r="M76" s="481"/>
      <c r="N76" s="481"/>
      <c r="O76" s="481"/>
      <c r="P76" s="482"/>
      <c r="Q76" s="680"/>
      <c r="R76" s="681"/>
      <c r="S76" s="681"/>
      <c r="T76" s="681"/>
      <c r="U76" s="681"/>
      <c r="V76" s="681"/>
      <c r="W76" s="688"/>
      <c r="X76" s="685"/>
      <c r="Y76" s="686"/>
      <c r="Z76" s="686"/>
      <c r="AA76" s="686"/>
      <c r="AB76" s="686"/>
      <c r="AC76" s="686"/>
      <c r="AD76" s="686"/>
      <c r="AE76" s="686"/>
      <c r="AF76" s="686"/>
      <c r="AG76" s="686"/>
      <c r="AH76" s="686"/>
      <c r="AI76" s="686"/>
      <c r="AJ76" s="687"/>
      <c r="AK76" s="680"/>
      <c r="AL76" s="681"/>
      <c r="AM76" s="66"/>
      <c r="AN76" s="66"/>
      <c r="AO76" s="66"/>
      <c r="AP76" s="66"/>
      <c r="AQ76" s="66"/>
      <c r="AR76" s="66"/>
      <c r="AS76" s="66"/>
      <c r="AT76" s="66"/>
    </row>
    <row r="77" spans="1:47" x14ac:dyDescent="0.3">
      <c r="A77" s="202">
        <v>8</v>
      </c>
      <c r="B77" s="477"/>
      <c r="C77" s="478"/>
      <c r="D77" s="478"/>
      <c r="E77" s="478"/>
      <c r="F77" s="478"/>
      <c r="G77" s="478"/>
      <c r="H77" s="478"/>
      <c r="I77" s="478"/>
      <c r="J77" s="479"/>
      <c r="K77" s="480"/>
      <c r="L77" s="481"/>
      <c r="M77" s="481"/>
      <c r="N77" s="481"/>
      <c r="O77" s="481"/>
      <c r="P77" s="482"/>
      <c r="Q77" s="680"/>
      <c r="R77" s="681"/>
      <c r="S77" s="681"/>
      <c r="T77" s="681"/>
      <c r="U77" s="681"/>
      <c r="V77" s="681"/>
      <c r="W77" s="688"/>
      <c r="X77" s="685"/>
      <c r="Y77" s="686"/>
      <c r="Z77" s="686"/>
      <c r="AA77" s="686"/>
      <c r="AB77" s="686"/>
      <c r="AC77" s="686"/>
      <c r="AD77" s="686"/>
      <c r="AE77" s="686"/>
      <c r="AF77" s="686"/>
      <c r="AG77" s="686"/>
      <c r="AH77" s="686"/>
      <c r="AI77" s="686"/>
      <c r="AJ77" s="687"/>
      <c r="AK77" s="680"/>
      <c r="AL77" s="681"/>
      <c r="AM77" s="66"/>
      <c r="AN77" s="66"/>
      <c r="AO77" s="66"/>
      <c r="AP77" s="66"/>
      <c r="AQ77" s="66"/>
      <c r="AR77" s="66"/>
      <c r="AS77" s="66"/>
      <c r="AT77" s="66"/>
    </row>
    <row r="78" spans="1:47" x14ac:dyDescent="0.3">
      <c r="A78" s="202">
        <v>9</v>
      </c>
      <c r="B78" s="477"/>
      <c r="C78" s="478"/>
      <c r="D78" s="478"/>
      <c r="E78" s="478"/>
      <c r="F78" s="478"/>
      <c r="G78" s="478"/>
      <c r="H78" s="478"/>
      <c r="I78" s="478"/>
      <c r="J78" s="479"/>
      <c r="K78" s="480"/>
      <c r="L78" s="481"/>
      <c r="M78" s="481"/>
      <c r="N78" s="481"/>
      <c r="O78" s="481"/>
      <c r="P78" s="482"/>
      <c r="Q78" s="680"/>
      <c r="R78" s="681"/>
      <c r="S78" s="681"/>
      <c r="T78" s="681"/>
      <c r="U78" s="681"/>
      <c r="V78" s="681"/>
      <c r="W78" s="688"/>
      <c r="X78" s="685"/>
      <c r="Y78" s="686"/>
      <c r="Z78" s="686"/>
      <c r="AA78" s="686"/>
      <c r="AB78" s="686"/>
      <c r="AC78" s="686"/>
      <c r="AD78" s="686"/>
      <c r="AE78" s="686"/>
      <c r="AF78" s="686"/>
      <c r="AG78" s="686"/>
      <c r="AH78" s="686"/>
      <c r="AI78" s="686"/>
      <c r="AJ78" s="687"/>
      <c r="AK78" s="680"/>
      <c r="AL78" s="681"/>
      <c r="AM78" s="66"/>
      <c r="AN78" s="66"/>
      <c r="AO78" s="66"/>
      <c r="AP78" s="66"/>
      <c r="AQ78" s="66"/>
      <c r="AR78" s="66"/>
      <c r="AS78" s="66"/>
      <c r="AT78" s="66"/>
    </row>
    <row r="79" spans="1:47" x14ac:dyDescent="0.3">
      <c r="A79" s="202">
        <v>10</v>
      </c>
      <c r="B79" s="477"/>
      <c r="C79" s="478"/>
      <c r="D79" s="478"/>
      <c r="E79" s="478"/>
      <c r="F79" s="478"/>
      <c r="G79" s="478"/>
      <c r="H79" s="478"/>
      <c r="I79" s="478"/>
      <c r="J79" s="479"/>
      <c r="K79" s="480"/>
      <c r="L79" s="481"/>
      <c r="M79" s="481"/>
      <c r="N79" s="481"/>
      <c r="O79" s="481"/>
      <c r="P79" s="482"/>
      <c r="Q79" s="680"/>
      <c r="R79" s="681"/>
      <c r="S79" s="681"/>
      <c r="T79" s="681"/>
      <c r="U79" s="681"/>
      <c r="V79" s="681"/>
      <c r="W79" s="688"/>
      <c r="X79" s="685"/>
      <c r="Y79" s="686"/>
      <c r="Z79" s="686"/>
      <c r="AA79" s="686"/>
      <c r="AB79" s="686"/>
      <c r="AC79" s="686"/>
      <c r="AD79" s="686"/>
      <c r="AE79" s="686"/>
      <c r="AF79" s="686"/>
      <c r="AG79" s="686"/>
      <c r="AH79" s="686"/>
      <c r="AI79" s="686"/>
      <c r="AJ79" s="687"/>
      <c r="AK79" s="680"/>
      <c r="AL79" s="681"/>
      <c r="AM79" s="66"/>
      <c r="AN79" s="66"/>
      <c r="AO79" s="66"/>
      <c r="AP79" s="66"/>
      <c r="AQ79" s="66"/>
      <c r="AR79" s="66"/>
      <c r="AS79" s="66"/>
      <c r="AT79" s="66"/>
    </row>
    <row r="80" spans="1:47" x14ac:dyDescent="0.3">
      <c r="A80" s="202">
        <v>11</v>
      </c>
      <c r="B80" s="477"/>
      <c r="C80" s="478"/>
      <c r="D80" s="478"/>
      <c r="E80" s="478"/>
      <c r="F80" s="478"/>
      <c r="G80" s="478"/>
      <c r="H80" s="478"/>
      <c r="I80" s="478"/>
      <c r="J80" s="479"/>
      <c r="K80" s="480"/>
      <c r="L80" s="481"/>
      <c r="M80" s="481"/>
      <c r="N80" s="481"/>
      <c r="O80" s="481"/>
      <c r="P80" s="482"/>
      <c r="Q80" s="680"/>
      <c r="R80" s="681"/>
      <c r="S80" s="681"/>
      <c r="T80" s="681"/>
      <c r="U80" s="681"/>
      <c r="V80" s="681"/>
      <c r="W80" s="688"/>
      <c r="X80" s="685"/>
      <c r="Y80" s="686"/>
      <c r="Z80" s="686"/>
      <c r="AA80" s="686"/>
      <c r="AB80" s="686"/>
      <c r="AC80" s="686"/>
      <c r="AD80" s="686"/>
      <c r="AE80" s="686"/>
      <c r="AF80" s="686"/>
      <c r="AG80" s="686"/>
      <c r="AH80" s="686"/>
      <c r="AI80" s="686"/>
      <c r="AJ80" s="687"/>
      <c r="AK80" s="680"/>
      <c r="AL80" s="681"/>
      <c r="AM80" s="66"/>
      <c r="AN80" s="66"/>
      <c r="AO80" s="66"/>
      <c r="AP80" s="66"/>
      <c r="AQ80" s="66"/>
      <c r="AR80" s="66"/>
      <c r="AS80" s="66"/>
      <c r="AT80" s="66"/>
    </row>
    <row r="81" spans="1:48" x14ac:dyDescent="0.3">
      <c r="A81" s="202">
        <v>12</v>
      </c>
      <c r="B81" s="477"/>
      <c r="C81" s="478"/>
      <c r="D81" s="478"/>
      <c r="E81" s="478"/>
      <c r="F81" s="478"/>
      <c r="G81" s="478"/>
      <c r="H81" s="478"/>
      <c r="I81" s="478"/>
      <c r="J81" s="479"/>
      <c r="K81" s="480"/>
      <c r="L81" s="481"/>
      <c r="M81" s="481"/>
      <c r="N81" s="481"/>
      <c r="O81" s="481"/>
      <c r="P81" s="482"/>
      <c r="Q81" s="680"/>
      <c r="R81" s="681"/>
      <c r="S81" s="681"/>
      <c r="T81" s="681"/>
      <c r="U81" s="681"/>
      <c r="V81" s="681"/>
      <c r="W81" s="688"/>
      <c r="X81" s="685"/>
      <c r="Y81" s="686"/>
      <c r="Z81" s="686"/>
      <c r="AA81" s="686"/>
      <c r="AB81" s="686"/>
      <c r="AC81" s="686"/>
      <c r="AD81" s="686"/>
      <c r="AE81" s="686"/>
      <c r="AF81" s="686"/>
      <c r="AG81" s="686"/>
      <c r="AH81" s="686"/>
      <c r="AI81" s="686"/>
      <c r="AJ81" s="687"/>
      <c r="AK81" s="680"/>
      <c r="AL81" s="681"/>
      <c r="AM81" s="66"/>
      <c r="AN81" s="66"/>
      <c r="AO81" s="66"/>
      <c r="AP81" s="66"/>
      <c r="AQ81" s="66"/>
      <c r="AR81" s="66"/>
      <c r="AS81" s="66"/>
      <c r="AT81" s="66"/>
    </row>
    <row r="82" spans="1:48" x14ac:dyDescent="0.3">
      <c r="A82" s="202">
        <v>13</v>
      </c>
      <c r="B82" s="477"/>
      <c r="C82" s="478"/>
      <c r="D82" s="478"/>
      <c r="E82" s="478"/>
      <c r="F82" s="478"/>
      <c r="G82" s="478"/>
      <c r="H82" s="478"/>
      <c r="I82" s="478"/>
      <c r="J82" s="479"/>
      <c r="K82" s="480"/>
      <c r="L82" s="481"/>
      <c r="M82" s="481"/>
      <c r="N82" s="481"/>
      <c r="O82" s="481"/>
      <c r="P82" s="482"/>
      <c r="Q82" s="680"/>
      <c r="R82" s="681"/>
      <c r="S82" s="681"/>
      <c r="T82" s="681"/>
      <c r="U82" s="681"/>
      <c r="V82" s="681"/>
      <c r="W82" s="688"/>
      <c r="X82" s="685"/>
      <c r="Y82" s="686"/>
      <c r="Z82" s="686"/>
      <c r="AA82" s="686"/>
      <c r="AB82" s="686"/>
      <c r="AC82" s="686"/>
      <c r="AD82" s="686"/>
      <c r="AE82" s="686"/>
      <c r="AF82" s="686"/>
      <c r="AG82" s="686"/>
      <c r="AH82" s="686"/>
      <c r="AI82" s="686"/>
      <c r="AJ82" s="687"/>
      <c r="AK82" s="680"/>
      <c r="AL82" s="681"/>
      <c r="AM82" s="66"/>
      <c r="AN82" s="66"/>
      <c r="AO82" s="66"/>
      <c r="AP82" s="66"/>
      <c r="AQ82" s="66"/>
      <c r="AR82" s="66"/>
      <c r="AS82" s="66"/>
      <c r="AT82" s="66"/>
    </row>
    <row r="83" spans="1:48" x14ac:dyDescent="0.3">
      <c r="A83" s="202">
        <v>14</v>
      </c>
      <c r="B83" s="477"/>
      <c r="C83" s="478"/>
      <c r="D83" s="478"/>
      <c r="E83" s="478"/>
      <c r="F83" s="478"/>
      <c r="G83" s="478"/>
      <c r="H83" s="478"/>
      <c r="I83" s="478"/>
      <c r="J83" s="479"/>
      <c r="K83" s="480"/>
      <c r="L83" s="481"/>
      <c r="M83" s="481"/>
      <c r="N83" s="481"/>
      <c r="O83" s="481"/>
      <c r="P83" s="482"/>
      <c r="Q83" s="680"/>
      <c r="R83" s="681"/>
      <c r="S83" s="681"/>
      <c r="T83" s="681"/>
      <c r="U83" s="681"/>
      <c r="V83" s="681"/>
      <c r="W83" s="688"/>
      <c r="X83" s="685"/>
      <c r="Y83" s="686"/>
      <c r="Z83" s="686"/>
      <c r="AA83" s="686"/>
      <c r="AB83" s="686"/>
      <c r="AC83" s="686"/>
      <c r="AD83" s="686"/>
      <c r="AE83" s="686"/>
      <c r="AF83" s="686"/>
      <c r="AG83" s="686"/>
      <c r="AH83" s="686"/>
      <c r="AI83" s="686"/>
      <c r="AJ83" s="687"/>
      <c r="AK83" s="680"/>
      <c r="AL83" s="681"/>
      <c r="AM83" s="66"/>
      <c r="AN83" s="66"/>
      <c r="AO83" s="66"/>
      <c r="AP83" s="66"/>
      <c r="AQ83" s="66"/>
      <c r="AR83" s="66"/>
      <c r="AS83" s="66"/>
      <c r="AT83" s="66"/>
    </row>
    <row r="84" spans="1:48" x14ac:dyDescent="0.3">
      <c r="A84" s="202">
        <v>15</v>
      </c>
      <c r="B84" s="477"/>
      <c r="C84" s="478"/>
      <c r="D84" s="478"/>
      <c r="E84" s="478"/>
      <c r="F84" s="478"/>
      <c r="G84" s="478"/>
      <c r="H84" s="478"/>
      <c r="I84" s="478"/>
      <c r="J84" s="479"/>
      <c r="K84" s="480"/>
      <c r="L84" s="481"/>
      <c r="M84" s="481"/>
      <c r="N84" s="481"/>
      <c r="O84" s="481"/>
      <c r="P84" s="482"/>
      <c r="Q84" s="680"/>
      <c r="R84" s="681"/>
      <c r="S84" s="681"/>
      <c r="T84" s="681"/>
      <c r="U84" s="681"/>
      <c r="V84" s="681"/>
      <c r="W84" s="688"/>
      <c r="X84" s="685"/>
      <c r="Y84" s="686"/>
      <c r="Z84" s="686"/>
      <c r="AA84" s="686"/>
      <c r="AB84" s="686"/>
      <c r="AC84" s="686"/>
      <c r="AD84" s="686"/>
      <c r="AE84" s="686"/>
      <c r="AF84" s="686"/>
      <c r="AG84" s="686"/>
      <c r="AH84" s="686"/>
      <c r="AI84" s="686"/>
      <c r="AJ84" s="687"/>
      <c r="AK84" s="680"/>
      <c r="AL84" s="681"/>
      <c r="AM84" s="66"/>
      <c r="AN84" s="66"/>
      <c r="AO84" s="66"/>
      <c r="AP84" s="66"/>
      <c r="AQ84" s="66"/>
      <c r="AR84" s="66"/>
      <c r="AS84" s="66"/>
      <c r="AT84" s="66"/>
    </row>
    <row r="85" spans="1:48" x14ac:dyDescent="0.3">
      <c r="A85" s="202">
        <v>16</v>
      </c>
      <c r="B85" s="477"/>
      <c r="C85" s="478"/>
      <c r="D85" s="478"/>
      <c r="E85" s="478"/>
      <c r="F85" s="478"/>
      <c r="G85" s="478"/>
      <c r="H85" s="478"/>
      <c r="I85" s="478"/>
      <c r="J85" s="479"/>
      <c r="K85" s="480"/>
      <c r="L85" s="481"/>
      <c r="M85" s="481"/>
      <c r="N85" s="481"/>
      <c r="O85" s="481"/>
      <c r="P85" s="482"/>
      <c r="Q85" s="680"/>
      <c r="R85" s="681"/>
      <c r="S85" s="681"/>
      <c r="T85" s="681"/>
      <c r="U85" s="681"/>
      <c r="V85" s="681"/>
      <c r="W85" s="688"/>
      <c r="X85" s="685"/>
      <c r="Y85" s="686"/>
      <c r="Z85" s="686"/>
      <c r="AA85" s="686"/>
      <c r="AB85" s="686"/>
      <c r="AC85" s="686"/>
      <c r="AD85" s="686"/>
      <c r="AE85" s="686"/>
      <c r="AF85" s="686"/>
      <c r="AG85" s="686"/>
      <c r="AH85" s="686"/>
      <c r="AI85" s="686"/>
      <c r="AJ85" s="687"/>
      <c r="AK85" s="680"/>
      <c r="AL85" s="681"/>
      <c r="AM85" s="66"/>
      <c r="AN85" s="66"/>
      <c r="AO85" s="66"/>
      <c r="AP85" s="66"/>
      <c r="AQ85" s="66"/>
      <c r="AR85" s="66"/>
      <c r="AS85" s="66"/>
      <c r="AT85" s="66"/>
    </row>
    <row r="86" spans="1:48" x14ac:dyDescent="0.3">
      <c r="A86" s="202">
        <v>17</v>
      </c>
      <c r="B86" s="477"/>
      <c r="C86" s="478"/>
      <c r="D86" s="478"/>
      <c r="E86" s="478"/>
      <c r="F86" s="478"/>
      <c r="G86" s="478"/>
      <c r="H86" s="478"/>
      <c r="I86" s="478"/>
      <c r="J86" s="479"/>
      <c r="K86" s="480"/>
      <c r="L86" s="481"/>
      <c r="M86" s="481"/>
      <c r="N86" s="481"/>
      <c r="O86" s="481"/>
      <c r="P86" s="482"/>
      <c r="Q86" s="680"/>
      <c r="R86" s="681"/>
      <c r="S86" s="681"/>
      <c r="T86" s="681"/>
      <c r="U86" s="681"/>
      <c r="V86" s="681"/>
      <c r="W86" s="688"/>
      <c r="X86" s="685"/>
      <c r="Y86" s="686"/>
      <c r="Z86" s="686"/>
      <c r="AA86" s="686"/>
      <c r="AB86" s="686"/>
      <c r="AC86" s="686"/>
      <c r="AD86" s="686"/>
      <c r="AE86" s="686"/>
      <c r="AF86" s="686"/>
      <c r="AG86" s="686"/>
      <c r="AH86" s="686"/>
      <c r="AI86" s="686"/>
      <c r="AJ86" s="687"/>
      <c r="AK86" s="680"/>
      <c r="AL86" s="681"/>
      <c r="AM86" s="66"/>
      <c r="AN86" s="66"/>
      <c r="AO86" s="66"/>
      <c r="AP86" s="66"/>
      <c r="AQ86" s="66"/>
      <c r="AR86" s="66"/>
      <c r="AS86" s="66"/>
      <c r="AT86" s="66"/>
    </row>
    <row r="87" spans="1:48" x14ac:dyDescent="0.3">
      <c r="A87" s="202">
        <v>18</v>
      </c>
      <c r="B87" s="477"/>
      <c r="C87" s="478"/>
      <c r="D87" s="478"/>
      <c r="E87" s="478"/>
      <c r="F87" s="478"/>
      <c r="G87" s="478"/>
      <c r="H87" s="478"/>
      <c r="I87" s="478"/>
      <c r="J87" s="479"/>
      <c r="K87" s="480"/>
      <c r="L87" s="481"/>
      <c r="M87" s="481"/>
      <c r="N87" s="481"/>
      <c r="O87" s="481"/>
      <c r="P87" s="482"/>
      <c r="Q87" s="680"/>
      <c r="R87" s="681"/>
      <c r="S87" s="681"/>
      <c r="T87" s="681"/>
      <c r="U87" s="681"/>
      <c r="V87" s="681"/>
      <c r="W87" s="688"/>
      <c r="X87" s="685"/>
      <c r="Y87" s="686"/>
      <c r="Z87" s="686"/>
      <c r="AA87" s="686"/>
      <c r="AB87" s="686"/>
      <c r="AC87" s="686"/>
      <c r="AD87" s="686"/>
      <c r="AE87" s="686"/>
      <c r="AF87" s="686"/>
      <c r="AG87" s="686"/>
      <c r="AH87" s="686"/>
      <c r="AI87" s="686"/>
      <c r="AJ87" s="687"/>
      <c r="AK87" s="680"/>
      <c r="AL87" s="681"/>
      <c r="AM87" s="66"/>
      <c r="AN87" s="66"/>
      <c r="AO87" s="66"/>
      <c r="AP87" s="66"/>
      <c r="AQ87" s="66"/>
      <c r="AR87" s="66"/>
      <c r="AS87" s="66"/>
      <c r="AT87" s="66"/>
    </row>
    <row r="88" spans="1:48" x14ac:dyDescent="0.3">
      <c r="A88" s="202">
        <v>19</v>
      </c>
      <c r="B88" s="477"/>
      <c r="C88" s="478"/>
      <c r="D88" s="478"/>
      <c r="E88" s="478"/>
      <c r="F88" s="478"/>
      <c r="G88" s="478"/>
      <c r="H88" s="478"/>
      <c r="I88" s="478"/>
      <c r="J88" s="479"/>
      <c r="K88" s="480"/>
      <c r="L88" s="481"/>
      <c r="M88" s="481"/>
      <c r="N88" s="481"/>
      <c r="O88" s="481"/>
      <c r="P88" s="482"/>
      <c r="Q88" s="680"/>
      <c r="R88" s="681"/>
      <c r="S88" s="681"/>
      <c r="T88" s="681"/>
      <c r="U88" s="681"/>
      <c r="V88" s="681"/>
      <c r="W88" s="688"/>
      <c r="X88" s="685"/>
      <c r="Y88" s="686"/>
      <c r="Z88" s="686"/>
      <c r="AA88" s="686"/>
      <c r="AB88" s="686"/>
      <c r="AC88" s="686"/>
      <c r="AD88" s="686"/>
      <c r="AE88" s="686"/>
      <c r="AF88" s="686"/>
      <c r="AG88" s="686"/>
      <c r="AH88" s="686"/>
      <c r="AI88" s="686"/>
      <c r="AJ88" s="687"/>
      <c r="AK88" s="680"/>
      <c r="AL88" s="681"/>
      <c r="AM88" s="66"/>
      <c r="AN88" s="66"/>
      <c r="AO88" s="66"/>
      <c r="AP88" s="66"/>
      <c r="AQ88" s="66"/>
      <c r="AR88" s="66"/>
      <c r="AS88" s="66"/>
      <c r="AT88" s="66"/>
    </row>
    <row r="89" spans="1:48" x14ac:dyDescent="0.3">
      <c r="A89" s="202">
        <v>20</v>
      </c>
      <c r="B89" s="477"/>
      <c r="C89" s="478"/>
      <c r="D89" s="478"/>
      <c r="E89" s="478"/>
      <c r="F89" s="478"/>
      <c r="G89" s="478"/>
      <c r="H89" s="478"/>
      <c r="I89" s="478"/>
      <c r="J89" s="479"/>
      <c r="K89" s="480"/>
      <c r="L89" s="481"/>
      <c r="M89" s="481"/>
      <c r="N89" s="481"/>
      <c r="O89" s="481"/>
      <c r="P89" s="482"/>
      <c r="Q89" s="680"/>
      <c r="R89" s="681"/>
      <c r="S89" s="681"/>
      <c r="T89" s="681"/>
      <c r="U89" s="681"/>
      <c r="V89" s="681"/>
      <c r="W89" s="688"/>
      <c r="X89" s="685"/>
      <c r="Y89" s="686"/>
      <c r="Z89" s="686"/>
      <c r="AA89" s="686"/>
      <c r="AB89" s="686"/>
      <c r="AC89" s="686"/>
      <c r="AD89" s="686"/>
      <c r="AE89" s="686"/>
      <c r="AF89" s="686"/>
      <c r="AG89" s="686"/>
      <c r="AH89" s="686"/>
      <c r="AI89" s="686"/>
      <c r="AJ89" s="687"/>
      <c r="AK89" s="680"/>
      <c r="AL89" s="681"/>
      <c r="AM89" s="66"/>
      <c r="AN89" s="66"/>
      <c r="AO89" s="66"/>
      <c r="AP89" s="66"/>
      <c r="AQ89" s="66"/>
      <c r="AR89" s="66"/>
      <c r="AS89" s="66"/>
      <c r="AT89" s="66"/>
    </row>
    <row r="90" spans="1:48" x14ac:dyDescent="0.3">
      <c r="A90" s="202">
        <v>21</v>
      </c>
      <c r="B90" s="488" t="s">
        <v>756</v>
      </c>
      <c r="C90" s="489"/>
      <c r="D90" s="489"/>
      <c r="E90" s="489"/>
      <c r="F90" s="489"/>
      <c r="G90" s="489"/>
      <c r="H90" s="489"/>
      <c r="I90" s="489"/>
      <c r="J90" s="490"/>
      <c r="K90" s="491" t="s">
        <v>757</v>
      </c>
      <c r="L90" s="492"/>
      <c r="M90" s="492"/>
      <c r="N90" s="492"/>
      <c r="O90" s="492"/>
      <c r="P90" s="493"/>
      <c r="Q90" s="561">
        <f>SUM(Q70:W89)</f>
        <v>0</v>
      </c>
      <c r="R90" s="562"/>
      <c r="S90" s="562"/>
      <c r="T90" s="562"/>
      <c r="U90" s="562"/>
      <c r="V90" s="562"/>
      <c r="W90" s="563"/>
      <c r="X90" s="682">
        <f>SUM(X70:AJ89)</f>
        <v>0</v>
      </c>
      <c r="Y90" s="683"/>
      <c r="Z90" s="683"/>
      <c r="AA90" s="683"/>
      <c r="AB90" s="683"/>
      <c r="AC90" s="683"/>
      <c r="AD90" s="683"/>
      <c r="AE90" s="683"/>
      <c r="AF90" s="683"/>
      <c r="AG90" s="683"/>
      <c r="AH90" s="683"/>
      <c r="AI90" s="683"/>
      <c r="AJ90" s="684"/>
      <c r="AK90" s="561">
        <f>SUM(AK70:AL89)</f>
        <v>0</v>
      </c>
      <c r="AL90" s="563"/>
      <c r="AM90" s="66"/>
      <c r="AN90" s="66"/>
      <c r="AO90" s="66"/>
      <c r="AP90" s="66"/>
      <c r="AQ90" s="66"/>
      <c r="AR90" s="66"/>
      <c r="AS90" s="66"/>
      <c r="AT90" s="66"/>
    </row>
    <row r="91" spans="1:48" ht="30.75" customHeight="1" x14ac:dyDescent="0.25">
      <c r="A91" s="332" t="s">
        <v>225</v>
      </c>
      <c r="B91" s="332"/>
      <c r="C91" s="332"/>
      <c r="D91" s="332"/>
      <c r="E91" s="332"/>
      <c r="F91" s="332"/>
      <c r="G91" s="332"/>
      <c r="H91" s="332"/>
      <c r="I91" s="332"/>
      <c r="J91" s="332"/>
      <c r="K91" s="332"/>
      <c r="L91" s="332"/>
      <c r="M91" s="332"/>
      <c r="N91" s="332"/>
      <c r="O91" s="332"/>
      <c r="P91" s="332"/>
      <c r="Q91" s="332"/>
      <c r="R91" s="332"/>
      <c r="S91" s="332"/>
      <c r="T91" s="332"/>
      <c r="U91" s="332"/>
      <c r="V91" s="332"/>
      <c r="W91" s="332"/>
      <c r="X91" s="332"/>
      <c r="Y91" s="332"/>
      <c r="Z91" s="332"/>
      <c r="AA91" s="332"/>
      <c r="AB91" s="332"/>
      <c r="AC91" s="332"/>
      <c r="AD91" s="332"/>
      <c r="AE91" s="332"/>
      <c r="AF91" s="332"/>
      <c r="AG91" s="332"/>
      <c r="AH91" s="332"/>
      <c r="AI91" s="332"/>
      <c r="AJ91" s="332"/>
      <c r="AK91" s="332"/>
      <c r="AL91" s="332"/>
      <c r="AM91" s="119"/>
    </row>
    <row r="92" spans="1:48" x14ac:dyDescent="0.25">
      <c r="A92" s="621">
        <f>A64</f>
        <v>0</v>
      </c>
      <c r="B92" s="622"/>
      <c r="C92" s="622"/>
      <c r="D92" s="622"/>
      <c r="E92" s="622"/>
      <c r="F92" s="622"/>
      <c r="G92" s="622"/>
      <c r="H92" s="622"/>
      <c r="I92" s="622"/>
      <c r="J92" s="622"/>
      <c r="K92" s="622"/>
      <c r="L92" s="622"/>
      <c r="M92" s="622"/>
      <c r="N92" s="622"/>
      <c r="O92" s="622"/>
      <c r="P92" s="622"/>
      <c r="Q92" s="622"/>
      <c r="R92" s="622"/>
      <c r="S92" s="622"/>
      <c r="T92" s="622"/>
      <c r="U92" s="622"/>
      <c r="V92" s="622"/>
      <c r="W92" s="622"/>
      <c r="X92" s="622"/>
      <c r="Y92" s="622"/>
      <c r="Z92" s="622"/>
      <c r="AA92" s="622"/>
      <c r="AB92" s="622"/>
      <c r="AC92" s="622"/>
      <c r="AD92" s="622"/>
      <c r="AE92" s="622"/>
      <c r="AF92" s="622"/>
      <c r="AG92" s="622"/>
      <c r="AH92" s="622"/>
      <c r="AI92" s="622"/>
      <c r="AJ92" s="622"/>
      <c r="AK92" s="622"/>
      <c r="AL92" s="623"/>
    </row>
    <row r="93" spans="1:48" ht="18.75" customHeight="1" x14ac:dyDescent="0.25">
      <c r="A93" s="332" t="s">
        <v>833</v>
      </c>
      <c r="B93" s="332"/>
      <c r="C93" s="332"/>
      <c r="D93" s="332"/>
      <c r="E93" s="332"/>
      <c r="F93" s="332"/>
      <c r="G93" s="332"/>
      <c r="H93" s="332"/>
      <c r="I93" s="332"/>
      <c r="J93" s="332"/>
      <c r="K93" s="332"/>
      <c r="L93" s="332"/>
      <c r="M93" s="332"/>
      <c r="N93" s="332"/>
      <c r="O93" s="332"/>
      <c r="P93" s="332"/>
      <c r="Q93" s="332"/>
      <c r="R93" s="332"/>
      <c r="S93" s="332"/>
      <c r="T93" s="332"/>
      <c r="U93" s="332"/>
      <c r="V93" s="332"/>
      <c r="W93" s="332"/>
      <c r="X93" s="332"/>
      <c r="Y93" s="332"/>
      <c r="Z93" s="332"/>
      <c r="AA93" s="332"/>
      <c r="AB93" s="332"/>
      <c r="AC93" s="332"/>
      <c r="AD93" s="332"/>
      <c r="AE93" s="332"/>
      <c r="AF93" s="332"/>
      <c r="AG93" s="332"/>
      <c r="AH93" s="332"/>
      <c r="AI93" s="332"/>
      <c r="AJ93" s="332"/>
      <c r="AK93" s="332"/>
      <c r="AL93" s="332"/>
      <c r="AM93" s="119"/>
    </row>
    <row r="94" spans="1:48" x14ac:dyDescent="0.25">
      <c r="A94" s="632"/>
      <c r="B94" s="633"/>
      <c r="C94" s="633"/>
      <c r="D94" s="633"/>
      <c r="E94" s="633"/>
      <c r="F94" s="633"/>
      <c r="G94" s="633"/>
      <c r="H94" s="633"/>
      <c r="I94" s="633"/>
      <c r="J94" s="633"/>
      <c r="K94" s="633"/>
      <c r="L94" s="633"/>
      <c r="M94" s="633"/>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4"/>
    </row>
    <row r="95" spans="1:48" ht="34.5" customHeight="1" x14ac:dyDescent="0.25">
      <c r="A95" s="308" t="s">
        <v>791</v>
      </c>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c r="AH95" s="308"/>
      <c r="AI95" s="308"/>
      <c r="AJ95" s="308"/>
      <c r="AK95" s="308"/>
      <c r="AL95" s="308"/>
      <c r="AM95" s="335" t="s">
        <v>914</v>
      </c>
      <c r="AN95" s="335"/>
      <c r="AO95" s="335"/>
      <c r="AP95" s="335"/>
      <c r="AQ95" s="335"/>
      <c r="AR95" s="335"/>
      <c r="AS95" s="335"/>
      <c r="AT95" s="335"/>
      <c r="AU95" s="335"/>
      <c r="AV95" s="335"/>
    </row>
    <row r="96" spans="1:48" x14ac:dyDescent="0.25">
      <c r="A96" s="694">
        <f>Q90</f>
        <v>0</v>
      </c>
      <c r="B96" s="695"/>
      <c r="C96" s="695"/>
      <c r="D96" s="695"/>
      <c r="E96" s="695"/>
      <c r="F96" s="695"/>
      <c r="G96" s="695"/>
      <c r="H96" s="695"/>
      <c r="I96" s="695"/>
      <c r="J96" s="695"/>
      <c r="K96" s="695"/>
      <c r="L96" s="695"/>
      <c r="M96" s="695"/>
      <c r="N96" s="695"/>
      <c r="O96" s="695"/>
      <c r="P96" s="695"/>
      <c r="Q96" s="695"/>
      <c r="R96" s="695"/>
      <c r="S96" s="695"/>
      <c r="T96" s="695"/>
      <c r="U96" s="695"/>
      <c r="V96" s="695"/>
      <c r="W96" s="695"/>
      <c r="X96" s="695"/>
      <c r="Y96" s="695"/>
      <c r="Z96" s="695"/>
      <c r="AA96" s="695"/>
      <c r="AB96" s="695"/>
      <c r="AC96" s="695"/>
      <c r="AD96" s="695"/>
      <c r="AE96" s="695"/>
      <c r="AF96" s="695"/>
      <c r="AG96" s="695"/>
      <c r="AH96" s="695"/>
      <c r="AI96" s="695"/>
      <c r="AJ96" s="695"/>
      <c r="AK96" s="695"/>
      <c r="AL96" s="696"/>
    </row>
    <row r="97" spans="1:46" ht="30.75" customHeight="1" x14ac:dyDescent="0.25">
      <c r="A97" s="308" t="s">
        <v>792</v>
      </c>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c r="AD97" s="308"/>
      <c r="AE97" s="308"/>
      <c r="AF97" s="308"/>
      <c r="AG97" s="308"/>
      <c r="AH97" s="308"/>
      <c r="AI97" s="308"/>
      <c r="AJ97" s="308"/>
      <c r="AK97" s="308"/>
      <c r="AL97" s="308"/>
    </row>
    <row r="98" spans="1:46" x14ac:dyDescent="0.25">
      <c r="A98" s="694">
        <f>AK90</f>
        <v>0</v>
      </c>
      <c r="B98" s="695"/>
      <c r="C98" s="695"/>
      <c r="D98" s="695"/>
      <c r="E98" s="695"/>
      <c r="F98" s="695"/>
      <c r="G98" s="695"/>
      <c r="H98" s="695"/>
      <c r="I98" s="695"/>
      <c r="J98" s="695"/>
      <c r="K98" s="695"/>
      <c r="L98" s="695"/>
      <c r="M98" s="695"/>
      <c r="N98" s="695"/>
      <c r="O98" s="695"/>
      <c r="P98" s="695"/>
      <c r="Q98" s="695"/>
      <c r="R98" s="695"/>
      <c r="S98" s="695"/>
      <c r="T98" s="695"/>
      <c r="U98" s="695"/>
      <c r="V98" s="695"/>
      <c r="W98" s="695"/>
      <c r="X98" s="695"/>
      <c r="Y98" s="695"/>
      <c r="Z98" s="695"/>
      <c r="AA98" s="695"/>
      <c r="AB98" s="695"/>
      <c r="AC98" s="695"/>
      <c r="AD98" s="695"/>
      <c r="AE98" s="695"/>
      <c r="AF98" s="695"/>
      <c r="AG98" s="695"/>
      <c r="AH98" s="695"/>
      <c r="AI98" s="695"/>
      <c r="AJ98" s="695"/>
      <c r="AK98" s="695"/>
      <c r="AL98" s="696"/>
    </row>
    <row r="99" spans="1:46" x14ac:dyDescent="0.25">
      <c r="A99" s="328" t="s">
        <v>687</v>
      </c>
      <c r="B99" s="328"/>
      <c r="C99" s="328"/>
      <c r="D99" s="328"/>
      <c r="E99" s="328"/>
      <c r="F99" s="328"/>
      <c r="G99" s="328"/>
      <c r="H99" s="328"/>
      <c r="I99" s="328"/>
      <c r="J99" s="328"/>
      <c r="K99" s="328"/>
      <c r="L99" s="328"/>
      <c r="M99" s="328"/>
      <c r="N99" s="328"/>
      <c r="O99" s="328"/>
      <c r="P99" s="328"/>
      <c r="Q99" s="328"/>
      <c r="R99" s="328"/>
      <c r="S99" s="328"/>
      <c r="T99" s="328"/>
      <c r="U99" s="328"/>
      <c r="V99" s="328"/>
      <c r="W99" s="328"/>
      <c r="X99" s="328"/>
      <c r="Y99" s="328"/>
      <c r="Z99" s="328"/>
      <c r="AA99" s="328"/>
      <c r="AB99" s="328"/>
      <c r="AC99" s="328"/>
      <c r="AD99" s="328"/>
      <c r="AE99" s="328"/>
      <c r="AF99" s="328"/>
      <c r="AG99" s="328"/>
      <c r="AH99" s="328"/>
      <c r="AI99" s="328"/>
      <c r="AJ99" s="328"/>
      <c r="AK99" s="328"/>
      <c r="AL99" s="328"/>
      <c r="AM99" s="119"/>
    </row>
    <row r="100" spans="1:46" ht="43.5" customHeight="1" x14ac:dyDescent="0.25">
      <c r="A100" s="391" t="s">
        <v>735</v>
      </c>
      <c r="B100" s="391"/>
      <c r="C100" s="391"/>
      <c r="D100" s="391"/>
      <c r="E100" s="391"/>
      <c r="F100" s="391"/>
      <c r="G100" s="391"/>
      <c r="H100" s="391"/>
      <c r="I100" s="391"/>
      <c r="J100" s="391"/>
      <c r="K100" s="391"/>
      <c r="L100" s="391"/>
      <c r="M100" s="391"/>
      <c r="N100" s="391"/>
      <c r="O100" s="391"/>
      <c r="P100" s="391"/>
      <c r="Q100" s="391"/>
      <c r="R100" s="391"/>
      <c r="S100" s="391"/>
      <c r="T100" s="391"/>
      <c r="U100" s="391"/>
      <c r="V100" s="391"/>
      <c r="W100" s="391"/>
      <c r="X100" s="391"/>
      <c r="Y100" s="391"/>
      <c r="Z100" s="391"/>
      <c r="AA100" s="391"/>
      <c r="AB100" s="391"/>
      <c r="AC100" s="391"/>
      <c r="AD100" s="391"/>
      <c r="AE100" s="391"/>
      <c r="AF100" s="391"/>
      <c r="AG100" s="391"/>
      <c r="AH100" s="391"/>
      <c r="AI100" s="391"/>
      <c r="AJ100" s="391"/>
      <c r="AK100" s="391"/>
      <c r="AL100" s="391"/>
      <c r="AM100" s="119"/>
    </row>
    <row r="101" spans="1:46" x14ac:dyDescent="0.25">
      <c r="A101" s="392" t="s">
        <v>736</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c r="X101" s="392"/>
      <c r="Y101" s="392"/>
      <c r="Z101" s="392"/>
      <c r="AA101" s="392"/>
      <c r="AB101" s="392"/>
      <c r="AC101" s="392"/>
      <c r="AD101" s="392"/>
      <c r="AE101" s="392"/>
      <c r="AF101" s="392"/>
      <c r="AG101" s="392"/>
      <c r="AH101" s="392"/>
      <c r="AI101" s="392"/>
      <c r="AJ101" s="392"/>
      <c r="AK101" s="392"/>
      <c r="AL101" s="392"/>
      <c r="AM101" s="119"/>
    </row>
    <row r="102" spans="1:46" ht="55.5" customHeight="1" x14ac:dyDescent="0.25">
      <c r="A102" s="332" t="s">
        <v>738</v>
      </c>
      <c r="B102" s="332"/>
      <c r="C102" s="332"/>
      <c r="D102" s="332"/>
      <c r="E102" s="332"/>
      <c r="F102" s="332"/>
      <c r="G102" s="332"/>
      <c r="H102" s="332"/>
      <c r="I102" s="332"/>
      <c r="J102" s="332"/>
      <c r="K102" s="332"/>
      <c r="L102" s="332"/>
      <c r="M102" s="332"/>
      <c r="N102" s="332"/>
      <c r="O102" s="332"/>
      <c r="P102" s="332"/>
      <c r="Q102" s="332"/>
      <c r="R102" s="332"/>
      <c r="S102" s="332"/>
      <c r="T102" s="332"/>
      <c r="U102" s="332"/>
      <c r="V102" s="332"/>
      <c r="W102" s="332"/>
      <c r="X102" s="332"/>
      <c r="Y102" s="332"/>
      <c r="Z102" s="332"/>
      <c r="AA102" s="332"/>
      <c r="AB102" s="332"/>
      <c r="AC102" s="332"/>
      <c r="AD102" s="332"/>
      <c r="AE102" s="332"/>
      <c r="AF102" s="332"/>
      <c r="AG102" s="332"/>
      <c r="AH102" s="332"/>
      <c r="AI102" s="332"/>
      <c r="AJ102" s="332"/>
      <c r="AK102" s="332"/>
      <c r="AL102" s="332"/>
      <c r="AN102" s="116"/>
      <c r="AO102" s="116"/>
      <c r="AP102" s="116"/>
      <c r="AQ102" s="116"/>
      <c r="AR102" s="116"/>
      <c r="AS102" s="116"/>
      <c r="AT102" s="116"/>
    </row>
    <row r="103" spans="1:46" ht="46.95" customHeight="1" x14ac:dyDescent="0.25">
      <c r="A103" s="333" t="s">
        <v>739</v>
      </c>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row>
    <row r="104" spans="1:46" ht="45" customHeight="1" x14ac:dyDescent="0.25">
      <c r="A104" s="486" t="s">
        <v>850</v>
      </c>
      <c r="B104" s="487"/>
      <c r="C104" s="487"/>
      <c r="D104" s="487"/>
      <c r="E104" s="487"/>
      <c r="F104" s="487"/>
      <c r="G104" s="487"/>
      <c r="H104" s="487"/>
      <c r="I104" s="487"/>
      <c r="J104" s="487"/>
      <c r="K104" s="487"/>
      <c r="L104" s="487"/>
      <c r="M104" s="487"/>
      <c r="N104" s="487"/>
      <c r="O104" s="487"/>
      <c r="P104" s="487"/>
      <c r="Q104" s="487"/>
      <c r="R104" s="487"/>
      <c r="S104" s="487"/>
      <c r="T104" s="487"/>
      <c r="U104" s="487"/>
      <c r="V104" s="487"/>
      <c r="W104" s="487"/>
      <c r="X104" s="487"/>
      <c r="Y104" s="487"/>
      <c r="Z104" s="487"/>
      <c r="AA104" s="487"/>
      <c r="AB104" s="487"/>
      <c r="AC104" s="487"/>
      <c r="AD104" s="487"/>
      <c r="AE104" s="487"/>
      <c r="AF104" s="487"/>
      <c r="AG104" s="487"/>
      <c r="AH104" s="487"/>
      <c r="AI104" s="487"/>
      <c r="AJ104" s="487"/>
      <c r="AK104" s="487"/>
      <c r="AL104" s="487"/>
    </row>
    <row r="105" spans="1:46" ht="45" customHeight="1" x14ac:dyDescent="0.25">
      <c r="A105" s="308" t="s">
        <v>1109</v>
      </c>
      <c r="B105" s="332"/>
      <c r="C105" s="332"/>
      <c r="D105" s="332"/>
      <c r="E105" s="332"/>
      <c r="F105" s="332"/>
      <c r="G105" s="332"/>
      <c r="H105" s="332"/>
      <c r="I105" s="332"/>
      <c r="J105" s="332"/>
      <c r="K105" s="332"/>
      <c r="L105" s="332"/>
      <c r="M105" s="332"/>
      <c r="N105" s="332"/>
      <c r="O105" s="332"/>
      <c r="P105" s="332"/>
      <c r="Q105" s="332"/>
      <c r="R105" s="332"/>
      <c r="S105" s="332"/>
      <c r="T105" s="332"/>
      <c r="U105" s="332"/>
      <c r="V105" s="332"/>
      <c r="W105" s="332"/>
      <c r="X105" s="332"/>
      <c r="Y105" s="332"/>
      <c r="Z105" s="332"/>
      <c r="AA105" s="332"/>
      <c r="AB105" s="332"/>
      <c r="AC105" s="332"/>
      <c r="AD105" s="332"/>
      <c r="AE105" s="332"/>
      <c r="AF105" s="332"/>
      <c r="AG105" s="332"/>
      <c r="AH105" s="332"/>
      <c r="AI105" s="332"/>
      <c r="AJ105" s="332"/>
      <c r="AK105" s="332"/>
      <c r="AL105" s="332"/>
    </row>
    <row r="106" spans="1:46" ht="48" customHeight="1" x14ac:dyDescent="0.25">
      <c r="A106" s="333" t="s">
        <v>742</v>
      </c>
      <c r="B106" s="333"/>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row>
    <row r="107" spans="1:46" ht="48" customHeight="1" x14ac:dyDescent="0.25">
      <c r="A107" s="404" t="s">
        <v>929</v>
      </c>
      <c r="B107" s="404"/>
      <c r="C107" s="404"/>
      <c r="D107" s="404"/>
      <c r="E107" s="404"/>
      <c r="F107" s="404"/>
      <c r="G107" s="404"/>
      <c r="H107" s="404"/>
      <c r="I107" s="404"/>
      <c r="J107" s="404"/>
      <c r="K107" s="404"/>
      <c r="L107" s="404"/>
      <c r="M107" s="404"/>
      <c r="N107" s="404"/>
      <c r="O107" s="404"/>
      <c r="P107" s="404"/>
      <c r="Q107" s="404"/>
      <c r="R107" s="404"/>
      <c r="S107" s="404"/>
      <c r="T107" s="404"/>
      <c r="U107" s="404"/>
      <c r="V107" s="404"/>
      <c r="W107" s="404"/>
      <c r="X107" s="404"/>
      <c r="Y107" s="404"/>
      <c r="Z107" s="404"/>
      <c r="AA107" s="404"/>
      <c r="AB107" s="404"/>
      <c r="AC107" s="404"/>
      <c r="AD107" s="404"/>
      <c r="AE107" s="404"/>
      <c r="AF107" s="404"/>
      <c r="AG107" s="404"/>
      <c r="AH107" s="404"/>
      <c r="AI107" s="404"/>
      <c r="AJ107" s="404"/>
      <c r="AK107" s="404"/>
      <c r="AL107" s="404"/>
    </row>
    <row r="108" spans="1:46" ht="97.2" customHeight="1" x14ac:dyDescent="0.25">
      <c r="A108" s="333"/>
      <c r="B108" s="333"/>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row>
    <row r="109" spans="1:46" ht="157.5" customHeight="1" x14ac:dyDescent="0.3">
      <c r="A109" s="318" t="s">
        <v>1006</v>
      </c>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20"/>
      <c r="AJ109" s="321">
        <f>IF(A108=Słowniki!C$50,ROUNDDOWN(A96/(A96+A98),4),100%)</f>
        <v>1</v>
      </c>
      <c r="AK109" s="322"/>
      <c r="AL109" s="322"/>
    </row>
    <row r="110" spans="1:46" ht="70.95" customHeight="1" x14ac:dyDescent="0.25">
      <c r="A110" s="314" t="s">
        <v>1031</v>
      </c>
      <c r="B110" s="315"/>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c r="Y110" s="315"/>
      <c r="Z110" s="315"/>
      <c r="AA110" s="315"/>
      <c r="AB110" s="315"/>
      <c r="AC110" s="315"/>
      <c r="AD110" s="315"/>
      <c r="AE110" s="315"/>
      <c r="AF110" s="315"/>
      <c r="AG110" s="315"/>
      <c r="AH110" s="315"/>
      <c r="AI110" s="315"/>
      <c r="AJ110" s="315"/>
      <c r="AK110" s="315"/>
      <c r="AL110" s="315"/>
    </row>
    <row r="111" spans="1:46" ht="136.94999999999999" customHeight="1" x14ac:dyDescent="0.25">
      <c r="A111" s="316"/>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c r="AA111" s="317"/>
      <c r="AB111" s="317"/>
      <c r="AC111" s="317"/>
      <c r="AD111" s="317"/>
      <c r="AE111" s="317"/>
      <c r="AF111" s="317"/>
      <c r="AG111" s="317"/>
      <c r="AH111" s="317"/>
      <c r="AI111" s="317"/>
      <c r="AJ111" s="317"/>
      <c r="AK111" s="317"/>
      <c r="AL111" s="317"/>
    </row>
    <row r="112" spans="1:46" ht="144.44999999999999" customHeight="1" x14ac:dyDescent="0.25">
      <c r="A112" s="308" t="s">
        <v>1110</v>
      </c>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row>
    <row r="113" spans="1:65" ht="83.7" customHeight="1" x14ac:dyDescent="0.25">
      <c r="A113" s="135" t="s">
        <v>127</v>
      </c>
      <c r="B113" s="311" t="s">
        <v>812</v>
      </c>
      <c r="C113" s="312"/>
      <c r="D113" s="312"/>
      <c r="E113" s="312"/>
      <c r="F113" s="313"/>
      <c r="G113" s="325" t="s">
        <v>813</v>
      </c>
      <c r="H113" s="325"/>
      <c r="I113" s="325"/>
      <c r="J113" s="325"/>
      <c r="K113" s="325"/>
      <c r="L113" s="311" t="s">
        <v>819</v>
      </c>
      <c r="M113" s="312"/>
      <c r="N113" s="312"/>
      <c r="O113" s="313"/>
      <c r="P113" s="311" t="s">
        <v>185</v>
      </c>
      <c r="Q113" s="312"/>
      <c r="R113" s="312"/>
      <c r="S113" s="312"/>
      <c r="T113" s="312"/>
      <c r="U113" s="312"/>
      <c r="V113" s="313"/>
      <c r="W113" s="311" t="s">
        <v>184</v>
      </c>
      <c r="X113" s="312"/>
      <c r="Y113" s="312"/>
      <c r="Z113" s="313"/>
      <c r="AA113" s="311" t="s">
        <v>820</v>
      </c>
      <c r="AB113" s="312"/>
      <c r="AC113" s="312"/>
      <c r="AD113" s="312"/>
      <c r="AE113" s="312"/>
      <c r="AF113" s="312"/>
      <c r="AG113" s="313"/>
      <c r="AH113" s="311" t="s">
        <v>179</v>
      </c>
      <c r="AI113" s="312"/>
      <c r="AJ113" s="313"/>
      <c r="AK113" s="311" t="s">
        <v>186</v>
      </c>
      <c r="AL113" s="313"/>
      <c r="AM113" s="137" t="s">
        <v>221</v>
      </c>
      <c r="AN113" s="61"/>
      <c r="AO113" s="61"/>
    </row>
    <row r="114" spans="1:65" s="86" customFormat="1" ht="19.2" customHeight="1" x14ac:dyDescent="0.25">
      <c r="A114" s="135">
        <v>1</v>
      </c>
      <c r="B114" s="325">
        <v>2</v>
      </c>
      <c r="C114" s="325"/>
      <c r="D114" s="325"/>
      <c r="E114" s="325"/>
      <c r="F114" s="325"/>
      <c r="G114" s="325">
        <v>3</v>
      </c>
      <c r="H114" s="325"/>
      <c r="I114" s="325"/>
      <c r="J114" s="325"/>
      <c r="K114" s="325"/>
      <c r="L114" s="325">
        <v>4</v>
      </c>
      <c r="M114" s="325"/>
      <c r="N114" s="325"/>
      <c r="O114" s="325"/>
      <c r="P114" s="325">
        <v>5</v>
      </c>
      <c r="Q114" s="325"/>
      <c r="R114" s="325"/>
      <c r="S114" s="325"/>
      <c r="T114" s="325"/>
      <c r="U114" s="325"/>
      <c r="V114" s="325"/>
      <c r="W114" s="325">
        <v>6</v>
      </c>
      <c r="X114" s="325"/>
      <c r="Y114" s="325"/>
      <c r="Z114" s="325"/>
      <c r="AA114" s="311" t="s">
        <v>823</v>
      </c>
      <c r="AB114" s="312"/>
      <c r="AC114" s="312"/>
      <c r="AD114" s="312"/>
      <c r="AE114" s="312"/>
      <c r="AF114" s="312"/>
      <c r="AG114" s="313"/>
      <c r="AH114" s="311">
        <v>8</v>
      </c>
      <c r="AI114" s="312"/>
      <c r="AJ114" s="313"/>
      <c r="AK114" s="311" t="s">
        <v>666</v>
      </c>
      <c r="AL114" s="313"/>
      <c r="AM114" s="137"/>
      <c r="AN114" s="61"/>
      <c r="AO114" s="61"/>
      <c r="AP114" s="60"/>
      <c r="AQ114" s="60"/>
      <c r="AR114" s="60"/>
      <c r="AS114" s="60"/>
      <c r="AT114" s="60"/>
      <c r="AU114" s="116"/>
      <c r="AV114" s="116"/>
      <c r="AW114" s="116"/>
      <c r="AX114" s="116"/>
      <c r="AY114" s="116"/>
      <c r="AZ114" s="116"/>
      <c r="BA114" s="116"/>
      <c r="BB114" s="116"/>
      <c r="BC114" s="116"/>
      <c r="BD114" s="116"/>
      <c r="BE114" s="116"/>
      <c r="BF114" s="116"/>
      <c r="BG114" s="116"/>
      <c r="BH114" s="116"/>
      <c r="BI114" s="116"/>
      <c r="BJ114" s="116"/>
      <c r="BK114" s="116"/>
      <c r="BL114" s="116"/>
      <c r="BM114" s="116"/>
    </row>
    <row r="115" spans="1:65" s="224" customFormat="1" ht="51" customHeight="1" x14ac:dyDescent="0.25">
      <c r="A115" s="128">
        <v>1</v>
      </c>
      <c r="B115" s="303"/>
      <c r="C115" s="304"/>
      <c r="D115" s="304"/>
      <c r="E115" s="304"/>
      <c r="F115" s="305"/>
      <c r="G115" s="470"/>
      <c r="H115" s="471"/>
      <c r="I115" s="471"/>
      <c r="J115" s="471"/>
      <c r="K115" s="471"/>
      <c r="L115" s="470"/>
      <c r="M115" s="471"/>
      <c r="N115" s="471"/>
      <c r="O115" s="471"/>
      <c r="P115" s="472"/>
      <c r="Q115" s="473"/>
      <c r="R115" s="473"/>
      <c r="S115" s="473"/>
      <c r="T115" s="473"/>
      <c r="U115" s="473"/>
      <c r="V115" s="474"/>
      <c r="W115" s="294">
        <f>IF(OR(B115=Słowniki!A$46,B115=Słowniki!A$56,B115=Słowniki!A$58,B115=Słowniki!A$59),0.08,0.23)</f>
        <v>0.23</v>
      </c>
      <c r="X115" s="295"/>
      <c r="Y115" s="295"/>
      <c r="Z115" s="295"/>
      <c r="AA115" s="538">
        <f>P115+ROUNDDOWN(P115*W115,2)</f>
        <v>0</v>
      </c>
      <c r="AB115" s="538"/>
      <c r="AC115" s="538"/>
      <c r="AD115" s="538"/>
      <c r="AE115" s="538"/>
      <c r="AF115" s="538"/>
      <c r="AG115" s="538"/>
      <c r="AH115" s="531">
        <f>AJ$109</f>
        <v>1</v>
      </c>
      <c r="AI115" s="532"/>
      <c r="AJ115" s="533"/>
      <c r="AK115" s="526">
        <f>ROUND(AA115*AH115,2)</f>
        <v>0</v>
      </c>
      <c r="AL115" s="527"/>
      <c r="AM115" s="221"/>
      <c r="AN115" s="221"/>
      <c r="AO115" s="222"/>
      <c r="AP115" s="223"/>
      <c r="AQ115" s="223"/>
      <c r="AR115" s="223"/>
      <c r="AS115" s="223"/>
      <c r="AT115" s="223"/>
      <c r="AU115" s="223"/>
      <c r="AV115" s="223"/>
      <c r="AW115" s="223"/>
      <c r="AX115" s="223"/>
      <c r="AY115" s="223"/>
      <c r="AZ115" s="223"/>
      <c r="BA115" s="223"/>
      <c r="BB115" s="223"/>
      <c r="BC115" s="223"/>
      <c r="BD115" s="223"/>
      <c r="BE115" s="223"/>
      <c r="BF115" s="223"/>
      <c r="BG115" s="223"/>
      <c r="BH115" s="223"/>
      <c r="BI115" s="223"/>
      <c r="BJ115" s="223"/>
      <c r="BK115" s="223"/>
      <c r="BL115" s="223"/>
      <c r="BM115" s="223"/>
    </row>
    <row r="116" spans="1:65" s="224" customFormat="1" ht="51" customHeight="1" x14ac:dyDescent="0.25">
      <c r="A116" s="128">
        <v>2</v>
      </c>
      <c r="B116" s="303"/>
      <c r="C116" s="304"/>
      <c r="D116" s="304"/>
      <c r="E116" s="304"/>
      <c r="F116" s="305"/>
      <c r="G116" s="470"/>
      <c r="H116" s="471"/>
      <c r="I116" s="471"/>
      <c r="J116" s="471"/>
      <c r="K116" s="471"/>
      <c r="L116" s="470"/>
      <c r="M116" s="471"/>
      <c r="N116" s="471"/>
      <c r="O116" s="471"/>
      <c r="P116" s="472"/>
      <c r="Q116" s="473"/>
      <c r="R116" s="473"/>
      <c r="S116" s="473"/>
      <c r="T116" s="473"/>
      <c r="U116" s="473"/>
      <c r="V116" s="474"/>
      <c r="W116" s="294">
        <f>IF(OR(B116=Słowniki!A$46,B116=Słowniki!A$56,B116=Słowniki!A$58,B116=Słowniki!A$59),0.08,0.23)</f>
        <v>0.23</v>
      </c>
      <c r="X116" s="295"/>
      <c r="Y116" s="295"/>
      <c r="Z116" s="295"/>
      <c r="AA116" s="538">
        <f>P116+ROUNDDOWN(P116*W116,2)</f>
        <v>0</v>
      </c>
      <c r="AB116" s="538"/>
      <c r="AC116" s="538"/>
      <c r="AD116" s="538"/>
      <c r="AE116" s="538"/>
      <c r="AF116" s="538"/>
      <c r="AG116" s="538"/>
      <c r="AH116" s="531">
        <f t="shared" ref="AH116:AH136" si="0">AJ$109</f>
        <v>1</v>
      </c>
      <c r="AI116" s="532"/>
      <c r="AJ116" s="533"/>
      <c r="AK116" s="526">
        <f t="shared" ref="AK116:AK136" si="1">ROUND(AA116*AH116,2)</f>
        <v>0</v>
      </c>
      <c r="AL116" s="527"/>
      <c r="AM116" s="221"/>
      <c r="AN116" s="221"/>
      <c r="AO116" s="222"/>
      <c r="AP116" s="223"/>
      <c r="AQ116" s="223"/>
      <c r="AR116" s="223"/>
      <c r="AS116" s="223"/>
      <c r="AT116" s="223"/>
      <c r="AU116" s="223"/>
      <c r="AV116" s="223"/>
      <c r="AW116" s="223"/>
      <c r="AX116" s="223"/>
      <c r="AY116" s="223"/>
      <c r="AZ116" s="223"/>
      <c r="BA116" s="223"/>
      <c r="BB116" s="223"/>
      <c r="BC116" s="223"/>
      <c r="BD116" s="223"/>
      <c r="BE116" s="223"/>
      <c r="BF116" s="223"/>
      <c r="BG116" s="223"/>
      <c r="BH116" s="223"/>
      <c r="BI116" s="223"/>
      <c r="BJ116" s="223"/>
      <c r="BK116" s="223"/>
      <c r="BL116" s="223"/>
      <c r="BM116" s="223"/>
    </row>
    <row r="117" spans="1:65" s="224" customFormat="1" ht="51" customHeight="1" x14ac:dyDescent="0.25">
      <c r="A117" s="128">
        <v>3</v>
      </c>
      <c r="B117" s="303"/>
      <c r="C117" s="304"/>
      <c r="D117" s="304"/>
      <c r="E117" s="304"/>
      <c r="F117" s="305"/>
      <c r="G117" s="470"/>
      <c r="H117" s="471"/>
      <c r="I117" s="471"/>
      <c r="J117" s="471"/>
      <c r="K117" s="471"/>
      <c r="L117" s="470"/>
      <c r="M117" s="471"/>
      <c r="N117" s="471"/>
      <c r="O117" s="471"/>
      <c r="P117" s="472"/>
      <c r="Q117" s="473"/>
      <c r="R117" s="473"/>
      <c r="S117" s="473"/>
      <c r="T117" s="473"/>
      <c r="U117" s="473"/>
      <c r="V117" s="474"/>
      <c r="W117" s="294">
        <f>IF(OR(B117=Słowniki!A$46,B117=Słowniki!A$56,B117=Słowniki!A$58,B117=Słowniki!A$59),0.08,0.23)</f>
        <v>0.23</v>
      </c>
      <c r="X117" s="295"/>
      <c r="Y117" s="295"/>
      <c r="Z117" s="295"/>
      <c r="AA117" s="538">
        <f t="shared" ref="AA117:AA136" si="2">P117+ROUNDDOWN(P117*W117,2)</f>
        <v>0</v>
      </c>
      <c r="AB117" s="538"/>
      <c r="AC117" s="538"/>
      <c r="AD117" s="538"/>
      <c r="AE117" s="538"/>
      <c r="AF117" s="538"/>
      <c r="AG117" s="538"/>
      <c r="AH117" s="531">
        <f t="shared" si="0"/>
        <v>1</v>
      </c>
      <c r="AI117" s="532"/>
      <c r="AJ117" s="533"/>
      <c r="AK117" s="526">
        <f t="shared" si="1"/>
        <v>0</v>
      </c>
      <c r="AL117" s="527"/>
      <c r="AM117" s="221"/>
      <c r="AN117" s="221"/>
      <c r="AO117" s="222"/>
      <c r="AP117" s="223"/>
      <c r="AQ117" s="223"/>
      <c r="AR117" s="223"/>
      <c r="AS117" s="223"/>
      <c r="AT117" s="223"/>
      <c r="AU117" s="223"/>
      <c r="AV117" s="223"/>
      <c r="AW117" s="223"/>
      <c r="AX117" s="223"/>
      <c r="AY117" s="223"/>
      <c r="AZ117" s="223"/>
      <c r="BA117" s="223"/>
      <c r="BB117" s="223"/>
      <c r="BC117" s="223"/>
      <c r="BD117" s="223"/>
      <c r="BE117" s="223"/>
      <c r="BF117" s="223"/>
      <c r="BG117" s="223"/>
      <c r="BH117" s="223"/>
      <c r="BI117" s="223"/>
      <c r="BJ117" s="223"/>
      <c r="BK117" s="223"/>
      <c r="BL117" s="223"/>
      <c r="BM117" s="223"/>
    </row>
    <row r="118" spans="1:65" s="224" customFormat="1" ht="51" customHeight="1" x14ac:dyDescent="0.25">
      <c r="A118" s="128">
        <v>4</v>
      </c>
      <c r="B118" s="303"/>
      <c r="C118" s="304"/>
      <c r="D118" s="304"/>
      <c r="E118" s="304"/>
      <c r="F118" s="305"/>
      <c r="G118" s="470"/>
      <c r="H118" s="471"/>
      <c r="I118" s="471"/>
      <c r="J118" s="471"/>
      <c r="K118" s="471"/>
      <c r="L118" s="470"/>
      <c r="M118" s="471"/>
      <c r="N118" s="471"/>
      <c r="O118" s="471"/>
      <c r="P118" s="472"/>
      <c r="Q118" s="473"/>
      <c r="R118" s="473"/>
      <c r="S118" s="473"/>
      <c r="T118" s="473"/>
      <c r="U118" s="473"/>
      <c r="V118" s="474"/>
      <c r="W118" s="294">
        <f>IF(OR(B118=Słowniki!A$46,B118=Słowniki!A$56,B118=Słowniki!A$58,B118=Słowniki!A$59),0.08,0.23)</f>
        <v>0.23</v>
      </c>
      <c r="X118" s="295"/>
      <c r="Y118" s="295"/>
      <c r="Z118" s="295"/>
      <c r="AA118" s="538">
        <f t="shared" si="2"/>
        <v>0</v>
      </c>
      <c r="AB118" s="538"/>
      <c r="AC118" s="538"/>
      <c r="AD118" s="538"/>
      <c r="AE118" s="538"/>
      <c r="AF118" s="538"/>
      <c r="AG118" s="538"/>
      <c r="AH118" s="531">
        <f t="shared" si="0"/>
        <v>1</v>
      </c>
      <c r="AI118" s="532"/>
      <c r="AJ118" s="533"/>
      <c r="AK118" s="526">
        <f t="shared" si="1"/>
        <v>0</v>
      </c>
      <c r="AL118" s="527"/>
      <c r="AM118" s="221"/>
      <c r="AN118" s="221"/>
      <c r="AO118" s="222"/>
      <c r="AP118" s="223"/>
      <c r="AQ118" s="223"/>
      <c r="AR118" s="223"/>
      <c r="AS118" s="223"/>
      <c r="AT118" s="223"/>
      <c r="AU118" s="223"/>
      <c r="AV118" s="223"/>
      <c r="AW118" s="223"/>
      <c r="AX118" s="223"/>
      <c r="AY118" s="223"/>
      <c r="AZ118" s="223"/>
      <c r="BA118" s="223"/>
      <c r="BB118" s="223"/>
      <c r="BC118" s="223"/>
      <c r="BD118" s="223"/>
      <c r="BE118" s="223"/>
      <c r="BF118" s="223"/>
      <c r="BG118" s="223"/>
      <c r="BH118" s="223"/>
      <c r="BI118" s="223"/>
      <c r="BJ118" s="223"/>
      <c r="BK118" s="223"/>
      <c r="BL118" s="223"/>
      <c r="BM118" s="223"/>
    </row>
    <row r="119" spans="1:65" s="224" customFormat="1" ht="51" customHeight="1" x14ac:dyDescent="0.25">
      <c r="A119" s="128">
        <v>5</v>
      </c>
      <c r="B119" s="303"/>
      <c r="C119" s="304"/>
      <c r="D119" s="304"/>
      <c r="E119" s="304"/>
      <c r="F119" s="305"/>
      <c r="G119" s="470"/>
      <c r="H119" s="471"/>
      <c r="I119" s="471"/>
      <c r="J119" s="471"/>
      <c r="K119" s="471"/>
      <c r="L119" s="470"/>
      <c r="M119" s="471"/>
      <c r="N119" s="471"/>
      <c r="O119" s="471"/>
      <c r="P119" s="472"/>
      <c r="Q119" s="473"/>
      <c r="R119" s="473"/>
      <c r="S119" s="473"/>
      <c r="T119" s="473"/>
      <c r="U119" s="473"/>
      <c r="V119" s="474"/>
      <c r="W119" s="294">
        <f>IF(OR(B119=Słowniki!A$46,B119=Słowniki!A$56,B119=Słowniki!A$58,B119=Słowniki!A$59),0.08,0.23)</f>
        <v>0.23</v>
      </c>
      <c r="X119" s="295"/>
      <c r="Y119" s="295"/>
      <c r="Z119" s="295"/>
      <c r="AA119" s="538">
        <f t="shared" si="2"/>
        <v>0</v>
      </c>
      <c r="AB119" s="538"/>
      <c r="AC119" s="538"/>
      <c r="AD119" s="538"/>
      <c r="AE119" s="538"/>
      <c r="AF119" s="538"/>
      <c r="AG119" s="538"/>
      <c r="AH119" s="531">
        <f t="shared" si="0"/>
        <v>1</v>
      </c>
      <c r="AI119" s="532"/>
      <c r="AJ119" s="533"/>
      <c r="AK119" s="526">
        <f t="shared" si="1"/>
        <v>0</v>
      </c>
      <c r="AL119" s="527"/>
      <c r="AM119" s="221"/>
      <c r="AN119" s="221"/>
      <c r="AO119" s="222"/>
      <c r="AP119" s="223"/>
      <c r="AQ119" s="223"/>
      <c r="AR119" s="223"/>
      <c r="AS119" s="223"/>
      <c r="AT119" s="223"/>
      <c r="AU119" s="223"/>
      <c r="AV119" s="223"/>
      <c r="AW119" s="223"/>
      <c r="AX119" s="223"/>
      <c r="AY119" s="223"/>
      <c r="AZ119" s="223"/>
      <c r="BA119" s="223"/>
      <c r="BB119" s="223"/>
      <c r="BC119" s="223"/>
      <c r="BD119" s="223"/>
      <c r="BE119" s="223"/>
      <c r="BF119" s="223"/>
      <c r="BG119" s="223"/>
      <c r="BH119" s="223"/>
      <c r="BI119" s="223"/>
      <c r="BJ119" s="223"/>
      <c r="BK119" s="223"/>
      <c r="BL119" s="223"/>
      <c r="BM119" s="223"/>
    </row>
    <row r="120" spans="1:65" s="224" customFormat="1" ht="51" customHeight="1" x14ac:dyDescent="0.25">
      <c r="A120" s="128">
        <v>6</v>
      </c>
      <c r="B120" s="303"/>
      <c r="C120" s="304"/>
      <c r="D120" s="304"/>
      <c r="E120" s="304"/>
      <c r="F120" s="305"/>
      <c r="G120" s="470"/>
      <c r="H120" s="471"/>
      <c r="I120" s="471"/>
      <c r="J120" s="471"/>
      <c r="K120" s="471"/>
      <c r="L120" s="470"/>
      <c r="M120" s="471"/>
      <c r="N120" s="471"/>
      <c r="O120" s="471"/>
      <c r="P120" s="472"/>
      <c r="Q120" s="473"/>
      <c r="R120" s="473"/>
      <c r="S120" s="473"/>
      <c r="T120" s="473"/>
      <c r="U120" s="473"/>
      <c r="V120" s="474"/>
      <c r="W120" s="294">
        <f>IF(OR(B120=Słowniki!A$46,B120=Słowniki!A$56,B120=Słowniki!A$58,B120=Słowniki!A$59),0.08,0.23)</f>
        <v>0.23</v>
      </c>
      <c r="X120" s="295"/>
      <c r="Y120" s="295"/>
      <c r="Z120" s="295"/>
      <c r="AA120" s="538">
        <f t="shared" si="2"/>
        <v>0</v>
      </c>
      <c r="AB120" s="538"/>
      <c r="AC120" s="538"/>
      <c r="AD120" s="538"/>
      <c r="AE120" s="538"/>
      <c r="AF120" s="538"/>
      <c r="AG120" s="538"/>
      <c r="AH120" s="531">
        <f t="shared" si="0"/>
        <v>1</v>
      </c>
      <c r="AI120" s="532"/>
      <c r="AJ120" s="533"/>
      <c r="AK120" s="526">
        <f t="shared" si="1"/>
        <v>0</v>
      </c>
      <c r="AL120" s="527"/>
      <c r="AM120" s="221"/>
      <c r="AN120" s="221"/>
      <c r="AO120" s="222"/>
      <c r="AP120" s="223"/>
      <c r="AQ120" s="223"/>
      <c r="AR120" s="223"/>
      <c r="AS120" s="223"/>
      <c r="AT120" s="223"/>
      <c r="AU120" s="223"/>
      <c r="AV120" s="223"/>
      <c r="AW120" s="223"/>
      <c r="AX120" s="223"/>
      <c r="AY120" s="223"/>
      <c r="AZ120" s="223"/>
      <c r="BA120" s="223"/>
      <c r="BB120" s="223"/>
      <c r="BC120" s="223"/>
      <c r="BD120" s="223"/>
      <c r="BE120" s="223"/>
      <c r="BF120" s="223"/>
      <c r="BG120" s="223"/>
      <c r="BH120" s="223"/>
      <c r="BI120" s="223"/>
      <c r="BJ120" s="223"/>
      <c r="BK120" s="223"/>
      <c r="BL120" s="223"/>
      <c r="BM120" s="223"/>
    </row>
    <row r="121" spans="1:65" s="224" customFormat="1" ht="51" customHeight="1" x14ac:dyDescent="0.25">
      <c r="A121" s="128">
        <v>7</v>
      </c>
      <c r="B121" s="303"/>
      <c r="C121" s="304"/>
      <c r="D121" s="304"/>
      <c r="E121" s="304"/>
      <c r="F121" s="305"/>
      <c r="G121" s="470"/>
      <c r="H121" s="471"/>
      <c r="I121" s="471"/>
      <c r="J121" s="471"/>
      <c r="K121" s="471"/>
      <c r="L121" s="470"/>
      <c r="M121" s="471"/>
      <c r="N121" s="471"/>
      <c r="O121" s="471"/>
      <c r="P121" s="472"/>
      <c r="Q121" s="473"/>
      <c r="R121" s="473"/>
      <c r="S121" s="473"/>
      <c r="T121" s="473"/>
      <c r="U121" s="473"/>
      <c r="V121" s="474"/>
      <c r="W121" s="294">
        <f>IF(OR(B121=Słowniki!A$46,B121=Słowniki!A$56,B121=Słowniki!A$58,B121=Słowniki!A$59),0.08,0.23)</f>
        <v>0.23</v>
      </c>
      <c r="X121" s="295"/>
      <c r="Y121" s="295"/>
      <c r="Z121" s="295"/>
      <c r="AA121" s="538">
        <f t="shared" si="2"/>
        <v>0</v>
      </c>
      <c r="AB121" s="538"/>
      <c r="AC121" s="538"/>
      <c r="AD121" s="538"/>
      <c r="AE121" s="538"/>
      <c r="AF121" s="538"/>
      <c r="AG121" s="538"/>
      <c r="AH121" s="531">
        <f t="shared" si="0"/>
        <v>1</v>
      </c>
      <c r="AI121" s="532"/>
      <c r="AJ121" s="533"/>
      <c r="AK121" s="526">
        <f t="shared" si="1"/>
        <v>0</v>
      </c>
      <c r="AL121" s="527"/>
      <c r="AM121" s="221"/>
      <c r="AN121" s="221"/>
      <c r="AO121" s="222"/>
      <c r="AP121" s="223"/>
      <c r="AQ121" s="223"/>
      <c r="AR121" s="223"/>
      <c r="AS121" s="223"/>
      <c r="AT121" s="223"/>
      <c r="AU121" s="223"/>
      <c r="AV121" s="223"/>
      <c r="AW121" s="223"/>
      <c r="AX121" s="223"/>
      <c r="AY121" s="223"/>
      <c r="AZ121" s="223"/>
      <c r="BA121" s="223"/>
      <c r="BB121" s="223"/>
      <c r="BC121" s="223"/>
      <c r="BD121" s="223"/>
      <c r="BE121" s="223"/>
      <c r="BF121" s="223"/>
      <c r="BG121" s="223"/>
      <c r="BH121" s="223"/>
      <c r="BI121" s="223"/>
      <c r="BJ121" s="223"/>
      <c r="BK121" s="223"/>
      <c r="BL121" s="223"/>
      <c r="BM121" s="223"/>
    </row>
    <row r="122" spans="1:65" s="223" customFormat="1" ht="51" customHeight="1" x14ac:dyDescent="0.25">
      <c r="A122" s="128">
        <v>8</v>
      </c>
      <c r="B122" s="303"/>
      <c r="C122" s="304"/>
      <c r="D122" s="304"/>
      <c r="E122" s="304"/>
      <c r="F122" s="305"/>
      <c r="G122" s="470"/>
      <c r="H122" s="471"/>
      <c r="I122" s="471"/>
      <c r="J122" s="471"/>
      <c r="K122" s="471"/>
      <c r="L122" s="470"/>
      <c r="M122" s="471"/>
      <c r="N122" s="471"/>
      <c r="O122" s="471"/>
      <c r="P122" s="472"/>
      <c r="Q122" s="473"/>
      <c r="R122" s="473"/>
      <c r="S122" s="473"/>
      <c r="T122" s="473"/>
      <c r="U122" s="473"/>
      <c r="V122" s="474"/>
      <c r="W122" s="294">
        <f>IF(OR(B122=Słowniki!A$46,B122=Słowniki!A$56,B122=Słowniki!A$58,B122=Słowniki!A$59),0.08,0.23)</f>
        <v>0.23</v>
      </c>
      <c r="X122" s="295"/>
      <c r="Y122" s="295"/>
      <c r="Z122" s="295"/>
      <c r="AA122" s="538">
        <f t="shared" si="2"/>
        <v>0</v>
      </c>
      <c r="AB122" s="538"/>
      <c r="AC122" s="538"/>
      <c r="AD122" s="538"/>
      <c r="AE122" s="538"/>
      <c r="AF122" s="538"/>
      <c r="AG122" s="538"/>
      <c r="AH122" s="531">
        <f t="shared" si="0"/>
        <v>1</v>
      </c>
      <c r="AI122" s="532"/>
      <c r="AJ122" s="533"/>
      <c r="AK122" s="526">
        <f t="shared" si="1"/>
        <v>0</v>
      </c>
      <c r="AL122" s="527"/>
      <c r="AM122" s="221"/>
      <c r="AN122" s="221"/>
      <c r="AO122" s="222"/>
    </row>
    <row r="123" spans="1:65" s="223" customFormat="1" ht="51" customHeight="1" x14ac:dyDescent="0.25">
      <c r="A123" s="128">
        <v>9</v>
      </c>
      <c r="B123" s="303"/>
      <c r="C123" s="304"/>
      <c r="D123" s="304"/>
      <c r="E123" s="304"/>
      <c r="F123" s="305"/>
      <c r="G123" s="470"/>
      <c r="H123" s="471"/>
      <c r="I123" s="471"/>
      <c r="J123" s="471"/>
      <c r="K123" s="471"/>
      <c r="L123" s="470"/>
      <c r="M123" s="471"/>
      <c r="N123" s="471"/>
      <c r="O123" s="471"/>
      <c r="P123" s="472"/>
      <c r="Q123" s="473"/>
      <c r="R123" s="473"/>
      <c r="S123" s="473"/>
      <c r="T123" s="473"/>
      <c r="U123" s="473"/>
      <c r="V123" s="474"/>
      <c r="W123" s="294">
        <f>IF(OR(B123=Słowniki!A$46,B123=Słowniki!A$56,B123=Słowniki!A$58,B123=Słowniki!A$59),0.08,0.23)</f>
        <v>0.23</v>
      </c>
      <c r="X123" s="295"/>
      <c r="Y123" s="295"/>
      <c r="Z123" s="295"/>
      <c r="AA123" s="538">
        <f t="shared" si="2"/>
        <v>0</v>
      </c>
      <c r="AB123" s="538"/>
      <c r="AC123" s="538"/>
      <c r="AD123" s="538"/>
      <c r="AE123" s="538"/>
      <c r="AF123" s="538"/>
      <c r="AG123" s="538"/>
      <c r="AH123" s="531">
        <f t="shared" si="0"/>
        <v>1</v>
      </c>
      <c r="AI123" s="532"/>
      <c r="AJ123" s="533"/>
      <c r="AK123" s="526">
        <f t="shared" si="1"/>
        <v>0</v>
      </c>
      <c r="AL123" s="527"/>
      <c r="AM123" s="221"/>
      <c r="AN123" s="221"/>
      <c r="AO123" s="222"/>
    </row>
    <row r="124" spans="1:65" s="223" customFormat="1" ht="51" customHeight="1" x14ac:dyDescent="0.25">
      <c r="A124" s="128">
        <v>10</v>
      </c>
      <c r="B124" s="303"/>
      <c r="C124" s="304"/>
      <c r="D124" s="304"/>
      <c r="E124" s="304"/>
      <c r="F124" s="305"/>
      <c r="G124" s="470"/>
      <c r="H124" s="471"/>
      <c r="I124" s="471"/>
      <c r="J124" s="471"/>
      <c r="K124" s="471"/>
      <c r="L124" s="470"/>
      <c r="M124" s="471"/>
      <c r="N124" s="471"/>
      <c r="O124" s="471"/>
      <c r="P124" s="472"/>
      <c r="Q124" s="473"/>
      <c r="R124" s="473"/>
      <c r="S124" s="473"/>
      <c r="T124" s="473"/>
      <c r="U124" s="473"/>
      <c r="V124" s="474"/>
      <c r="W124" s="294">
        <f>IF(OR(B124=Słowniki!A$46,B124=Słowniki!A$56,B124=Słowniki!A$58,B124=Słowniki!A$59),0.08,0.23)</f>
        <v>0.23</v>
      </c>
      <c r="X124" s="295"/>
      <c r="Y124" s="295"/>
      <c r="Z124" s="295"/>
      <c r="AA124" s="538">
        <f t="shared" si="2"/>
        <v>0</v>
      </c>
      <c r="AB124" s="538"/>
      <c r="AC124" s="538"/>
      <c r="AD124" s="538"/>
      <c r="AE124" s="538"/>
      <c r="AF124" s="538"/>
      <c r="AG124" s="538"/>
      <c r="AH124" s="531">
        <f t="shared" si="0"/>
        <v>1</v>
      </c>
      <c r="AI124" s="532"/>
      <c r="AJ124" s="533"/>
      <c r="AK124" s="526">
        <f t="shared" si="1"/>
        <v>0</v>
      </c>
      <c r="AL124" s="527"/>
      <c r="AM124" s="221"/>
      <c r="AN124" s="221"/>
      <c r="AO124" s="222"/>
    </row>
    <row r="125" spans="1:65" s="223" customFormat="1" ht="51" customHeight="1" x14ac:dyDescent="0.25">
      <c r="A125" s="128">
        <v>11</v>
      </c>
      <c r="B125" s="303"/>
      <c r="C125" s="304"/>
      <c r="D125" s="304"/>
      <c r="E125" s="304"/>
      <c r="F125" s="305"/>
      <c r="G125" s="470"/>
      <c r="H125" s="471"/>
      <c r="I125" s="471"/>
      <c r="J125" s="471"/>
      <c r="K125" s="471"/>
      <c r="L125" s="470"/>
      <c r="M125" s="471"/>
      <c r="N125" s="471"/>
      <c r="O125" s="471"/>
      <c r="P125" s="472"/>
      <c r="Q125" s="473"/>
      <c r="R125" s="473"/>
      <c r="S125" s="473"/>
      <c r="T125" s="473"/>
      <c r="U125" s="473"/>
      <c r="V125" s="474"/>
      <c r="W125" s="294">
        <f>IF(OR(B125=Słowniki!A$46,B125=Słowniki!A$56,B125=Słowniki!A$58,B125=Słowniki!A$59),0.08,0.23)</f>
        <v>0.23</v>
      </c>
      <c r="X125" s="295"/>
      <c r="Y125" s="295"/>
      <c r="Z125" s="295"/>
      <c r="AA125" s="538">
        <f t="shared" si="2"/>
        <v>0</v>
      </c>
      <c r="AB125" s="538"/>
      <c r="AC125" s="538"/>
      <c r="AD125" s="538"/>
      <c r="AE125" s="538"/>
      <c r="AF125" s="538"/>
      <c r="AG125" s="538"/>
      <c r="AH125" s="531">
        <f t="shared" si="0"/>
        <v>1</v>
      </c>
      <c r="AI125" s="532"/>
      <c r="AJ125" s="533"/>
      <c r="AK125" s="526">
        <f t="shared" si="1"/>
        <v>0</v>
      </c>
      <c r="AL125" s="527"/>
      <c r="AM125" s="221"/>
      <c r="AN125" s="221"/>
      <c r="AO125" s="222"/>
    </row>
    <row r="126" spans="1:65" s="223" customFormat="1" ht="51" customHeight="1" x14ac:dyDescent="0.25">
      <c r="A126" s="128">
        <v>12</v>
      </c>
      <c r="B126" s="303"/>
      <c r="C126" s="304"/>
      <c r="D126" s="304"/>
      <c r="E126" s="304"/>
      <c r="F126" s="305"/>
      <c r="G126" s="470"/>
      <c r="H126" s="471"/>
      <c r="I126" s="471"/>
      <c r="J126" s="471"/>
      <c r="K126" s="471"/>
      <c r="L126" s="470"/>
      <c r="M126" s="471"/>
      <c r="N126" s="471"/>
      <c r="O126" s="471"/>
      <c r="P126" s="472"/>
      <c r="Q126" s="473"/>
      <c r="R126" s="473"/>
      <c r="S126" s="473"/>
      <c r="T126" s="473"/>
      <c r="U126" s="473"/>
      <c r="V126" s="474"/>
      <c r="W126" s="294">
        <f>IF(OR(B126=Słowniki!A$46,B126=Słowniki!A$56,B126=Słowniki!A$58,B126=Słowniki!A$59),0.08,0.23)</f>
        <v>0.23</v>
      </c>
      <c r="X126" s="295"/>
      <c r="Y126" s="295"/>
      <c r="Z126" s="295"/>
      <c r="AA126" s="538">
        <f t="shared" si="2"/>
        <v>0</v>
      </c>
      <c r="AB126" s="538"/>
      <c r="AC126" s="538"/>
      <c r="AD126" s="538"/>
      <c r="AE126" s="538"/>
      <c r="AF126" s="538"/>
      <c r="AG126" s="538"/>
      <c r="AH126" s="531">
        <f t="shared" si="0"/>
        <v>1</v>
      </c>
      <c r="AI126" s="532"/>
      <c r="AJ126" s="533"/>
      <c r="AK126" s="526">
        <f t="shared" si="1"/>
        <v>0</v>
      </c>
      <c r="AL126" s="527"/>
      <c r="AM126" s="221"/>
      <c r="AN126" s="221"/>
      <c r="AO126" s="222"/>
    </row>
    <row r="127" spans="1:65" s="223" customFormat="1" ht="51" customHeight="1" x14ac:dyDescent="0.25">
      <c r="A127" s="128">
        <v>13</v>
      </c>
      <c r="B127" s="303"/>
      <c r="C127" s="304"/>
      <c r="D127" s="304"/>
      <c r="E127" s="304"/>
      <c r="F127" s="305"/>
      <c r="G127" s="470"/>
      <c r="H127" s="471"/>
      <c r="I127" s="471"/>
      <c r="J127" s="471"/>
      <c r="K127" s="471"/>
      <c r="L127" s="470"/>
      <c r="M127" s="471"/>
      <c r="N127" s="471"/>
      <c r="O127" s="471"/>
      <c r="P127" s="472"/>
      <c r="Q127" s="473"/>
      <c r="R127" s="473"/>
      <c r="S127" s="473"/>
      <c r="T127" s="473"/>
      <c r="U127" s="473"/>
      <c r="V127" s="474"/>
      <c r="W127" s="294">
        <f>IF(OR(B127=Słowniki!A$46,B127=Słowniki!A$56,B127=Słowniki!A$58,B127=Słowniki!A$59),0.08,0.23)</f>
        <v>0.23</v>
      </c>
      <c r="X127" s="295"/>
      <c r="Y127" s="295"/>
      <c r="Z127" s="295"/>
      <c r="AA127" s="538">
        <f t="shared" si="2"/>
        <v>0</v>
      </c>
      <c r="AB127" s="538"/>
      <c r="AC127" s="538"/>
      <c r="AD127" s="538"/>
      <c r="AE127" s="538"/>
      <c r="AF127" s="538"/>
      <c r="AG127" s="538"/>
      <c r="AH127" s="531">
        <f t="shared" si="0"/>
        <v>1</v>
      </c>
      <c r="AI127" s="532"/>
      <c r="AJ127" s="533"/>
      <c r="AK127" s="526">
        <f t="shared" si="1"/>
        <v>0</v>
      </c>
      <c r="AL127" s="527"/>
      <c r="AM127" s="221"/>
      <c r="AN127" s="221"/>
      <c r="AO127" s="222"/>
    </row>
    <row r="128" spans="1:65" s="223" customFormat="1" ht="51" customHeight="1" x14ac:dyDescent="0.25">
      <c r="A128" s="128">
        <v>14</v>
      </c>
      <c r="B128" s="303"/>
      <c r="C128" s="304"/>
      <c r="D128" s="304"/>
      <c r="E128" s="304"/>
      <c r="F128" s="305"/>
      <c r="G128" s="470"/>
      <c r="H128" s="471"/>
      <c r="I128" s="471"/>
      <c r="J128" s="471"/>
      <c r="K128" s="471"/>
      <c r="L128" s="470"/>
      <c r="M128" s="471"/>
      <c r="N128" s="471"/>
      <c r="O128" s="471"/>
      <c r="P128" s="472"/>
      <c r="Q128" s="473"/>
      <c r="R128" s="473"/>
      <c r="S128" s="473"/>
      <c r="T128" s="473"/>
      <c r="U128" s="473"/>
      <c r="V128" s="474"/>
      <c r="W128" s="294">
        <f>IF(OR(B128=Słowniki!A$46,B128=Słowniki!A$56,B128=Słowniki!A$58,B128=Słowniki!A$59),0.08,0.23)</f>
        <v>0.23</v>
      </c>
      <c r="X128" s="295"/>
      <c r="Y128" s="295"/>
      <c r="Z128" s="295"/>
      <c r="AA128" s="538">
        <f t="shared" si="2"/>
        <v>0</v>
      </c>
      <c r="AB128" s="538"/>
      <c r="AC128" s="538"/>
      <c r="AD128" s="538"/>
      <c r="AE128" s="538"/>
      <c r="AF128" s="538"/>
      <c r="AG128" s="538"/>
      <c r="AH128" s="531">
        <f t="shared" si="0"/>
        <v>1</v>
      </c>
      <c r="AI128" s="532"/>
      <c r="AJ128" s="533"/>
      <c r="AK128" s="526">
        <f t="shared" si="1"/>
        <v>0</v>
      </c>
      <c r="AL128" s="527"/>
      <c r="AM128" s="221"/>
      <c r="AN128" s="221"/>
      <c r="AO128" s="222"/>
    </row>
    <row r="129" spans="1:41" s="223" customFormat="1" ht="51" customHeight="1" x14ac:dyDescent="0.25">
      <c r="A129" s="128">
        <v>15</v>
      </c>
      <c r="B129" s="303"/>
      <c r="C129" s="304"/>
      <c r="D129" s="304"/>
      <c r="E129" s="304"/>
      <c r="F129" s="305"/>
      <c r="G129" s="470"/>
      <c r="H129" s="471"/>
      <c r="I129" s="471"/>
      <c r="J129" s="471"/>
      <c r="K129" s="471"/>
      <c r="L129" s="470"/>
      <c r="M129" s="471"/>
      <c r="N129" s="471"/>
      <c r="O129" s="471"/>
      <c r="P129" s="472"/>
      <c r="Q129" s="473"/>
      <c r="R129" s="473"/>
      <c r="S129" s="473"/>
      <c r="T129" s="473"/>
      <c r="U129" s="473"/>
      <c r="V129" s="474"/>
      <c r="W129" s="294">
        <f>IF(OR(B129=Słowniki!A$46,B129=Słowniki!A$56,B129=Słowniki!A$58,B129=Słowniki!A$59),0.08,0.23)</f>
        <v>0.23</v>
      </c>
      <c r="X129" s="295"/>
      <c r="Y129" s="295"/>
      <c r="Z129" s="295"/>
      <c r="AA129" s="538">
        <f t="shared" si="2"/>
        <v>0</v>
      </c>
      <c r="AB129" s="538"/>
      <c r="AC129" s="538"/>
      <c r="AD129" s="538"/>
      <c r="AE129" s="538"/>
      <c r="AF129" s="538"/>
      <c r="AG129" s="538"/>
      <c r="AH129" s="531">
        <f t="shared" si="0"/>
        <v>1</v>
      </c>
      <c r="AI129" s="532"/>
      <c r="AJ129" s="533"/>
      <c r="AK129" s="526">
        <f t="shared" si="1"/>
        <v>0</v>
      </c>
      <c r="AL129" s="527"/>
      <c r="AM129" s="221"/>
      <c r="AN129" s="221"/>
      <c r="AO129" s="222"/>
    </row>
    <row r="130" spans="1:41" s="223" customFormat="1" ht="51" customHeight="1" x14ac:dyDescent="0.25">
      <c r="A130" s="128">
        <v>16</v>
      </c>
      <c r="B130" s="303"/>
      <c r="C130" s="304"/>
      <c r="D130" s="304"/>
      <c r="E130" s="304"/>
      <c r="F130" s="305"/>
      <c r="G130" s="470"/>
      <c r="H130" s="471"/>
      <c r="I130" s="471"/>
      <c r="J130" s="471"/>
      <c r="K130" s="471"/>
      <c r="L130" s="470"/>
      <c r="M130" s="471"/>
      <c r="N130" s="471"/>
      <c r="O130" s="471"/>
      <c r="P130" s="472"/>
      <c r="Q130" s="473"/>
      <c r="R130" s="473"/>
      <c r="S130" s="473"/>
      <c r="T130" s="473"/>
      <c r="U130" s="473"/>
      <c r="V130" s="474"/>
      <c r="W130" s="294">
        <f>IF(OR(B130=Słowniki!A$46,B130=Słowniki!A$56,B130=Słowniki!A$58,B130=Słowniki!A$59),0.08,0.23)</f>
        <v>0.23</v>
      </c>
      <c r="X130" s="295"/>
      <c r="Y130" s="295"/>
      <c r="Z130" s="295"/>
      <c r="AA130" s="538">
        <f t="shared" si="2"/>
        <v>0</v>
      </c>
      <c r="AB130" s="538"/>
      <c r="AC130" s="538"/>
      <c r="AD130" s="538"/>
      <c r="AE130" s="538"/>
      <c r="AF130" s="538"/>
      <c r="AG130" s="538"/>
      <c r="AH130" s="531">
        <f t="shared" si="0"/>
        <v>1</v>
      </c>
      <c r="AI130" s="532"/>
      <c r="AJ130" s="533"/>
      <c r="AK130" s="526">
        <f t="shared" si="1"/>
        <v>0</v>
      </c>
      <c r="AL130" s="527"/>
      <c r="AM130" s="221"/>
      <c r="AN130" s="221"/>
      <c r="AO130" s="222"/>
    </row>
    <row r="131" spans="1:41" s="223" customFormat="1" ht="51" customHeight="1" x14ac:dyDescent="0.25">
      <c r="A131" s="128">
        <v>17</v>
      </c>
      <c r="B131" s="303"/>
      <c r="C131" s="304"/>
      <c r="D131" s="304"/>
      <c r="E131" s="304"/>
      <c r="F131" s="305"/>
      <c r="G131" s="470"/>
      <c r="H131" s="471"/>
      <c r="I131" s="471"/>
      <c r="J131" s="471"/>
      <c r="K131" s="471"/>
      <c r="L131" s="470"/>
      <c r="M131" s="471"/>
      <c r="N131" s="471"/>
      <c r="O131" s="471"/>
      <c r="P131" s="472"/>
      <c r="Q131" s="473"/>
      <c r="R131" s="473"/>
      <c r="S131" s="473"/>
      <c r="T131" s="473"/>
      <c r="U131" s="473"/>
      <c r="V131" s="474"/>
      <c r="W131" s="294">
        <f>IF(OR(B131=Słowniki!A$46,B131=Słowniki!A$56,B131=Słowniki!A$58,B131=Słowniki!A$59),0.08,0.23)</f>
        <v>0.23</v>
      </c>
      <c r="X131" s="295"/>
      <c r="Y131" s="295"/>
      <c r="Z131" s="295"/>
      <c r="AA131" s="538">
        <f t="shared" si="2"/>
        <v>0</v>
      </c>
      <c r="AB131" s="538"/>
      <c r="AC131" s="538"/>
      <c r="AD131" s="538"/>
      <c r="AE131" s="538"/>
      <c r="AF131" s="538"/>
      <c r="AG131" s="538"/>
      <c r="AH131" s="531">
        <f t="shared" si="0"/>
        <v>1</v>
      </c>
      <c r="AI131" s="532"/>
      <c r="AJ131" s="533"/>
      <c r="AK131" s="526">
        <f t="shared" si="1"/>
        <v>0</v>
      </c>
      <c r="AL131" s="527"/>
      <c r="AM131" s="221"/>
      <c r="AN131" s="221"/>
      <c r="AO131" s="222"/>
    </row>
    <row r="132" spans="1:41" s="223" customFormat="1" ht="51" customHeight="1" x14ac:dyDescent="0.25">
      <c r="A132" s="128">
        <v>18</v>
      </c>
      <c r="B132" s="303"/>
      <c r="C132" s="304"/>
      <c r="D132" s="304"/>
      <c r="E132" s="304"/>
      <c r="F132" s="305"/>
      <c r="G132" s="470"/>
      <c r="H132" s="471"/>
      <c r="I132" s="471"/>
      <c r="J132" s="471"/>
      <c r="K132" s="471"/>
      <c r="L132" s="470"/>
      <c r="M132" s="471"/>
      <c r="N132" s="471"/>
      <c r="O132" s="471"/>
      <c r="P132" s="472"/>
      <c r="Q132" s="473"/>
      <c r="R132" s="473"/>
      <c r="S132" s="473"/>
      <c r="T132" s="473"/>
      <c r="U132" s="473"/>
      <c r="V132" s="474"/>
      <c r="W132" s="294">
        <f>IF(OR(B132=Słowniki!A$46,B132=Słowniki!A$56,B132=Słowniki!A$58,B132=Słowniki!A$59),0.08,0.23)</f>
        <v>0.23</v>
      </c>
      <c r="X132" s="295"/>
      <c r="Y132" s="295"/>
      <c r="Z132" s="295"/>
      <c r="AA132" s="538">
        <f t="shared" si="2"/>
        <v>0</v>
      </c>
      <c r="AB132" s="538"/>
      <c r="AC132" s="538"/>
      <c r="AD132" s="538"/>
      <c r="AE132" s="538"/>
      <c r="AF132" s="538"/>
      <c r="AG132" s="538"/>
      <c r="AH132" s="531">
        <f t="shared" si="0"/>
        <v>1</v>
      </c>
      <c r="AI132" s="532"/>
      <c r="AJ132" s="533"/>
      <c r="AK132" s="526">
        <f t="shared" si="1"/>
        <v>0</v>
      </c>
      <c r="AL132" s="527"/>
      <c r="AM132" s="221"/>
      <c r="AN132" s="221"/>
      <c r="AO132" s="222"/>
    </row>
    <row r="133" spans="1:41" s="223" customFormat="1" ht="51" customHeight="1" x14ac:dyDescent="0.25">
      <c r="A133" s="128">
        <v>19</v>
      </c>
      <c r="B133" s="303"/>
      <c r="C133" s="304"/>
      <c r="D133" s="304"/>
      <c r="E133" s="304"/>
      <c r="F133" s="305"/>
      <c r="G133" s="470"/>
      <c r="H133" s="471"/>
      <c r="I133" s="471"/>
      <c r="J133" s="471"/>
      <c r="K133" s="471"/>
      <c r="L133" s="470"/>
      <c r="M133" s="471"/>
      <c r="N133" s="471"/>
      <c r="O133" s="471"/>
      <c r="P133" s="472"/>
      <c r="Q133" s="473"/>
      <c r="R133" s="473"/>
      <c r="S133" s="473"/>
      <c r="T133" s="473"/>
      <c r="U133" s="473"/>
      <c r="V133" s="474"/>
      <c r="W133" s="294">
        <f>IF(OR(B133=Słowniki!A$46,B133=Słowniki!A$56,B133=Słowniki!A$58,B133=Słowniki!A$59),0.08,0.23)</f>
        <v>0.23</v>
      </c>
      <c r="X133" s="295"/>
      <c r="Y133" s="295"/>
      <c r="Z133" s="295"/>
      <c r="AA133" s="538">
        <f t="shared" si="2"/>
        <v>0</v>
      </c>
      <c r="AB133" s="538"/>
      <c r="AC133" s="538"/>
      <c r="AD133" s="538"/>
      <c r="AE133" s="538"/>
      <c r="AF133" s="538"/>
      <c r="AG133" s="538"/>
      <c r="AH133" s="531">
        <f t="shared" si="0"/>
        <v>1</v>
      </c>
      <c r="AI133" s="532"/>
      <c r="AJ133" s="533"/>
      <c r="AK133" s="526">
        <f t="shared" si="1"/>
        <v>0</v>
      </c>
      <c r="AL133" s="527"/>
      <c r="AM133" s="221"/>
      <c r="AN133" s="221"/>
      <c r="AO133" s="222"/>
    </row>
    <row r="134" spans="1:41" s="223" customFormat="1" ht="51" customHeight="1" x14ac:dyDescent="0.25">
      <c r="A134" s="128">
        <v>20</v>
      </c>
      <c r="B134" s="303"/>
      <c r="C134" s="304"/>
      <c r="D134" s="304"/>
      <c r="E134" s="304"/>
      <c r="F134" s="305"/>
      <c r="G134" s="470"/>
      <c r="H134" s="471"/>
      <c r="I134" s="471"/>
      <c r="J134" s="471"/>
      <c r="K134" s="471"/>
      <c r="L134" s="470"/>
      <c r="M134" s="471"/>
      <c r="N134" s="471"/>
      <c r="O134" s="471"/>
      <c r="P134" s="472"/>
      <c r="Q134" s="473"/>
      <c r="R134" s="473"/>
      <c r="S134" s="473"/>
      <c r="T134" s="473"/>
      <c r="U134" s="473"/>
      <c r="V134" s="474"/>
      <c r="W134" s="294">
        <f>IF(OR(B134=Słowniki!A$46,B134=Słowniki!A$56,B134=Słowniki!A$58,B134=Słowniki!A$59),0.08,0.23)</f>
        <v>0.23</v>
      </c>
      <c r="X134" s="295"/>
      <c r="Y134" s="295"/>
      <c r="Z134" s="295"/>
      <c r="AA134" s="538">
        <f t="shared" si="2"/>
        <v>0</v>
      </c>
      <c r="AB134" s="538"/>
      <c r="AC134" s="538"/>
      <c r="AD134" s="538"/>
      <c r="AE134" s="538"/>
      <c r="AF134" s="538"/>
      <c r="AG134" s="538"/>
      <c r="AH134" s="531">
        <f t="shared" si="0"/>
        <v>1</v>
      </c>
      <c r="AI134" s="532"/>
      <c r="AJ134" s="533"/>
      <c r="AK134" s="526">
        <f t="shared" si="1"/>
        <v>0</v>
      </c>
      <c r="AL134" s="527"/>
      <c r="AM134" s="221"/>
      <c r="AN134" s="221"/>
      <c r="AO134" s="222"/>
    </row>
    <row r="135" spans="1:41" s="223" customFormat="1" ht="51" customHeight="1" x14ac:dyDescent="0.25">
      <c r="A135" s="128">
        <v>21</v>
      </c>
      <c r="B135" s="303"/>
      <c r="C135" s="304"/>
      <c r="D135" s="304"/>
      <c r="E135" s="304"/>
      <c r="F135" s="305"/>
      <c r="G135" s="470"/>
      <c r="H135" s="471"/>
      <c r="I135" s="471"/>
      <c r="J135" s="471"/>
      <c r="K135" s="471"/>
      <c r="L135" s="470"/>
      <c r="M135" s="471"/>
      <c r="N135" s="471"/>
      <c r="O135" s="471"/>
      <c r="P135" s="472"/>
      <c r="Q135" s="473"/>
      <c r="R135" s="473"/>
      <c r="S135" s="473"/>
      <c r="T135" s="473"/>
      <c r="U135" s="473"/>
      <c r="V135" s="474"/>
      <c r="W135" s="294">
        <f>IF(OR(B135=Słowniki!A$46,B135=Słowniki!A$56,B135=Słowniki!A$58,B135=Słowniki!A$59),0.08,0.23)</f>
        <v>0.23</v>
      </c>
      <c r="X135" s="295"/>
      <c r="Y135" s="295"/>
      <c r="Z135" s="295"/>
      <c r="AA135" s="538">
        <f t="shared" si="2"/>
        <v>0</v>
      </c>
      <c r="AB135" s="538"/>
      <c r="AC135" s="538"/>
      <c r="AD135" s="538"/>
      <c r="AE135" s="538"/>
      <c r="AF135" s="538"/>
      <c r="AG135" s="538"/>
      <c r="AH135" s="531">
        <f t="shared" si="0"/>
        <v>1</v>
      </c>
      <c r="AI135" s="532"/>
      <c r="AJ135" s="533"/>
      <c r="AK135" s="526">
        <f t="shared" si="1"/>
        <v>0</v>
      </c>
      <c r="AL135" s="527"/>
      <c r="AM135" s="221"/>
      <c r="AN135" s="221"/>
      <c r="AO135" s="222"/>
    </row>
    <row r="136" spans="1:41" s="223" customFormat="1" ht="51" customHeight="1" x14ac:dyDescent="0.25">
      <c r="A136" s="128">
        <v>22</v>
      </c>
      <c r="B136" s="303"/>
      <c r="C136" s="304"/>
      <c r="D136" s="304"/>
      <c r="E136" s="304"/>
      <c r="F136" s="305"/>
      <c r="G136" s="470"/>
      <c r="H136" s="471"/>
      <c r="I136" s="471"/>
      <c r="J136" s="471"/>
      <c r="K136" s="471"/>
      <c r="L136" s="470"/>
      <c r="M136" s="471"/>
      <c r="N136" s="471"/>
      <c r="O136" s="471"/>
      <c r="P136" s="472"/>
      <c r="Q136" s="473"/>
      <c r="R136" s="473"/>
      <c r="S136" s="473"/>
      <c r="T136" s="473"/>
      <c r="U136" s="473"/>
      <c r="V136" s="474"/>
      <c r="W136" s="294">
        <f>IF(OR(B136=Słowniki!A$46,B136=Słowniki!A$56,B136=Słowniki!A$58,B136=Słowniki!A$59),0.08,0.23)</f>
        <v>0.23</v>
      </c>
      <c r="X136" s="295"/>
      <c r="Y136" s="295"/>
      <c r="Z136" s="295"/>
      <c r="AA136" s="538">
        <f t="shared" si="2"/>
        <v>0</v>
      </c>
      <c r="AB136" s="538"/>
      <c r="AC136" s="538"/>
      <c r="AD136" s="538"/>
      <c r="AE136" s="538"/>
      <c r="AF136" s="538"/>
      <c r="AG136" s="538"/>
      <c r="AH136" s="531">
        <f t="shared" si="0"/>
        <v>1</v>
      </c>
      <c r="AI136" s="532"/>
      <c r="AJ136" s="533"/>
      <c r="AK136" s="526">
        <f t="shared" si="1"/>
        <v>0</v>
      </c>
      <c r="AL136" s="527"/>
      <c r="AM136" s="221"/>
      <c r="AN136" s="221"/>
      <c r="AO136" s="222"/>
    </row>
    <row r="137" spans="1:41" s="223" customFormat="1" ht="28.2" customHeight="1" x14ac:dyDescent="0.25">
      <c r="A137" s="128">
        <v>23</v>
      </c>
      <c r="B137" s="451" t="s">
        <v>128</v>
      </c>
      <c r="C137" s="452"/>
      <c r="D137" s="452"/>
      <c r="E137" s="452"/>
      <c r="F137" s="452"/>
      <c r="G137" s="452"/>
      <c r="H137" s="452"/>
      <c r="I137" s="452"/>
      <c r="J137" s="452"/>
      <c r="K137" s="452"/>
      <c r="L137" s="452"/>
      <c r="M137" s="452"/>
      <c r="N137" s="452"/>
      <c r="O137" s="504"/>
      <c r="P137" s="701">
        <f>SUM(P115:V136)</f>
        <v>0</v>
      </c>
      <c r="Q137" s="702"/>
      <c r="R137" s="702"/>
      <c r="S137" s="702"/>
      <c r="T137" s="702"/>
      <c r="U137" s="702"/>
      <c r="V137" s="702"/>
      <c r="W137" s="703" t="s">
        <v>129</v>
      </c>
      <c r="X137" s="703"/>
      <c r="Y137" s="703"/>
      <c r="Z137" s="704"/>
      <c r="AA137" s="534">
        <f>SUM(AA115:AG136)</f>
        <v>0</v>
      </c>
      <c r="AB137" s="534"/>
      <c r="AC137" s="534"/>
      <c r="AD137" s="534"/>
      <c r="AE137" s="534"/>
      <c r="AF137" s="534"/>
      <c r="AG137" s="534"/>
      <c r="AH137" s="539" t="s">
        <v>129</v>
      </c>
      <c r="AI137" s="539"/>
      <c r="AJ137" s="539"/>
      <c r="AK137" s="534">
        <f>ROUND(SUM(AK115:AL136),2)</f>
        <v>0</v>
      </c>
      <c r="AL137" s="534"/>
      <c r="AM137" s="221"/>
      <c r="AN137" s="222"/>
      <c r="AO137" s="222"/>
    </row>
    <row r="138" spans="1:41" s="223" customFormat="1" ht="119.7" customHeight="1" x14ac:dyDescent="0.25">
      <c r="A138" s="334" t="s">
        <v>1111</v>
      </c>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c r="AI138" s="334"/>
      <c r="AJ138" s="334"/>
      <c r="AK138" s="334"/>
      <c r="AL138" s="334"/>
      <c r="AM138" s="221"/>
      <c r="AN138" s="222"/>
      <c r="AO138" s="222"/>
    </row>
    <row r="139" spans="1:41" s="60" customFormat="1" ht="13.95" customHeight="1" x14ac:dyDescent="0.25">
      <c r="A139" s="129"/>
      <c r="B139" s="453" t="s">
        <v>181</v>
      </c>
      <c r="C139" s="453"/>
      <c r="D139" s="453"/>
      <c r="E139" s="453"/>
      <c r="F139" s="453"/>
      <c r="G139" s="453"/>
      <c r="H139" s="453"/>
      <c r="I139" s="453"/>
      <c r="J139" s="453"/>
      <c r="K139" s="453"/>
      <c r="L139" s="453"/>
      <c r="M139" s="453"/>
      <c r="N139" s="453"/>
      <c r="O139" s="453"/>
      <c r="P139" s="453"/>
      <c r="Q139" s="453"/>
      <c r="R139" s="453"/>
      <c r="S139" s="453"/>
      <c r="T139" s="458">
        <v>0.4</v>
      </c>
      <c r="U139" s="458"/>
      <c r="V139" s="458"/>
      <c r="W139" s="458"/>
      <c r="X139" s="458"/>
      <c r="Y139" s="458"/>
      <c r="Z139" s="458"/>
      <c r="AA139" s="458"/>
      <c r="AB139" s="458"/>
      <c r="AC139" s="458"/>
      <c r="AD139" s="458"/>
      <c r="AE139" s="458"/>
      <c r="AF139" s="458"/>
      <c r="AG139" s="458"/>
      <c r="AH139" s="458"/>
      <c r="AI139" s="458"/>
      <c r="AJ139" s="458"/>
      <c r="AK139" s="130"/>
      <c r="AL139" s="131"/>
      <c r="AM139" s="77"/>
      <c r="AN139" s="61"/>
      <c r="AO139" s="61"/>
    </row>
    <row r="140" spans="1:41" s="60" customFormat="1" ht="13.95" customHeight="1" x14ac:dyDescent="0.3">
      <c r="A140" s="129"/>
      <c r="B140" s="453" t="s">
        <v>183</v>
      </c>
      <c r="C140" s="453"/>
      <c r="D140" s="453"/>
      <c r="E140" s="453"/>
      <c r="F140" s="453"/>
      <c r="G140" s="453"/>
      <c r="H140" s="453"/>
      <c r="I140" s="453"/>
      <c r="J140" s="453"/>
      <c r="K140" s="453"/>
      <c r="L140" s="453"/>
      <c r="M140" s="453"/>
      <c r="N140" s="453"/>
      <c r="O140" s="453"/>
      <c r="P140" s="453"/>
      <c r="Q140" s="453"/>
      <c r="R140" s="453"/>
      <c r="S140" s="453"/>
      <c r="T140" s="459"/>
      <c r="U140" s="459"/>
      <c r="V140" s="459"/>
      <c r="W140" s="459"/>
      <c r="X140" s="459"/>
      <c r="Y140" s="459"/>
      <c r="Z140" s="459"/>
      <c r="AA140" s="459"/>
      <c r="AB140" s="459"/>
      <c r="AC140" s="459"/>
      <c r="AD140" s="459"/>
      <c r="AE140" s="459"/>
      <c r="AF140" s="459"/>
      <c r="AG140" s="459"/>
      <c r="AH140" s="459"/>
      <c r="AI140" s="459"/>
      <c r="AJ140" s="459"/>
      <c r="AK140" s="130"/>
      <c r="AL140" s="131"/>
      <c r="AM140" s="100" t="s">
        <v>215</v>
      </c>
      <c r="AN140" s="61"/>
      <c r="AO140" s="61"/>
    </row>
    <row r="141" spans="1:41" s="60" customFormat="1" ht="13.95" customHeight="1" x14ac:dyDescent="0.25">
      <c r="A141" s="129"/>
      <c r="B141" s="453" t="s">
        <v>182</v>
      </c>
      <c r="C141" s="453"/>
      <c r="D141" s="453"/>
      <c r="E141" s="453"/>
      <c r="F141" s="453"/>
      <c r="G141" s="453"/>
      <c r="H141" s="453"/>
      <c r="I141" s="453"/>
      <c r="J141" s="453"/>
      <c r="K141" s="453"/>
      <c r="L141" s="453"/>
      <c r="M141" s="453"/>
      <c r="N141" s="453"/>
      <c r="O141" s="453"/>
      <c r="P141" s="453"/>
      <c r="Q141" s="453"/>
      <c r="R141" s="453"/>
      <c r="S141" s="453"/>
      <c r="T141" s="466">
        <f>ROUNDDOWN(AK137*(T139+T140),2)</f>
        <v>0</v>
      </c>
      <c r="U141" s="466"/>
      <c r="V141" s="466"/>
      <c r="W141" s="466"/>
      <c r="X141" s="466"/>
      <c r="Y141" s="466"/>
      <c r="Z141" s="466"/>
      <c r="AA141" s="466"/>
      <c r="AB141" s="466"/>
      <c r="AC141" s="466"/>
      <c r="AD141" s="466"/>
      <c r="AE141" s="466"/>
      <c r="AF141" s="466"/>
      <c r="AG141" s="466"/>
      <c r="AH141" s="466"/>
      <c r="AI141" s="466"/>
      <c r="AJ141" s="466"/>
      <c r="AK141" s="130"/>
      <c r="AL141" s="131"/>
      <c r="AM141" s="77"/>
      <c r="AN141" s="61"/>
      <c r="AO141" s="61"/>
    </row>
    <row r="142" spans="1:41" s="60" customFormat="1" ht="45" customHeight="1" x14ac:dyDescent="0.25">
      <c r="A142" s="332" t="s">
        <v>790</v>
      </c>
      <c r="B142" s="332"/>
      <c r="C142" s="332"/>
      <c r="D142" s="332"/>
      <c r="E142" s="332"/>
      <c r="F142" s="332"/>
      <c r="G142" s="332"/>
      <c r="H142" s="332"/>
      <c r="I142" s="332"/>
      <c r="J142" s="332"/>
      <c r="K142" s="332"/>
      <c r="L142" s="332"/>
      <c r="M142" s="332"/>
      <c r="N142" s="332"/>
      <c r="O142" s="332"/>
      <c r="P142" s="332"/>
      <c r="Q142" s="332"/>
      <c r="R142" s="332"/>
      <c r="S142" s="332"/>
      <c r="T142" s="332"/>
      <c r="U142" s="332"/>
      <c r="V142" s="332"/>
      <c r="W142" s="332"/>
      <c r="X142" s="332"/>
      <c r="Y142" s="332"/>
      <c r="Z142" s="332"/>
      <c r="AA142" s="332"/>
      <c r="AB142" s="332"/>
      <c r="AC142" s="332"/>
      <c r="AD142" s="332"/>
      <c r="AE142" s="332"/>
      <c r="AF142" s="332"/>
      <c r="AG142" s="332"/>
      <c r="AH142" s="332"/>
      <c r="AI142" s="332"/>
      <c r="AJ142" s="332"/>
      <c r="AK142" s="332"/>
      <c r="AL142" s="332"/>
      <c r="AM142" s="77"/>
      <c r="AN142" s="61"/>
      <c r="AO142" s="61"/>
    </row>
    <row r="143" spans="1:41" s="60" customFormat="1" ht="35.700000000000003" customHeight="1" x14ac:dyDescent="0.25">
      <c r="A143" s="333"/>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120"/>
    </row>
    <row r="144" spans="1:41" s="60" customFormat="1" ht="43.5" customHeight="1" x14ac:dyDescent="0.25">
      <c r="A144" s="332" t="s">
        <v>831</v>
      </c>
      <c r="B144" s="332"/>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c r="AM144" s="120"/>
    </row>
    <row r="145" spans="1:65" s="60" customFormat="1" ht="35.700000000000003" customHeight="1" x14ac:dyDescent="0.25">
      <c r="A145" s="333"/>
      <c r="B145" s="33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120"/>
    </row>
    <row r="146" spans="1:65" s="60" customFormat="1" ht="37.5" customHeight="1" x14ac:dyDescent="0.25">
      <c r="A146" s="332" t="s">
        <v>1115</v>
      </c>
      <c r="B146" s="332"/>
      <c r="C146" s="332"/>
      <c r="D146" s="332"/>
      <c r="E146" s="332"/>
      <c r="F146" s="332"/>
      <c r="G146" s="332"/>
      <c r="H146" s="332"/>
      <c r="I146" s="332"/>
      <c r="J146" s="332"/>
      <c r="K146" s="332"/>
      <c r="L146" s="332"/>
      <c r="M146" s="332"/>
      <c r="N146" s="332"/>
      <c r="O146" s="332"/>
      <c r="P146" s="332"/>
      <c r="Q146" s="332"/>
      <c r="R146" s="332"/>
      <c r="S146" s="332"/>
      <c r="T146" s="332"/>
      <c r="U146" s="332"/>
      <c r="V146" s="332"/>
      <c r="W146" s="332"/>
      <c r="X146" s="332"/>
      <c r="Y146" s="332"/>
      <c r="Z146" s="332"/>
      <c r="AA146" s="332"/>
      <c r="AB146" s="332"/>
      <c r="AC146" s="332"/>
      <c r="AD146" s="332"/>
      <c r="AE146" s="332"/>
      <c r="AF146" s="332"/>
      <c r="AG146" s="332"/>
      <c r="AH146" s="332"/>
      <c r="AI146" s="332"/>
      <c r="AJ146" s="332"/>
      <c r="AK146" s="332"/>
      <c r="AL146" s="332"/>
      <c r="AM146" s="101"/>
    </row>
    <row r="147" spans="1:65" s="60" customFormat="1" ht="39" customHeight="1" x14ac:dyDescent="0.25">
      <c r="A147" s="333" t="s">
        <v>961</v>
      </c>
      <c r="B147" s="333"/>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c r="Z147" s="333"/>
      <c r="AA147" s="333"/>
      <c r="AB147" s="333"/>
      <c r="AC147" s="333"/>
      <c r="AD147" s="333"/>
      <c r="AE147" s="333"/>
      <c r="AF147" s="333"/>
      <c r="AG147" s="333"/>
      <c r="AH147" s="333"/>
      <c r="AI147" s="333"/>
      <c r="AJ147" s="333"/>
      <c r="AK147" s="333"/>
      <c r="AL147" s="333"/>
      <c r="AM147" s="117"/>
    </row>
    <row r="148" spans="1:65" ht="52.2" customHeight="1" x14ac:dyDescent="0.25">
      <c r="A148" s="308" t="s">
        <v>1118</v>
      </c>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c r="AJ148" s="308"/>
      <c r="AK148" s="308"/>
      <c r="AL148" s="308"/>
    </row>
    <row r="149" spans="1:65" ht="34.5" customHeight="1" x14ac:dyDescent="0.25">
      <c r="A149" s="626" t="s">
        <v>937</v>
      </c>
      <c r="B149" s="626"/>
      <c r="C149" s="626"/>
      <c r="D149" s="626"/>
      <c r="E149" s="626"/>
      <c r="F149" s="626"/>
      <c r="G149" s="626"/>
      <c r="H149" s="626"/>
      <c r="I149" s="626"/>
      <c r="J149" s="626"/>
      <c r="K149" s="626"/>
      <c r="L149" s="626"/>
      <c r="M149" s="626"/>
      <c r="N149" s="626"/>
      <c r="O149" s="626"/>
      <c r="P149" s="626"/>
      <c r="Q149" s="626"/>
      <c r="R149" s="626"/>
      <c r="S149" s="626"/>
      <c r="T149" s="626"/>
      <c r="U149" s="626"/>
      <c r="V149" s="626"/>
      <c r="W149" s="626"/>
      <c r="X149" s="626"/>
      <c r="Y149" s="626"/>
      <c r="Z149" s="626"/>
      <c r="AA149" s="626"/>
      <c r="AB149" s="626"/>
      <c r="AC149" s="626"/>
      <c r="AD149" s="626"/>
      <c r="AE149" s="626"/>
      <c r="AF149" s="626"/>
      <c r="AG149" s="626"/>
      <c r="AH149" s="626"/>
      <c r="AI149" s="626"/>
      <c r="AJ149" s="626"/>
      <c r="AK149" s="626"/>
      <c r="AL149" s="626"/>
    </row>
    <row r="150" spans="1:65" ht="60" customHeight="1" x14ac:dyDescent="0.25">
      <c r="A150" s="308" t="s">
        <v>1119</v>
      </c>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c r="AH150" s="308"/>
      <c r="AI150" s="308"/>
      <c r="AJ150" s="308"/>
      <c r="AK150" s="308"/>
      <c r="AL150" s="308"/>
    </row>
    <row r="151" spans="1:65" s="86" customFormat="1" ht="45" customHeight="1" x14ac:dyDescent="0.2">
      <c r="A151" s="626" t="s">
        <v>938</v>
      </c>
      <c r="B151" s="626"/>
      <c r="C151" s="626"/>
      <c r="D151" s="626"/>
      <c r="E151" s="626"/>
      <c r="F151" s="626"/>
      <c r="G151" s="626"/>
      <c r="H151" s="626"/>
      <c r="I151" s="626"/>
      <c r="J151" s="626"/>
      <c r="K151" s="626"/>
      <c r="L151" s="626"/>
      <c r="M151" s="626"/>
      <c r="N151" s="626"/>
      <c r="O151" s="626"/>
      <c r="P151" s="626"/>
      <c r="Q151" s="626"/>
      <c r="R151" s="626"/>
      <c r="S151" s="626"/>
      <c r="T151" s="626"/>
      <c r="U151" s="626"/>
      <c r="V151" s="626"/>
      <c r="W151" s="626"/>
      <c r="X151" s="626"/>
      <c r="Y151" s="626"/>
      <c r="Z151" s="626"/>
      <c r="AA151" s="626"/>
      <c r="AB151" s="626"/>
      <c r="AC151" s="626"/>
      <c r="AD151" s="626"/>
      <c r="AE151" s="626"/>
      <c r="AF151" s="626"/>
      <c r="AG151" s="626"/>
      <c r="AH151" s="626"/>
      <c r="AI151" s="626"/>
      <c r="AJ151" s="626"/>
      <c r="AK151" s="626"/>
      <c r="AL151" s="626"/>
      <c r="AM151" s="101"/>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row>
    <row r="152" spans="1:65" s="86" customFormat="1" ht="45" customHeight="1" x14ac:dyDescent="0.25">
      <c r="A152" s="308" t="s">
        <v>1120</v>
      </c>
      <c r="B152" s="332"/>
      <c r="C152" s="332"/>
      <c r="D152" s="332"/>
      <c r="E152" s="332"/>
      <c r="F152" s="332"/>
      <c r="G152" s="332"/>
      <c r="H152" s="332"/>
      <c r="I152" s="332"/>
      <c r="J152" s="332"/>
      <c r="K152" s="332"/>
      <c r="L152" s="332"/>
      <c r="M152" s="332"/>
      <c r="N152" s="332"/>
      <c r="O152" s="332"/>
      <c r="P152" s="332"/>
      <c r="Q152" s="332"/>
      <c r="R152" s="332"/>
      <c r="S152" s="332"/>
      <c r="T152" s="332"/>
      <c r="U152" s="332"/>
      <c r="V152" s="332"/>
      <c r="W152" s="332"/>
      <c r="X152" s="332"/>
      <c r="Y152" s="332"/>
      <c r="Z152" s="332"/>
      <c r="AA152" s="332"/>
      <c r="AB152" s="332"/>
      <c r="AC152" s="332"/>
      <c r="AD152" s="332"/>
      <c r="AE152" s="332"/>
      <c r="AF152" s="332"/>
      <c r="AG152" s="332"/>
      <c r="AH152" s="332"/>
      <c r="AI152" s="332"/>
      <c r="AJ152" s="332"/>
      <c r="AK152" s="332"/>
      <c r="AL152" s="332"/>
      <c r="AM152" s="101"/>
      <c r="AN152" s="60"/>
      <c r="AO152" s="60"/>
      <c r="AP152" s="60"/>
      <c r="AQ152" s="60"/>
      <c r="AR152" s="60"/>
      <c r="AS152" s="60"/>
      <c r="AT152" s="60"/>
      <c r="AU152" s="116"/>
      <c r="AV152" s="116"/>
      <c r="AW152" s="116"/>
      <c r="AX152" s="116"/>
      <c r="AY152" s="116"/>
      <c r="AZ152" s="116"/>
      <c r="BA152" s="116"/>
      <c r="BB152" s="116"/>
      <c r="BC152" s="116"/>
      <c r="BD152" s="116"/>
      <c r="BE152" s="116"/>
      <c r="BF152" s="116"/>
      <c r="BG152" s="116"/>
      <c r="BH152" s="116"/>
      <c r="BI152" s="116"/>
      <c r="BJ152" s="116"/>
      <c r="BK152" s="116"/>
      <c r="BL152" s="116"/>
      <c r="BM152" s="116"/>
    </row>
    <row r="153" spans="1:65" s="86" customFormat="1" ht="45" customHeight="1" x14ac:dyDescent="0.25">
      <c r="A153" s="333" t="str">
        <f>IF(A66=Słowniki!AA3,Słowniki!W6,Słowniki!W5)</f>
        <v>Żaden lokal nie będzie przeznaczony dla rodzin z dziećmi posiadającymi zaświadczenie, o którym mowa w art. 4 ust. 3 ustawy z dnia 4 listopada 2016 r. o wsparciu kobiet w ciąży i rodzin „Za życiem” (Dz. U. z 2024 r. poz. 1829).</v>
      </c>
      <c r="B153" s="333"/>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c r="Z153" s="333"/>
      <c r="AA153" s="333"/>
      <c r="AB153" s="333"/>
      <c r="AC153" s="333"/>
      <c r="AD153" s="333"/>
      <c r="AE153" s="333"/>
      <c r="AF153" s="333"/>
      <c r="AG153" s="333"/>
      <c r="AH153" s="333"/>
      <c r="AI153" s="333"/>
      <c r="AJ153" s="333"/>
      <c r="AK153" s="333"/>
      <c r="AL153" s="333"/>
      <c r="AM153" s="101" t="str">
        <f>IF(A$151=Słowniki!P3,"Po wydrukowaniu należy przystawić imienną pieczęć i podpisać oświadczenie","")</f>
        <v/>
      </c>
      <c r="AN153" s="60"/>
      <c r="AO153" s="60"/>
      <c r="AP153" s="60"/>
      <c r="AQ153" s="60"/>
      <c r="AR153" s="60"/>
      <c r="AS153" s="60"/>
      <c r="AT153" s="60"/>
      <c r="AU153" s="116"/>
      <c r="AV153" s="116"/>
      <c r="AW153" s="116"/>
      <c r="AX153" s="116"/>
      <c r="AY153" s="116"/>
      <c r="AZ153" s="116"/>
      <c r="BA153" s="116"/>
      <c r="BB153" s="116"/>
      <c r="BC153" s="116"/>
      <c r="BD153" s="116"/>
      <c r="BE153" s="116"/>
      <c r="BF153" s="116"/>
      <c r="BG153" s="116"/>
      <c r="BH153" s="116"/>
      <c r="BI153" s="116"/>
      <c r="BJ153" s="116"/>
      <c r="BK153" s="116"/>
      <c r="BL153" s="116"/>
      <c r="BM153" s="116"/>
    </row>
    <row r="154" spans="1:65" ht="115.2" customHeight="1" x14ac:dyDescent="0.25">
      <c r="A154" s="308" t="s">
        <v>1123</v>
      </c>
      <c r="B154" s="332"/>
      <c r="C154" s="332"/>
      <c r="D154" s="332"/>
      <c r="E154" s="332"/>
      <c r="F154" s="332"/>
      <c r="G154" s="332"/>
      <c r="H154" s="332"/>
      <c r="I154" s="332"/>
      <c r="J154" s="332"/>
      <c r="K154" s="332"/>
      <c r="L154" s="332"/>
      <c r="M154" s="332"/>
      <c r="N154" s="332"/>
      <c r="O154" s="332"/>
      <c r="P154" s="332"/>
      <c r="Q154" s="332"/>
      <c r="R154" s="332"/>
      <c r="S154" s="332"/>
      <c r="T154" s="332"/>
      <c r="U154" s="332"/>
      <c r="V154" s="332"/>
      <c r="W154" s="332"/>
      <c r="X154" s="332"/>
      <c r="Y154" s="332"/>
      <c r="Z154" s="332"/>
      <c r="AA154" s="332"/>
      <c r="AB154" s="332"/>
      <c r="AC154" s="332"/>
      <c r="AD154" s="332"/>
      <c r="AE154" s="332"/>
      <c r="AF154" s="332"/>
      <c r="AG154" s="332"/>
      <c r="AH154" s="332"/>
      <c r="AI154" s="332"/>
      <c r="AJ154" s="332"/>
      <c r="AK154" s="332"/>
      <c r="AL154" s="332"/>
      <c r="AM154" s="117"/>
    </row>
    <row r="155" spans="1:65" ht="76.5" customHeight="1" x14ac:dyDescent="0.25">
      <c r="A155" s="333" t="s">
        <v>784</v>
      </c>
      <c r="B155" s="333"/>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c r="Z155" s="333"/>
      <c r="AA155" s="333"/>
      <c r="AB155" s="333"/>
      <c r="AC155" s="333"/>
      <c r="AD155" s="333"/>
      <c r="AE155" s="333"/>
      <c r="AF155" s="333"/>
      <c r="AG155" s="333"/>
      <c r="AH155" s="333"/>
      <c r="AI155" s="333"/>
      <c r="AJ155" s="333"/>
      <c r="AK155" s="333"/>
      <c r="AL155" s="333"/>
    </row>
    <row r="156" spans="1:65" ht="82.5" customHeight="1" x14ac:dyDescent="0.25">
      <c r="A156" s="332" t="s">
        <v>1130</v>
      </c>
      <c r="B156" s="332"/>
      <c r="C156" s="332"/>
      <c r="D156" s="332"/>
      <c r="E156" s="332"/>
      <c r="F156" s="332"/>
      <c r="G156" s="332"/>
      <c r="H156" s="332"/>
      <c r="I156" s="332"/>
      <c r="J156" s="332"/>
      <c r="K156" s="332"/>
      <c r="L156" s="332"/>
      <c r="M156" s="332"/>
      <c r="N156" s="332"/>
      <c r="O156" s="332"/>
      <c r="P156" s="332"/>
      <c r="Q156" s="332"/>
      <c r="R156" s="332"/>
      <c r="S156" s="332"/>
      <c r="T156" s="332"/>
      <c r="U156" s="332"/>
      <c r="V156" s="332"/>
      <c r="W156" s="332"/>
      <c r="X156" s="332"/>
      <c r="Y156" s="332"/>
      <c r="Z156" s="332"/>
      <c r="AA156" s="332"/>
      <c r="AB156" s="332"/>
      <c r="AC156" s="332"/>
      <c r="AD156" s="332"/>
      <c r="AE156" s="332"/>
      <c r="AF156" s="332"/>
      <c r="AG156" s="332"/>
      <c r="AH156" s="332"/>
      <c r="AI156" s="332"/>
      <c r="AJ156" s="332"/>
      <c r="AK156" s="332"/>
      <c r="AL156" s="332"/>
      <c r="AM156" s="77"/>
    </row>
    <row r="157" spans="1:65" ht="56.7" customHeight="1" x14ac:dyDescent="0.25">
      <c r="A157" s="333"/>
      <c r="B157" s="333"/>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c r="Z157" s="333"/>
      <c r="AA157" s="333"/>
      <c r="AB157" s="333"/>
      <c r="AC157" s="333"/>
      <c r="AD157" s="333"/>
      <c r="AE157" s="333"/>
      <c r="AF157" s="333"/>
      <c r="AG157" s="333"/>
      <c r="AH157" s="333"/>
      <c r="AI157" s="333"/>
      <c r="AJ157" s="333"/>
      <c r="AK157" s="333"/>
      <c r="AL157" s="333"/>
      <c r="AM157" s="117"/>
    </row>
    <row r="158" spans="1:65" ht="56.7" customHeight="1" x14ac:dyDescent="0.25">
      <c r="A158" s="308" t="s">
        <v>1133</v>
      </c>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c r="AH158" s="308"/>
      <c r="AI158" s="308"/>
      <c r="AJ158" s="308"/>
      <c r="AK158" s="308"/>
      <c r="AL158" s="308"/>
      <c r="AM158" s="217"/>
    </row>
    <row r="159" spans="1:65" ht="40.200000000000003" customHeight="1" x14ac:dyDescent="0.25">
      <c r="A159" s="630" t="s">
        <v>946</v>
      </c>
      <c r="B159" s="630"/>
      <c r="C159" s="630"/>
      <c r="D159" s="630"/>
      <c r="E159" s="630"/>
      <c r="F159" s="630"/>
      <c r="G159" s="630"/>
      <c r="H159" s="630"/>
      <c r="I159" s="630"/>
      <c r="J159" s="630"/>
      <c r="K159" s="630"/>
      <c r="L159" s="630"/>
      <c r="M159" s="630"/>
      <c r="N159" s="630"/>
      <c r="O159" s="630"/>
      <c r="P159" s="630"/>
      <c r="Q159" s="630"/>
      <c r="R159" s="630"/>
      <c r="S159" s="630"/>
      <c r="T159" s="630" t="s">
        <v>947</v>
      </c>
      <c r="U159" s="630"/>
      <c r="V159" s="630"/>
      <c r="W159" s="630"/>
      <c r="X159" s="630"/>
      <c r="Y159" s="630"/>
      <c r="Z159" s="630"/>
      <c r="AA159" s="630"/>
      <c r="AB159" s="630"/>
      <c r="AC159" s="630"/>
      <c r="AD159" s="630"/>
      <c r="AE159" s="630"/>
      <c r="AF159" s="630"/>
      <c r="AG159" s="630"/>
      <c r="AH159" s="630"/>
      <c r="AI159" s="630"/>
      <c r="AJ159" s="630"/>
      <c r="AK159" s="630"/>
      <c r="AL159" s="630"/>
      <c r="AM159" s="217"/>
    </row>
    <row r="160" spans="1:65" ht="56.7" customHeight="1" x14ac:dyDescent="0.25">
      <c r="A160" s="629"/>
      <c r="B160" s="629"/>
      <c r="C160" s="629"/>
      <c r="D160" s="629"/>
      <c r="E160" s="629"/>
      <c r="F160" s="629"/>
      <c r="G160" s="629"/>
      <c r="H160" s="629"/>
      <c r="I160" s="629"/>
      <c r="J160" s="629"/>
      <c r="K160" s="629"/>
      <c r="L160" s="629"/>
      <c r="M160" s="629"/>
      <c r="N160" s="629"/>
      <c r="O160" s="629"/>
      <c r="P160" s="629"/>
      <c r="Q160" s="629"/>
      <c r="R160" s="629"/>
      <c r="S160" s="629"/>
      <c r="T160" s="705"/>
      <c r="U160" s="705"/>
      <c r="V160" s="705"/>
      <c r="W160" s="705"/>
      <c r="X160" s="705"/>
      <c r="Y160" s="705"/>
      <c r="Z160" s="705"/>
      <c r="AA160" s="705"/>
      <c r="AB160" s="705"/>
      <c r="AC160" s="705"/>
      <c r="AD160" s="705"/>
      <c r="AE160" s="705"/>
      <c r="AF160" s="705"/>
      <c r="AG160" s="705"/>
      <c r="AH160" s="705"/>
      <c r="AI160" s="705"/>
      <c r="AJ160" s="705"/>
      <c r="AK160" s="705"/>
      <c r="AL160" s="705"/>
      <c r="AM160" s="217"/>
    </row>
    <row r="161" spans="1:41" ht="56.7" customHeight="1" x14ac:dyDescent="0.25">
      <c r="A161" s="333" t="s">
        <v>1134</v>
      </c>
      <c r="B161" s="333"/>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217"/>
    </row>
    <row r="162" spans="1:41" ht="48" customHeight="1" x14ac:dyDescent="0.25">
      <c r="A162" s="579" t="s">
        <v>949</v>
      </c>
      <c r="B162" s="579"/>
      <c r="C162" s="579"/>
      <c r="D162" s="579"/>
      <c r="E162" s="579"/>
      <c r="F162" s="579"/>
      <c r="G162" s="579"/>
      <c r="H162" s="579"/>
      <c r="I162" s="579"/>
      <c r="J162" s="579"/>
      <c r="K162" s="579"/>
      <c r="L162" s="579"/>
      <c r="M162" s="579"/>
      <c r="N162" s="579"/>
      <c r="O162" s="579"/>
      <c r="P162" s="579"/>
      <c r="Q162" s="579"/>
      <c r="R162" s="579"/>
      <c r="S162" s="579"/>
      <c r="T162" s="579"/>
      <c r="U162" s="579"/>
      <c r="V162" s="579"/>
      <c r="W162" s="579"/>
      <c r="X162" s="579"/>
      <c r="Y162" s="579"/>
      <c r="Z162" s="579"/>
      <c r="AA162" s="579"/>
      <c r="AB162" s="579"/>
      <c r="AC162" s="579"/>
      <c r="AD162" s="579"/>
      <c r="AE162" s="579"/>
      <c r="AF162" s="579"/>
      <c r="AG162" s="579"/>
      <c r="AH162" s="579"/>
      <c r="AI162" s="579"/>
      <c r="AJ162" s="579"/>
      <c r="AK162" s="579"/>
      <c r="AL162" s="579"/>
      <c r="AM162" s="217"/>
    </row>
    <row r="163" spans="1:41" ht="56.7" customHeight="1" x14ac:dyDescent="0.25">
      <c r="A163" s="315" t="s">
        <v>1135</v>
      </c>
      <c r="B163" s="315"/>
      <c r="C163" s="315"/>
      <c r="D163" s="315"/>
      <c r="E163" s="315"/>
      <c r="F163" s="315"/>
      <c r="G163" s="315"/>
      <c r="H163" s="315"/>
      <c r="I163" s="315"/>
      <c r="J163" s="315"/>
      <c r="K163" s="315"/>
      <c r="L163" s="315"/>
      <c r="M163" s="315"/>
      <c r="N163" s="315"/>
      <c r="O163" s="315"/>
      <c r="P163" s="315"/>
      <c r="Q163" s="315"/>
      <c r="R163" s="315"/>
      <c r="S163" s="315"/>
      <c r="T163" s="315"/>
      <c r="U163" s="315"/>
      <c r="V163" s="315"/>
      <c r="W163" s="315"/>
      <c r="X163" s="315"/>
      <c r="Y163" s="315"/>
      <c r="Z163" s="315"/>
      <c r="AA163" s="315"/>
      <c r="AB163" s="315"/>
      <c r="AC163" s="315"/>
      <c r="AD163" s="315"/>
      <c r="AE163" s="315"/>
      <c r="AF163" s="315"/>
      <c r="AG163" s="315"/>
      <c r="AH163" s="315"/>
      <c r="AI163" s="315"/>
      <c r="AJ163" s="315"/>
      <c r="AK163" s="315"/>
      <c r="AL163" s="315"/>
      <c r="AM163" s="217"/>
    </row>
    <row r="164" spans="1:41" ht="93.45" customHeight="1" x14ac:dyDescent="0.25">
      <c r="A164" s="333"/>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217"/>
    </row>
    <row r="165" spans="1:41" ht="58.95" customHeight="1" x14ac:dyDescent="0.25">
      <c r="A165" s="308" t="s">
        <v>1138</v>
      </c>
      <c r="B165" s="332"/>
      <c r="C165" s="332"/>
      <c r="D165" s="332"/>
      <c r="E165" s="332"/>
      <c r="F165" s="332"/>
      <c r="G165" s="332"/>
      <c r="H165" s="332"/>
      <c r="I165" s="332"/>
      <c r="J165" s="332"/>
      <c r="K165" s="332"/>
      <c r="L165" s="332"/>
      <c r="M165" s="332"/>
      <c r="N165" s="332"/>
      <c r="O165" s="332"/>
      <c r="P165" s="332"/>
      <c r="Q165" s="332"/>
      <c r="R165" s="332"/>
      <c r="S165" s="332"/>
      <c r="T165" s="332"/>
      <c r="U165" s="332"/>
      <c r="V165" s="332"/>
      <c r="W165" s="332"/>
      <c r="X165" s="332"/>
      <c r="Y165" s="332"/>
      <c r="Z165" s="332"/>
      <c r="AA165" s="332"/>
      <c r="AB165" s="332"/>
      <c r="AC165" s="332"/>
      <c r="AD165" s="332"/>
      <c r="AE165" s="332"/>
      <c r="AF165" s="332"/>
      <c r="AG165" s="332"/>
      <c r="AH165" s="332"/>
      <c r="AI165" s="332"/>
      <c r="AJ165" s="332"/>
      <c r="AK165" s="332"/>
      <c r="AL165" s="332"/>
      <c r="AM165" s="217"/>
    </row>
    <row r="166" spans="1:41" ht="58.95" customHeight="1" x14ac:dyDescent="0.25">
      <c r="A166" s="333" t="s">
        <v>1139</v>
      </c>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217"/>
    </row>
    <row r="167" spans="1:41" ht="29.7" customHeight="1" x14ac:dyDescent="0.25">
      <c r="A167" s="308" t="s">
        <v>752</v>
      </c>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c r="AD167" s="308"/>
      <c r="AE167" s="308"/>
      <c r="AF167" s="308"/>
      <c r="AG167" s="308"/>
      <c r="AH167" s="308"/>
      <c r="AI167" s="308"/>
      <c r="AJ167" s="308"/>
      <c r="AK167" s="308"/>
      <c r="AL167" s="308"/>
      <c r="AM167" s="77"/>
      <c r="AN167" s="61"/>
      <c r="AO167" s="61"/>
    </row>
    <row r="168" spans="1:41" ht="61.95" customHeight="1" x14ac:dyDescent="0.25">
      <c r="A168" s="308" t="s">
        <v>979</v>
      </c>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c r="AD168" s="308"/>
      <c r="AE168" s="308"/>
      <c r="AF168" s="308"/>
      <c r="AG168" s="308"/>
      <c r="AH168" s="308"/>
      <c r="AI168" s="308"/>
      <c r="AJ168" s="308"/>
      <c r="AK168" s="308"/>
      <c r="AL168" s="308"/>
      <c r="AM168" s="77"/>
      <c r="AN168" s="61"/>
      <c r="AO168" s="61"/>
    </row>
    <row r="169" spans="1:41" ht="37.200000000000003" customHeight="1" x14ac:dyDescent="0.25">
      <c r="A169" s="308" t="s">
        <v>1024</v>
      </c>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c r="AD169" s="308"/>
      <c r="AE169" s="308"/>
      <c r="AF169" s="308"/>
      <c r="AG169" s="308"/>
      <c r="AH169" s="308"/>
      <c r="AI169" s="308"/>
      <c r="AJ169" s="308"/>
      <c r="AK169" s="308"/>
      <c r="AL169" s="308"/>
      <c r="AM169" s="77"/>
      <c r="AN169" s="61"/>
      <c r="AO169" s="61"/>
    </row>
    <row r="170" spans="1:41" ht="78.45" customHeight="1" x14ac:dyDescent="0.25">
      <c r="A170" s="308" t="s">
        <v>1153</v>
      </c>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c r="AD170" s="308"/>
      <c r="AE170" s="308"/>
      <c r="AF170" s="308"/>
      <c r="AG170" s="308"/>
      <c r="AH170" s="308"/>
      <c r="AI170" s="308"/>
      <c r="AJ170" s="308"/>
      <c r="AK170" s="308"/>
      <c r="AL170" s="308"/>
      <c r="AM170" s="77"/>
      <c r="AN170" s="61"/>
      <c r="AO170" s="61"/>
    </row>
    <row r="171" spans="1:41" ht="67.2" customHeight="1" x14ac:dyDescent="0.25">
      <c r="A171" s="308" t="s">
        <v>1011</v>
      </c>
      <c r="B171" s="328"/>
      <c r="C171" s="328"/>
      <c r="D171" s="328"/>
      <c r="E171" s="328"/>
      <c r="F171" s="328"/>
      <c r="G171" s="328"/>
      <c r="H171" s="328"/>
      <c r="I171" s="328"/>
      <c r="J171" s="328"/>
      <c r="K171" s="328"/>
      <c r="L171" s="328"/>
      <c r="M171" s="328"/>
      <c r="N171" s="328"/>
      <c r="O171" s="328"/>
      <c r="P171" s="328"/>
      <c r="Q171" s="328"/>
      <c r="R171" s="328"/>
      <c r="S171" s="328"/>
      <c r="T171" s="328"/>
      <c r="U171" s="328"/>
      <c r="V171" s="328"/>
      <c r="W171" s="328"/>
      <c r="X171" s="328"/>
      <c r="Y171" s="328"/>
      <c r="Z171" s="328"/>
      <c r="AA171" s="328"/>
      <c r="AB171" s="328"/>
      <c r="AC171" s="328"/>
      <c r="AD171" s="328"/>
      <c r="AE171" s="328"/>
      <c r="AF171" s="328"/>
      <c r="AG171" s="328"/>
      <c r="AH171" s="328"/>
      <c r="AI171" s="328"/>
      <c r="AJ171" s="328"/>
      <c r="AK171" s="328"/>
      <c r="AL171" s="328"/>
      <c r="AM171" s="77"/>
      <c r="AN171" s="61"/>
      <c r="AO171" s="61"/>
    </row>
    <row r="172" spans="1:41" ht="21.45" customHeight="1" x14ac:dyDescent="0.25">
      <c r="A172" s="308" t="s">
        <v>1051</v>
      </c>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c r="AH172" s="308"/>
      <c r="AI172" s="308"/>
      <c r="AJ172" s="308"/>
      <c r="AK172" s="308"/>
      <c r="AL172" s="308"/>
      <c r="AM172" s="77"/>
      <c r="AN172" s="61"/>
      <c r="AO172" s="61"/>
    </row>
    <row r="173" spans="1:41" ht="40.200000000000003" customHeight="1" x14ac:dyDescent="0.25">
      <c r="A173" s="505" t="str">
        <f>IF(B17="Gmina","1)  w przypadku gminy - wójta (burmistrza, prezydenta miasta)",IF(B17="Powiat","3)  w przypadku powiatu - starostę)",IF(B17="Związek międzygminny","2)  w przypadku związku międzygminnego - zarząd związku",IF(B17="",""))))</f>
        <v/>
      </c>
      <c r="B173" s="505"/>
      <c r="C173" s="505"/>
      <c r="D173" s="505"/>
      <c r="E173" s="505"/>
      <c r="F173" s="505"/>
      <c r="G173" s="505"/>
      <c r="H173" s="505"/>
      <c r="I173" s="505"/>
      <c r="J173" s="505"/>
      <c r="K173" s="505"/>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454" t="s">
        <v>976</v>
      </c>
    </row>
    <row r="174" spans="1:41" ht="37.5" customHeight="1" x14ac:dyDescent="0.3">
      <c r="A174" s="460" t="s">
        <v>753</v>
      </c>
      <c r="B174" s="460"/>
      <c r="C174" s="460"/>
      <c r="D174" s="460"/>
      <c r="E174" s="460"/>
      <c r="F174" s="460"/>
      <c r="G174" s="460"/>
      <c r="H174" s="460"/>
      <c r="I174" s="460"/>
      <c r="J174" s="460"/>
      <c r="K174" s="460"/>
      <c r="L174" s="460"/>
      <c r="M174" s="460"/>
      <c r="N174" s="460"/>
      <c r="O174" s="460"/>
      <c r="P174" s="460"/>
      <c r="Q174" s="460"/>
      <c r="R174" s="460"/>
      <c r="S174" s="460"/>
      <c r="T174" s="460"/>
      <c r="U174" s="460"/>
      <c r="V174" s="460"/>
      <c r="W174" s="460"/>
      <c r="X174" s="460"/>
      <c r="Y174" s="460"/>
      <c r="Z174" s="460"/>
      <c r="AA174" s="460"/>
      <c r="AB174" s="460"/>
      <c r="AC174" s="460"/>
      <c r="AD174" s="460"/>
      <c r="AE174" s="460"/>
      <c r="AF174" s="460"/>
      <c r="AG174" s="460"/>
      <c r="AH174" s="460"/>
      <c r="AI174" s="460"/>
      <c r="AJ174" s="460"/>
      <c r="AK174" s="460"/>
      <c r="AL174" s="460"/>
      <c r="AM174" s="455"/>
    </row>
    <row r="175" spans="1:41" s="60" customFormat="1" ht="14.25" customHeight="1" x14ac:dyDescent="0.25">
      <c r="A175" s="449" t="s">
        <v>1148</v>
      </c>
      <c r="B175" s="449"/>
      <c r="C175" s="449"/>
      <c r="D175" s="449"/>
      <c r="E175" s="449"/>
      <c r="F175" s="449"/>
      <c r="G175" s="449"/>
      <c r="H175" s="449"/>
      <c r="I175" s="449"/>
      <c r="J175" s="449"/>
      <c r="K175" s="449"/>
      <c r="L175" s="449"/>
      <c r="M175" s="449"/>
      <c r="N175" s="449"/>
      <c r="O175" s="449"/>
      <c r="P175" s="449"/>
      <c r="Q175" s="449"/>
      <c r="R175" s="449"/>
      <c r="S175" s="449"/>
      <c r="T175" s="449"/>
      <c r="U175" s="449"/>
      <c r="V175" s="449"/>
      <c r="W175" s="449"/>
      <c r="X175" s="449"/>
      <c r="Y175" s="449"/>
      <c r="Z175" s="449"/>
      <c r="AA175" s="449"/>
      <c r="AB175" s="449"/>
      <c r="AC175" s="449"/>
      <c r="AD175" s="449"/>
      <c r="AE175" s="449"/>
      <c r="AF175" s="449"/>
      <c r="AG175" s="449"/>
      <c r="AH175" s="449"/>
      <c r="AI175" s="449"/>
      <c r="AJ175" s="449"/>
      <c r="AK175" s="449"/>
      <c r="AL175" s="449"/>
      <c r="AM175" s="101"/>
    </row>
    <row r="176" spans="1:41" s="60" customFormat="1" ht="14.25" customHeight="1" x14ac:dyDescent="0.25">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c r="W176" s="450"/>
      <c r="X176" s="450"/>
      <c r="Y176" s="450"/>
      <c r="Z176" s="450"/>
      <c r="AA176" s="450"/>
      <c r="AB176" s="450"/>
      <c r="AC176" s="450"/>
      <c r="AD176" s="450"/>
      <c r="AE176" s="450"/>
      <c r="AF176" s="450"/>
      <c r="AG176" s="450"/>
      <c r="AH176" s="450"/>
      <c r="AI176" s="450"/>
      <c r="AJ176" s="450"/>
      <c r="AK176" s="450"/>
      <c r="AL176" s="450"/>
      <c r="AM176" s="101"/>
    </row>
    <row r="177" spans="1:39" s="60" customFormat="1" ht="14.25" customHeight="1" x14ac:dyDescent="0.25">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c r="W177" s="450"/>
      <c r="X177" s="450"/>
      <c r="Y177" s="450"/>
      <c r="Z177" s="450"/>
      <c r="AA177" s="450"/>
      <c r="AB177" s="450"/>
      <c r="AC177" s="450"/>
      <c r="AD177" s="450"/>
      <c r="AE177" s="450"/>
      <c r="AF177" s="450"/>
      <c r="AG177" s="450"/>
      <c r="AH177" s="450"/>
      <c r="AI177" s="450"/>
      <c r="AJ177" s="450"/>
      <c r="AK177" s="450"/>
      <c r="AL177" s="450"/>
      <c r="AM177" s="101"/>
    </row>
    <row r="178" spans="1:39" s="60" customFormat="1" ht="14.25" customHeight="1" x14ac:dyDescent="0.3">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c r="W178" s="450"/>
      <c r="X178" s="450"/>
      <c r="Y178" s="450"/>
      <c r="Z178" s="450"/>
      <c r="AA178" s="450"/>
      <c r="AB178" s="450"/>
      <c r="AC178" s="450"/>
      <c r="AD178" s="450"/>
      <c r="AE178" s="450"/>
      <c r="AF178" s="450"/>
      <c r="AG178" s="450"/>
      <c r="AH178" s="450"/>
      <c r="AI178" s="450"/>
      <c r="AJ178" s="450"/>
      <c r="AK178" s="450"/>
      <c r="AL178" s="450"/>
      <c r="AM178" s="256" t="s">
        <v>1155</v>
      </c>
    </row>
    <row r="179" spans="1:39" s="60" customFormat="1" ht="157.94999999999999" customHeight="1" x14ac:dyDescent="0.25">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c r="W179" s="450"/>
      <c r="X179" s="450"/>
      <c r="Y179" s="450"/>
      <c r="Z179" s="450"/>
      <c r="AA179" s="450"/>
      <c r="AB179" s="450"/>
      <c r="AC179" s="450"/>
      <c r="AD179" s="450"/>
      <c r="AE179" s="450"/>
      <c r="AF179" s="450"/>
      <c r="AG179" s="450"/>
      <c r="AH179" s="450"/>
      <c r="AI179" s="450"/>
      <c r="AJ179" s="450"/>
      <c r="AK179" s="450"/>
      <c r="AL179" s="450"/>
      <c r="AM179" s="255" t="s">
        <v>1156</v>
      </c>
    </row>
    <row r="180" spans="1:39" s="60" customFormat="1" ht="14.25" customHeight="1" x14ac:dyDescent="0.3">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101"/>
    </row>
    <row r="181" spans="1:39" s="60" customFormat="1" ht="14.25" customHeight="1" x14ac:dyDescent="0.3">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101"/>
    </row>
    <row r="182" spans="1:39" s="60" customFormat="1" ht="14.25" customHeight="1" x14ac:dyDescent="0.3">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101"/>
    </row>
    <row r="183" spans="1:39" s="60" customFormat="1" ht="14.25" customHeight="1" x14ac:dyDescent="0.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101"/>
    </row>
    <row r="184" spans="1:39" s="60" customFormat="1" ht="14.25" customHeight="1" x14ac:dyDescent="0.3">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101"/>
    </row>
    <row r="185" spans="1:39" s="60" customFormat="1" ht="14.25" customHeight="1" x14ac:dyDescent="0.3">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101"/>
    </row>
    <row r="186" spans="1:39" s="60" customFormat="1" ht="14.25" customHeight="1" x14ac:dyDescent="0.3">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101"/>
    </row>
    <row r="187" spans="1:39" s="60" customFormat="1" ht="14.25" customHeight="1" x14ac:dyDescent="0.3">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101"/>
    </row>
    <row r="188" spans="1:39" s="60" customFormat="1" ht="14.25" customHeight="1" x14ac:dyDescent="0.3">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101"/>
    </row>
    <row r="189" spans="1:39" s="60" customFormat="1" ht="14.25" customHeight="1" x14ac:dyDescent="0.3">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101"/>
    </row>
    <row r="190" spans="1:39" s="60" customFormat="1" ht="14.25" customHeight="1" x14ac:dyDescent="0.3">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101"/>
    </row>
    <row r="191" spans="1:39" s="60" customFormat="1" ht="14.25" customHeight="1" x14ac:dyDescent="0.3">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101"/>
    </row>
    <row r="192" spans="1:39" s="60" customFormat="1" ht="14.25" customHeight="1" x14ac:dyDescent="0.3">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101"/>
    </row>
    <row r="193" spans="1:39" s="60" customFormat="1" ht="14.25" customHeight="1" x14ac:dyDescent="0.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101"/>
    </row>
    <row r="194" spans="1:39" s="60" customFormat="1" ht="14.25" customHeight="1" x14ac:dyDescent="0.3">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101"/>
    </row>
    <row r="195" spans="1:39" s="60" customFormat="1" ht="14.25" customHeight="1" x14ac:dyDescent="0.3">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101"/>
    </row>
    <row r="196" spans="1:39" s="60" customFormat="1" ht="14.25" customHeight="1" x14ac:dyDescent="0.3">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101"/>
    </row>
    <row r="197" spans="1:39" s="60" customFormat="1" ht="14.25" customHeight="1" x14ac:dyDescent="0.3">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101"/>
    </row>
    <row r="198" spans="1:39" s="60" customFormat="1" ht="14.25" customHeight="1" x14ac:dyDescent="0.3">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101"/>
    </row>
    <row r="199" spans="1:39" s="60" customFormat="1" ht="14.25" customHeight="1" x14ac:dyDescent="0.3">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101"/>
    </row>
    <row r="200" spans="1:39" s="60" customFormat="1" ht="14.25" customHeight="1" x14ac:dyDescent="0.3">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101"/>
    </row>
    <row r="201" spans="1:39" s="60" customFormat="1" ht="14.25" customHeight="1" x14ac:dyDescent="0.3">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101"/>
    </row>
    <row r="202" spans="1:39" s="60" customFormat="1" x14ac:dyDescent="0.3">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101"/>
    </row>
    <row r="203" spans="1:39" s="60" customFormat="1" x14ac:dyDescent="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101"/>
    </row>
    <row r="204" spans="1:39" s="60" customFormat="1" x14ac:dyDescent="0.3">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101"/>
    </row>
    <row r="205" spans="1:39" s="60" customFormat="1" x14ac:dyDescent="0.3">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101"/>
    </row>
    <row r="206" spans="1:39" s="60" customFormat="1" x14ac:dyDescent="0.3">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101"/>
    </row>
    <row r="207" spans="1:39" s="60" customFormat="1" x14ac:dyDescent="0.3">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101"/>
    </row>
    <row r="208" spans="1:39" s="60" customFormat="1" x14ac:dyDescent="0.3">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101"/>
    </row>
    <row r="209" spans="1:39" s="60" customFormat="1" x14ac:dyDescent="0.3">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101"/>
    </row>
    <row r="210" spans="1:39" s="60" customFormat="1" x14ac:dyDescent="0.3">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101"/>
    </row>
    <row r="211" spans="1:39" s="60" customFormat="1" x14ac:dyDescent="0.3">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101"/>
    </row>
    <row r="212" spans="1:39" s="60" customFormat="1" x14ac:dyDescent="0.3">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101"/>
    </row>
    <row r="213" spans="1:39" s="60" customFormat="1" x14ac:dyDescent="0.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101"/>
    </row>
    <row r="214" spans="1:39" s="60" customFormat="1" x14ac:dyDescent="0.3">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101"/>
    </row>
    <row r="215" spans="1:39" s="60" customFormat="1" x14ac:dyDescent="0.3">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101"/>
    </row>
    <row r="216" spans="1:39" s="60" customFormat="1" x14ac:dyDescent="0.3">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101"/>
    </row>
    <row r="217" spans="1:39" s="60" customFormat="1" x14ac:dyDescent="0.3">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101"/>
    </row>
    <row r="218" spans="1:39" s="60" customFormat="1" x14ac:dyDescent="0.3">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101"/>
    </row>
    <row r="219" spans="1:39" s="60" customFormat="1" x14ac:dyDescent="0.3">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101"/>
    </row>
    <row r="220" spans="1:39" s="60" customFormat="1" x14ac:dyDescent="0.3">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101"/>
    </row>
    <row r="221" spans="1:39" s="60" customFormat="1" x14ac:dyDescent="0.3">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101"/>
    </row>
    <row r="222" spans="1:39" s="60" customFormat="1" x14ac:dyDescent="0.3">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101"/>
    </row>
    <row r="223" spans="1:39" s="60" customFormat="1" x14ac:dyDescent="0.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101"/>
    </row>
    <row r="224" spans="1:39" s="60" customFormat="1" x14ac:dyDescent="0.3">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101"/>
    </row>
    <row r="225" spans="1:39" s="60" customFormat="1" x14ac:dyDescent="0.3">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101"/>
    </row>
    <row r="226" spans="1:39" s="60" customFormat="1" x14ac:dyDescent="0.3">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101"/>
    </row>
    <row r="227" spans="1:39" s="60" customFormat="1" x14ac:dyDescent="0.3">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101"/>
    </row>
    <row r="228" spans="1:39" s="60" customFormat="1" x14ac:dyDescent="0.3">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101"/>
    </row>
    <row r="229" spans="1:39" s="60" customFormat="1" x14ac:dyDescent="0.3">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101"/>
    </row>
    <row r="230" spans="1:39" s="60" customFormat="1" x14ac:dyDescent="0.3">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101"/>
    </row>
    <row r="231" spans="1:39" s="60" customFormat="1" x14ac:dyDescent="0.3">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101"/>
    </row>
    <row r="232" spans="1:39" s="60" customFormat="1" x14ac:dyDescent="0.3">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101"/>
    </row>
    <row r="233" spans="1:39" s="60" customFormat="1" x14ac:dyDescent="0.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101"/>
    </row>
    <row r="234" spans="1:39" s="60" customFormat="1" x14ac:dyDescent="0.3">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101"/>
    </row>
    <row r="235" spans="1:39" s="60" customFormat="1" x14ac:dyDescent="0.3">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101"/>
    </row>
    <row r="236" spans="1:39" s="60" customFormat="1" x14ac:dyDescent="0.3">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101"/>
    </row>
    <row r="237" spans="1:39" s="60" customFormat="1" x14ac:dyDescent="0.3">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101"/>
    </row>
    <row r="238" spans="1:39" s="60" customFormat="1" x14ac:dyDescent="0.3">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101"/>
    </row>
    <row r="239" spans="1:39" s="60" customFormat="1" x14ac:dyDescent="0.3">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101"/>
    </row>
    <row r="240" spans="1:39" s="60" customFormat="1" x14ac:dyDescent="0.3">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101"/>
    </row>
    <row r="241" spans="1:39" s="60" customFormat="1" x14ac:dyDescent="0.3">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101"/>
    </row>
    <row r="242" spans="1:39" s="60" customFormat="1" x14ac:dyDescent="0.3">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101"/>
    </row>
    <row r="243" spans="1:39" s="60" customFormat="1" x14ac:dyDescent="0.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101"/>
    </row>
    <row r="244" spans="1:39" s="60" customFormat="1" x14ac:dyDescent="0.3">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101"/>
    </row>
    <row r="245" spans="1:39" s="60" customFormat="1" x14ac:dyDescent="0.3">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101"/>
    </row>
    <row r="246" spans="1:39" s="60" customFormat="1" x14ac:dyDescent="0.3">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101"/>
    </row>
    <row r="247" spans="1:39" s="60" customFormat="1" x14ac:dyDescent="0.3">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101"/>
    </row>
    <row r="248" spans="1:39" s="60" customFormat="1" x14ac:dyDescent="0.3">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101"/>
    </row>
    <row r="249" spans="1:39" s="60" customFormat="1" x14ac:dyDescent="0.3">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101"/>
    </row>
    <row r="250" spans="1:39" s="60" customFormat="1" x14ac:dyDescent="0.3">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101"/>
    </row>
    <row r="251" spans="1:39" s="60" customFormat="1" x14ac:dyDescent="0.3">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101"/>
    </row>
    <row r="252" spans="1:39" s="60" customFormat="1" x14ac:dyDescent="0.3">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101"/>
    </row>
    <row r="253" spans="1:39" s="60" customFormat="1" x14ac:dyDescent="0.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101"/>
    </row>
    <row r="254" spans="1:39" s="60" customFormat="1" x14ac:dyDescent="0.3">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101"/>
    </row>
    <row r="255" spans="1:39" s="60" customFormat="1" x14ac:dyDescent="0.3">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101"/>
    </row>
    <row r="256" spans="1:39" s="60" customFormat="1" x14ac:dyDescent="0.3">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101"/>
    </row>
    <row r="257" spans="1:39" s="60" customFormat="1" x14ac:dyDescent="0.3">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101"/>
    </row>
    <row r="258" spans="1:39" s="60" customFormat="1" x14ac:dyDescent="0.3">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101"/>
    </row>
    <row r="259" spans="1:39" s="60" customFormat="1" x14ac:dyDescent="0.3">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101"/>
    </row>
    <row r="260" spans="1:39" s="60" customFormat="1" x14ac:dyDescent="0.3">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101"/>
    </row>
    <row r="261" spans="1:39" s="60" customFormat="1" x14ac:dyDescent="0.3">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101"/>
    </row>
    <row r="262" spans="1:39" s="60" customFormat="1" x14ac:dyDescent="0.3">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101"/>
    </row>
    <row r="263" spans="1:39" s="60" customFormat="1" x14ac:dyDescent="0.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101"/>
    </row>
    <row r="264" spans="1:39" s="60" customFormat="1" x14ac:dyDescent="0.3">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101"/>
    </row>
    <row r="265" spans="1:39" s="60" customFormat="1" x14ac:dyDescent="0.3">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101"/>
    </row>
    <row r="266" spans="1:39" s="60" customFormat="1" x14ac:dyDescent="0.3">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101"/>
    </row>
    <row r="267" spans="1:39" s="60" customFormat="1" x14ac:dyDescent="0.3">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101"/>
    </row>
    <row r="268" spans="1:39" s="60" customFormat="1" x14ac:dyDescent="0.3">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101"/>
    </row>
    <row r="269" spans="1:39" s="60" customFormat="1" x14ac:dyDescent="0.3">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101"/>
    </row>
    <row r="270" spans="1:39" s="60" customFormat="1" x14ac:dyDescent="0.3">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101"/>
    </row>
    <row r="271" spans="1:39" s="60" customFormat="1" x14ac:dyDescent="0.3">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101"/>
    </row>
    <row r="272" spans="1:39" s="60" customFormat="1" x14ac:dyDescent="0.3">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101"/>
    </row>
    <row r="273" spans="1:39" s="60" customFormat="1" x14ac:dyDescent="0.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101"/>
    </row>
    <row r="274" spans="1:39" s="60" customFormat="1" x14ac:dyDescent="0.3">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101"/>
    </row>
    <row r="275" spans="1:39" s="60" customFormat="1" x14ac:dyDescent="0.3">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101"/>
    </row>
    <row r="276" spans="1:39" s="60" customFormat="1" x14ac:dyDescent="0.3">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101"/>
    </row>
    <row r="277" spans="1:39" s="60" customFormat="1" x14ac:dyDescent="0.3">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101"/>
    </row>
    <row r="278" spans="1:39" s="60" customFormat="1" x14ac:dyDescent="0.3">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101"/>
    </row>
    <row r="279" spans="1:39" s="60" customFormat="1" x14ac:dyDescent="0.3">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101"/>
    </row>
    <row r="280" spans="1:39" s="60" customFormat="1" x14ac:dyDescent="0.3">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101"/>
    </row>
    <row r="281" spans="1:39" s="60" customFormat="1" x14ac:dyDescent="0.3">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101"/>
    </row>
    <row r="282" spans="1:39" s="60" customFormat="1" x14ac:dyDescent="0.3">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101"/>
    </row>
    <row r="283" spans="1:39" s="60" customFormat="1" x14ac:dyDescent="0.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101"/>
    </row>
    <row r="284" spans="1:39" s="60" customFormat="1" x14ac:dyDescent="0.3">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101"/>
    </row>
    <row r="285" spans="1:39" s="60" customFormat="1" x14ac:dyDescent="0.3">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101"/>
    </row>
    <row r="286" spans="1:39" s="60" customFormat="1" x14ac:dyDescent="0.3">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101"/>
    </row>
    <row r="287" spans="1:39" s="60" customFormat="1" x14ac:dyDescent="0.3">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101"/>
    </row>
    <row r="288" spans="1:39" s="60" customFormat="1" x14ac:dyDescent="0.3">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101"/>
    </row>
    <row r="289" spans="1:39" s="60" customFormat="1" x14ac:dyDescent="0.3">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101"/>
    </row>
    <row r="290" spans="1:39" s="60" customFormat="1" x14ac:dyDescent="0.3">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101"/>
    </row>
    <row r="291" spans="1:39" s="60" customFormat="1" x14ac:dyDescent="0.3">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101"/>
    </row>
    <row r="292" spans="1:39" s="60" customFormat="1" x14ac:dyDescent="0.3">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101"/>
    </row>
    <row r="293" spans="1:39" s="60" customFormat="1" x14ac:dyDescent="0.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101"/>
    </row>
    <row r="294" spans="1:39" s="60" customFormat="1" x14ac:dyDescent="0.3">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101"/>
    </row>
    <row r="295" spans="1:39" s="60" customFormat="1" x14ac:dyDescent="0.3">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101"/>
    </row>
    <row r="296" spans="1:39" s="60" customFormat="1" x14ac:dyDescent="0.3">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101"/>
    </row>
    <row r="297" spans="1:39" s="60" customFormat="1" x14ac:dyDescent="0.3">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101"/>
    </row>
    <row r="298" spans="1:39" s="60" customFormat="1" x14ac:dyDescent="0.3">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101"/>
    </row>
    <row r="299" spans="1:39" s="60" customFormat="1" x14ac:dyDescent="0.3">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101"/>
    </row>
    <row r="300" spans="1:39" s="60" customFormat="1" x14ac:dyDescent="0.3">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101"/>
    </row>
    <row r="301" spans="1:39" s="60" customFormat="1" x14ac:dyDescent="0.3">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101"/>
    </row>
    <row r="302" spans="1:39" s="60" customFormat="1" x14ac:dyDescent="0.3">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101"/>
    </row>
    <row r="303" spans="1:39" s="60" customFormat="1" x14ac:dyDescent="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101"/>
    </row>
    <row r="304" spans="1:39" s="60" customFormat="1" x14ac:dyDescent="0.3">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101"/>
    </row>
    <row r="305" spans="1:39" s="60" customFormat="1" x14ac:dyDescent="0.3">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101"/>
    </row>
    <row r="306" spans="1:39" s="60" customFormat="1" x14ac:dyDescent="0.3">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101"/>
    </row>
    <row r="307" spans="1:39" s="60" customFormat="1" x14ac:dyDescent="0.3">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101"/>
    </row>
    <row r="308" spans="1:39" s="60" customFormat="1" x14ac:dyDescent="0.3">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101"/>
    </row>
    <row r="309" spans="1:39" s="60" customFormat="1" x14ac:dyDescent="0.3">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101"/>
    </row>
    <row r="310" spans="1:39" s="60" customFormat="1" x14ac:dyDescent="0.3">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101"/>
    </row>
    <row r="311" spans="1:39" s="60" customFormat="1" x14ac:dyDescent="0.3">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101"/>
    </row>
    <row r="312" spans="1:39" s="60" customFormat="1" x14ac:dyDescent="0.3">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101"/>
    </row>
    <row r="313" spans="1:39" s="60" customFormat="1" x14ac:dyDescent="0.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101"/>
    </row>
    <row r="314" spans="1:39" s="60" customFormat="1" x14ac:dyDescent="0.3">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101"/>
    </row>
    <row r="315" spans="1:39" s="60" customFormat="1" x14ac:dyDescent="0.3">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101"/>
    </row>
    <row r="316" spans="1:39" s="60" customFormat="1" x14ac:dyDescent="0.3">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101"/>
    </row>
    <row r="317" spans="1:39" s="60" customFormat="1" x14ac:dyDescent="0.3">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101"/>
    </row>
    <row r="318" spans="1:39" s="60" customFormat="1" x14ac:dyDescent="0.3">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101"/>
    </row>
    <row r="319" spans="1:39" s="60" customFormat="1" x14ac:dyDescent="0.3">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101"/>
    </row>
    <row r="320" spans="1:39" s="60" customFormat="1" x14ac:dyDescent="0.3">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101"/>
    </row>
    <row r="321" spans="1:39" s="60" customFormat="1" x14ac:dyDescent="0.3">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101"/>
    </row>
    <row r="322" spans="1:39" s="60" customFormat="1" x14ac:dyDescent="0.3">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101"/>
    </row>
    <row r="323" spans="1:39" s="60" customFormat="1" x14ac:dyDescent="0.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101"/>
    </row>
    <row r="324" spans="1:39" s="60" customFormat="1" x14ac:dyDescent="0.3">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101"/>
    </row>
    <row r="325" spans="1:39" s="60" customFormat="1" x14ac:dyDescent="0.3">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101"/>
    </row>
    <row r="326" spans="1:39" s="60" customFormat="1" x14ac:dyDescent="0.3">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101"/>
    </row>
    <row r="327" spans="1:39" s="60" customFormat="1" x14ac:dyDescent="0.3">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101"/>
    </row>
    <row r="328" spans="1:39" s="60" customFormat="1" x14ac:dyDescent="0.3">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101"/>
    </row>
    <row r="329" spans="1:39" s="60" customFormat="1" x14ac:dyDescent="0.3">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101"/>
    </row>
    <row r="330" spans="1:39" s="60" customFormat="1" x14ac:dyDescent="0.3">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101"/>
    </row>
    <row r="331" spans="1:39" s="60" customFormat="1" x14ac:dyDescent="0.3">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101"/>
    </row>
    <row r="332" spans="1:39" s="60" customFormat="1" x14ac:dyDescent="0.3">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101"/>
    </row>
    <row r="333" spans="1:39" s="60" customFormat="1" x14ac:dyDescent="0.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101"/>
    </row>
    <row r="334" spans="1:39" s="60" customFormat="1" x14ac:dyDescent="0.3">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101"/>
    </row>
    <row r="335" spans="1:39" s="60" customFormat="1" x14ac:dyDescent="0.3">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101"/>
    </row>
    <row r="336" spans="1:39" s="60" customFormat="1" x14ac:dyDescent="0.3">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101"/>
    </row>
    <row r="337" spans="1:39" s="60" customFormat="1" x14ac:dyDescent="0.3">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101"/>
    </row>
    <row r="338" spans="1:39" s="60" customFormat="1" x14ac:dyDescent="0.3">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101"/>
    </row>
    <row r="339" spans="1:39" s="60" customFormat="1" x14ac:dyDescent="0.3">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101"/>
    </row>
    <row r="340" spans="1:39" s="60" customFormat="1" x14ac:dyDescent="0.3">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101"/>
    </row>
    <row r="341" spans="1:39" s="60" customFormat="1" x14ac:dyDescent="0.3">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101"/>
    </row>
    <row r="342" spans="1:39" s="60" customFormat="1" x14ac:dyDescent="0.3">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101"/>
    </row>
    <row r="343" spans="1:39" s="60" customFormat="1" x14ac:dyDescent="0.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101"/>
    </row>
    <row r="344" spans="1:39" s="60" customFormat="1" x14ac:dyDescent="0.3">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101"/>
    </row>
    <row r="345" spans="1:39" s="60" customFormat="1" x14ac:dyDescent="0.3">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101"/>
    </row>
    <row r="346" spans="1:39" s="60" customFormat="1" x14ac:dyDescent="0.3">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101"/>
    </row>
    <row r="347" spans="1:39" s="60" customFormat="1" x14ac:dyDescent="0.3">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101"/>
    </row>
    <row r="348" spans="1:39" s="60" customFormat="1" x14ac:dyDescent="0.3">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101"/>
    </row>
    <row r="349" spans="1:39" s="60" customFormat="1" x14ac:dyDescent="0.3">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101"/>
    </row>
    <row r="350" spans="1:39" s="60" customFormat="1" x14ac:dyDescent="0.3">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101"/>
    </row>
    <row r="351" spans="1:39" s="60" customFormat="1" x14ac:dyDescent="0.3">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101"/>
    </row>
    <row r="352" spans="1:39" s="60" customFormat="1" x14ac:dyDescent="0.3">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101"/>
    </row>
    <row r="353" spans="1:39" s="60" customFormat="1" x14ac:dyDescent="0.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101"/>
    </row>
    <row r="354" spans="1:39" s="60" customFormat="1" x14ac:dyDescent="0.3">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101"/>
    </row>
    <row r="355" spans="1:39" s="60" customFormat="1" x14ac:dyDescent="0.3">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101"/>
    </row>
    <row r="356" spans="1:39" s="60" customFormat="1" x14ac:dyDescent="0.3">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101"/>
    </row>
    <row r="357" spans="1:39" s="60" customFormat="1" x14ac:dyDescent="0.3">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101"/>
    </row>
    <row r="358" spans="1:39" s="60" customFormat="1" x14ac:dyDescent="0.3">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101"/>
    </row>
    <row r="359" spans="1:39" s="60" customFormat="1" x14ac:dyDescent="0.3">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101"/>
    </row>
    <row r="360" spans="1:39" s="60" customFormat="1" x14ac:dyDescent="0.3">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101"/>
    </row>
    <row r="361" spans="1:39" s="60" customFormat="1" x14ac:dyDescent="0.3">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101"/>
    </row>
    <row r="362" spans="1:39" s="60" customFormat="1" x14ac:dyDescent="0.3">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101"/>
    </row>
    <row r="363" spans="1:39" s="60" customFormat="1" x14ac:dyDescent="0.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101"/>
    </row>
    <row r="364" spans="1:39" s="60" customFormat="1" x14ac:dyDescent="0.3">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101"/>
    </row>
    <row r="365" spans="1:39" s="60" customFormat="1" x14ac:dyDescent="0.3">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101"/>
    </row>
    <row r="366" spans="1:39" s="60" customFormat="1" x14ac:dyDescent="0.3">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101"/>
    </row>
    <row r="367" spans="1:39" s="60" customFormat="1" x14ac:dyDescent="0.3">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101"/>
    </row>
    <row r="368" spans="1:39" s="60" customFormat="1" x14ac:dyDescent="0.3">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101"/>
    </row>
    <row r="369" spans="1:39" s="60" customFormat="1" x14ac:dyDescent="0.3">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101"/>
    </row>
    <row r="370" spans="1:39" s="60" customFormat="1" x14ac:dyDescent="0.3">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101"/>
    </row>
    <row r="371" spans="1:39" s="60" customFormat="1" x14ac:dyDescent="0.3">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101"/>
    </row>
    <row r="372" spans="1:39" s="60" customFormat="1" x14ac:dyDescent="0.3">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101"/>
    </row>
    <row r="373" spans="1:39" s="60" customFormat="1" x14ac:dyDescent="0.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101"/>
    </row>
    <row r="374" spans="1:39" s="60" customFormat="1" x14ac:dyDescent="0.3">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101"/>
    </row>
    <row r="375" spans="1:39" s="60" customFormat="1" x14ac:dyDescent="0.3">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101"/>
    </row>
    <row r="376" spans="1:39" s="60" customFormat="1" x14ac:dyDescent="0.3">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101"/>
    </row>
    <row r="377" spans="1:39" s="60" customFormat="1" x14ac:dyDescent="0.3">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101"/>
    </row>
    <row r="378" spans="1:39" s="60" customFormat="1" x14ac:dyDescent="0.3">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101"/>
    </row>
    <row r="379" spans="1:39" s="60" customFormat="1" x14ac:dyDescent="0.3">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101"/>
    </row>
    <row r="380" spans="1:39" s="60" customFormat="1" x14ac:dyDescent="0.3">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101"/>
    </row>
    <row r="381" spans="1:39" s="60" customFormat="1" x14ac:dyDescent="0.3">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101"/>
    </row>
    <row r="382" spans="1:39" s="60" customFormat="1" x14ac:dyDescent="0.3">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101"/>
    </row>
    <row r="383" spans="1:39" s="60" customFormat="1" x14ac:dyDescent="0.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101"/>
    </row>
    <row r="384" spans="1:39" s="60" customFormat="1" x14ac:dyDescent="0.3">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101"/>
    </row>
    <row r="385" spans="1:39" s="60" customFormat="1" x14ac:dyDescent="0.3">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101"/>
    </row>
    <row r="386" spans="1:39" s="60" customFormat="1" x14ac:dyDescent="0.3">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101"/>
    </row>
    <row r="387" spans="1:39" s="60" customFormat="1" x14ac:dyDescent="0.3">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101"/>
    </row>
    <row r="388" spans="1:39" s="60" customFormat="1" x14ac:dyDescent="0.3">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101"/>
    </row>
    <row r="389" spans="1:39" s="60" customFormat="1" x14ac:dyDescent="0.3">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101"/>
    </row>
    <row r="390" spans="1:39" s="60" customFormat="1" x14ac:dyDescent="0.3">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101"/>
    </row>
    <row r="391" spans="1:39" s="60" customFormat="1" x14ac:dyDescent="0.3">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101"/>
    </row>
    <row r="392" spans="1:39" s="60" customFormat="1" x14ac:dyDescent="0.3">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101"/>
    </row>
    <row r="393" spans="1:39" s="60" customFormat="1" x14ac:dyDescent="0.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101"/>
    </row>
    <row r="394" spans="1:39" s="60" customFormat="1" x14ac:dyDescent="0.3">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101"/>
    </row>
    <row r="395" spans="1:39" s="60" customFormat="1" x14ac:dyDescent="0.3">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101"/>
    </row>
    <row r="396" spans="1:39" s="60" customFormat="1" x14ac:dyDescent="0.3">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101"/>
    </row>
    <row r="397" spans="1:39" s="60" customFormat="1" x14ac:dyDescent="0.3">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101"/>
    </row>
    <row r="398" spans="1:39" s="60" customFormat="1" x14ac:dyDescent="0.3">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101"/>
    </row>
    <row r="399" spans="1:39" s="60" customFormat="1" x14ac:dyDescent="0.3">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101"/>
    </row>
    <row r="400" spans="1:39" s="60" customFormat="1" x14ac:dyDescent="0.3">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101"/>
    </row>
    <row r="401" spans="1:39" s="60" customFormat="1" x14ac:dyDescent="0.3">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101"/>
    </row>
    <row r="402" spans="1:39" s="60" customFormat="1" x14ac:dyDescent="0.3">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101"/>
    </row>
    <row r="403" spans="1:39" s="60" customFormat="1" x14ac:dyDescent="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101"/>
    </row>
    <row r="404" spans="1:39" s="60" customFormat="1" x14ac:dyDescent="0.3">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101"/>
    </row>
    <row r="405" spans="1:39" s="60" customFormat="1" x14ac:dyDescent="0.3">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101"/>
    </row>
    <row r="406" spans="1:39" s="60" customFormat="1" x14ac:dyDescent="0.3">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101"/>
    </row>
    <row r="407" spans="1:39" s="60" customFormat="1" x14ac:dyDescent="0.3">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101"/>
    </row>
    <row r="408" spans="1:39" s="60" customFormat="1" x14ac:dyDescent="0.3">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101"/>
    </row>
    <row r="409" spans="1:39" s="60" customFormat="1" x14ac:dyDescent="0.3">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101"/>
    </row>
    <row r="410" spans="1:39" s="60" customFormat="1" x14ac:dyDescent="0.3">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101"/>
    </row>
    <row r="411" spans="1:39" s="60" customFormat="1" x14ac:dyDescent="0.3">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101"/>
    </row>
    <row r="412" spans="1:39" s="60" customFormat="1" x14ac:dyDescent="0.3">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101"/>
    </row>
    <row r="413" spans="1:39" s="60" customFormat="1" x14ac:dyDescent="0.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101"/>
    </row>
    <row r="414" spans="1:39" s="60" customFormat="1" x14ac:dyDescent="0.3">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101"/>
    </row>
    <row r="415" spans="1:39" s="60" customFormat="1" x14ac:dyDescent="0.3">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101"/>
    </row>
    <row r="416" spans="1:39" s="60" customFormat="1" x14ac:dyDescent="0.3">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101"/>
    </row>
    <row r="417" spans="1:39" s="60" customFormat="1" x14ac:dyDescent="0.3">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101"/>
    </row>
    <row r="418" spans="1:39" s="60" customFormat="1" x14ac:dyDescent="0.3">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101"/>
    </row>
    <row r="419" spans="1:39" s="60" customFormat="1" x14ac:dyDescent="0.3">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101"/>
    </row>
    <row r="420" spans="1:39" s="60" customFormat="1" x14ac:dyDescent="0.3">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101"/>
    </row>
    <row r="421" spans="1:39" s="60" customFormat="1" x14ac:dyDescent="0.3">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101"/>
    </row>
    <row r="422" spans="1:39" s="60" customFormat="1" x14ac:dyDescent="0.3">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101"/>
    </row>
    <row r="423" spans="1:39" s="60" customFormat="1" x14ac:dyDescent="0.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101"/>
    </row>
    <row r="424" spans="1:39" s="60" customFormat="1" x14ac:dyDescent="0.3">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101"/>
    </row>
    <row r="425" spans="1:39" s="60" customFormat="1" x14ac:dyDescent="0.3">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101"/>
    </row>
    <row r="426" spans="1:39" s="60" customFormat="1" x14ac:dyDescent="0.3">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101"/>
    </row>
    <row r="427" spans="1:39" s="60" customFormat="1" x14ac:dyDescent="0.3">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101"/>
    </row>
    <row r="428" spans="1:39" s="60" customFormat="1" x14ac:dyDescent="0.3">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101"/>
    </row>
    <row r="429" spans="1:39" s="60" customFormat="1" x14ac:dyDescent="0.3">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101"/>
    </row>
    <row r="430" spans="1:39" s="60" customFormat="1" x14ac:dyDescent="0.3">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101"/>
    </row>
    <row r="431" spans="1:39" s="60" customFormat="1" x14ac:dyDescent="0.3">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101"/>
    </row>
    <row r="432" spans="1:39" s="60" customFormat="1" x14ac:dyDescent="0.3">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101"/>
    </row>
    <row r="433" spans="1:39" s="60" customFormat="1" x14ac:dyDescent="0.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101"/>
    </row>
    <row r="434" spans="1:39" s="60" customFormat="1" x14ac:dyDescent="0.3">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101"/>
    </row>
    <row r="435" spans="1:39" s="60" customFormat="1" x14ac:dyDescent="0.3">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101"/>
    </row>
  </sheetData>
  <sheetProtection algorithmName="SHA-512" hashValue="+ZvEmHWg9+MHk72ypOTg+uQTUBcQVwI5P7ospZMAu/uCn2C+pig2cGqGHfP/y0EkEcxovLAUmfIKxEtlVvc6Wg==" saltValue="cQ4YzoRac1tXOCjbMdmrRw==" spinCount="100000" sheet="1" formatRows="0" insertRows="0"/>
  <mergeCells count="478">
    <mergeCell ref="A1:AL1"/>
    <mergeCell ref="AM173:AM174"/>
    <mergeCell ref="B21:AL21"/>
    <mergeCell ref="A138:AL138"/>
    <mergeCell ref="A96:AL96"/>
    <mergeCell ref="A95:AL95"/>
    <mergeCell ref="A93:AL93"/>
    <mergeCell ref="X88:AJ88"/>
    <mergeCell ref="X89:AJ89"/>
    <mergeCell ref="X90:AJ90"/>
    <mergeCell ref="Q87:W87"/>
    <mergeCell ref="Q84:W84"/>
    <mergeCell ref="Q85:W85"/>
    <mergeCell ref="Q86:W86"/>
    <mergeCell ref="X85:AJ85"/>
    <mergeCell ref="X86:AJ86"/>
    <mergeCell ref="X87:AJ87"/>
    <mergeCell ref="AH136:AJ136"/>
    <mergeCell ref="AK136:AL136"/>
    <mergeCell ref="AA137:AG137"/>
    <mergeCell ref="AH137:AJ137"/>
    <mergeCell ref="AK137:AL137"/>
    <mergeCell ref="P136:V136"/>
    <mergeCell ref="B85:J85"/>
    <mergeCell ref="K85:P85"/>
    <mergeCell ref="AK85:AL85"/>
    <mergeCell ref="B86:J86"/>
    <mergeCell ref="K86:P86"/>
    <mergeCell ref="AK86:AL86"/>
    <mergeCell ref="B83:J83"/>
    <mergeCell ref="AK89:AL89"/>
    <mergeCell ref="B90:J90"/>
    <mergeCell ref="K90:P90"/>
    <mergeCell ref="AK90:AL90"/>
    <mergeCell ref="B87:J87"/>
    <mergeCell ref="K87:P87"/>
    <mergeCell ref="AK87:AL87"/>
    <mergeCell ref="B88:J88"/>
    <mergeCell ref="K88:P88"/>
    <mergeCell ref="AK88:AL88"/>
    <mergeCell ref="AH113:AJ113"/>
    <mergeCell ref="AK113:AL113"/>
    <mergeCell ref="P113:V113"/>
    <mergeCell ref="A102:AL102"/>
    <mergeCell ref="A103:AL103"/>
    <mergeCell ref="A104:AL104"/>
    <mergeCell ref="A105:AL105"/>
    <mergeCell ref="A106:AL106"/>
    <mergeCell ref="W113:Z113"/>
    <mergeCell ref="A107:AL107"/>
    <mergeCell ref="A108:AL108"/>
    <mergeCell ref="A109:AI109"/>
    <mergeCell ref="AJ109:AL109"/>
    <mergeCell ref="A112:AL112"/>
    <mergeCell ref="B113:F113"/>
    <mergeCell ref="G113:K113"/>
    <mergeCell ref="L113:O113"/>
    <mergeCell ref="AA113:AG113"/>
    <mergeCell ref="A110:AL110"/>
    <mergeCell ref="A111:AL111"/>
    <mergeCell ref="AM95:AV95"/>
    <mergeCell ref="Q90:W90"/>
    <mergeCell ref="Q88:W88"/>
    <mergeCell ref="Q89:W89"/>
    <mergeCell ref="A92:AL92"/>
    <mergeCell ref="A94:AL94"/>
    <mergeCell ref="B78:J78"/>
    <mergeCell ref="K78:P78"/>
    <mergeCell ref="AK78:AL78"/>
    <mergeCell ref="Q79:W79"/>
    <mergeCell ref="Q80:W80"/>
    <mergeCell ref="K83:P83"/>
    <mergeCell ref="AK83:AL83"/>
    <mergeCell ref="B84:J84"/>
    <mergeCell ref="K84:P84"/>
    <mergeCell ref="AK84:AL84"/>
    <mergeCell ref="B81:J81"/>
    <mergeCell ref="K81:P81"/>
    <mergeCell ref="AK81:AL81"/>
    <mergeCell ref="B82:J82"/>
    <mergeCell ref="K82:P82"/>
    <mergeCell ref="AK82:AL82"/>
    <mergeCell ref="Q82:W82"/>
    <mergeCell ref="Q83:W83"/>
    <mergeCell ref="Q71:W71"/>
    <mergeCell ref="Q72:W72"/>
    <mergeCell ref="Q78:W78"/>
    <mergeCell ref="Q76:W76"/>
    <mergeCell ref="AK79:AL79"/>
    <mergeCell ref="B80:J80"/>
    <mergeCell ref="K80:P80"/>
    <mergeCell ref="X84:AJ84"/>
    <mergeCell ref="X76:AJ76"/>
    <mergeCell ref="X77:AJ77"/>
    <mergeCell ref="X78:AJ78"/>
    <mergeCell ref="X79:AJ79"/>
    <mergeCell ref="X80:AJ80"/>
    <mergeCell ref="X82:AJ82"/>
    <mergeCell ref="X83:AJ83"/>
    <mergeCell ref="Q77:W77"/>
    <mergeCell ref="Q75:W75"/>
    <mergeCell ref="X71:AJ71"/>
    <mergeCell ref="X72:AJ72"/>
    <mergeCell ref="X73:AJ73"/>
    <mergeCell ref="X74:AJ74"/>
    <mergeCell ref="X75:AJ75"/>
    <mergeCell ref="Q81:W81"/>
    <mergeCell ref="X81:AJ81"/>
    <mergeCell ref="A156:AL156"/>
    <mergeCell ref="A143:AL143"/>
    <mergeCell ref="A144:AL144"/>
    <mergeCell ref="A145:AL145"/>
    <mergeCell ref="A155:AL155"/>
    <mergeCell ref="A146:AL146"/>
    <mergeCell ref="A147:AL147"/>
    <mergeCell ref="A148:AL148"/>
    <mergeCell ref="A149:AL149"/>
    <mergeCell ref="A150:AL150"/>
    <mergeCell ref="A151:AL151"/>
    <mergeCell ref="A152:AL152"/>
    <mergeCell ref="A153:AL153"/>
    <mergeCell ref="A154:AL154"/>
    <mergeCell ref="A157:AL157"/>
    <mergeCell ref="A171:AL171"/>
    <mergeCell ref="A173:AL173"/>
    <mergeCell ref="A174:AL174"/>
    <mergeCell ref="A175:AL179"/>
    <mergeCell ref="A167:AL167"/>
    <mergeCell ref="A168:AL168"/>
    <mergeCell ref="A163:AL163"/>
    <mergeCell ref="A164:AL164"/>
    <mergeCell ref="A161:AL161"/>
    <mergeCell ref="A162:AL162"/>
    <mergeCell ref="A158:AL158"/>
    <mergeCell ref="A159:S159"/>
    <mergeCell ref="T159:AL159"/>
    <mergeCell ref="A160:S160"/>
    <mergeCell ref="T160:AL160"/>
    <mergeCell ref="A169:AL169"/>
    <mergeCell ref="A172:AL172"/>
    <mergeCell ref="A165:AL165"/>
    <mergeCell ref="A166:AL166"/>
    <mergeCell ref="A170:AL170"/>
    <mergeCell ref="B139:S139"/>
    <mergeCell ref="T139:AJ139"/>
    <mergeCell ref="A142:AL142"/>
    <mergeCell ref="B137:O137"/>
    <mergeCell ref="P137:V137"/>
    <mergeCell ref="W137:Z137"/>
    <mergeCell ref="AA135:AG135"/>
    <mergeCell ref="AH135:AJ135"/>
    <mergeCell ref="AK135:AL135"/>
    <mergeCell ref="B140:S140"/>
    <mergeCell ref="T140:AJ140"/>
    <mergeCell ref="B141:S141"/>
    <mergeCell ref="T141:AJ141"/>
    <mergeCell ref="B136:F136"/>
    <mergeCell ref="G136:K136"/>
    <mergeCell ref="B134:F134"/>
    <mergeCell ref="G134:K134"/>
    <mergeCell ref="L134:O134"/>
    <mergeCell ref="AA134:AG134"/>
    <mergeCell ref="P134:V134"/>
    <mergeCell ref="W134:Z134"/>
    <mergeCell ref="P135:V135"/>
    <mergeCell ref="W135:Z135"/>
    <mergeCell ref="AA136:AG136"/>
    <mergeCell ref="L136:O136"/>
    <mergeCell ref="W136:Z136"/>
    <mergeCell ref="L133:O133"/>
    <mergeCell ref="AA133:AG133"/>
    <mergeCell ref="AH133:AJ133"/>
    <mergeCell ref="AK133:AL133"/>
    <mergeCell ref="B132:F132"/>
    <mergeCell ref="G132:K132"/>
    <mergeCell ref="L132:O132"/>
    <mergeCell ref="AA132:AG132"/>
    <mergeCell ref="P132:V132"/>
    <mergeCell ref="W132:Z132"/>
    <mergeCell ref="P133:V133"/>
    <mergeCell ref="W133:Z133"/>
    <mergeCell ref="AH132:AJ132"/>
    <mergeCell ref="AH134:AJ134"/>
    <mergeCell ref="AK134:AL134"/>
    <mergeCell ref="B135:F135"/>
    <mergeCell ref="G135:K135"/>
    <mergeCell ref="L135:O135"/>
    <mergeCell ref="AK130:AL130"/>
    <mergeCell ref="B131:F131"/>
    <mergeCell ref="G131:K131"/>
    <mergeCell ref="L131:O131"/>
    <mergeCell ref="AA131:AG131"/>
    <mergeCell ref="AH131:AJ131"/>
    <mergeCell ref="AK131:AL131"/>
    <mergeCell ref="B130:F130"/>
    <mergeCell ref="G130:K130"/>
    <mergeCell ref="L130:O130"/>
    <mergeCell ref="AA130:AG130"/>
    <mergeCell ref="P130:V130"/>
    <mergeCell ref="W130:Z130"/>
    <mergeCell ref="P131:V131"/>
    <mergeCell ref="W131:Z131"/>
    <mergeCell ref="AH130:AJ130"/>
    <mergeCell ref="AK132:AL132"/>
    <mergeCell ref="B133:F133"/>
    <mergeCell ref="G133:K133"/>
    <mergeCell ref="AK128:AL128"/>
    <mergeCell ref="B129:F129"/>
    <mergeCell ref="G129:K129"/>
    <mergeCell ref="L129:O129"/>
    <mergeCell ref="AA129:AG129"/>
    <mergeCell ref="AH129:AJ129"/>
    <mergeCell ref="AK129:AL129"/>
    <mergeCell ref="B128:F128"/>
    <mergeCell ref="G128:K128"/>
    <mergeCell ref="L128:O128"/>
    <mergeCell ref="AA128:AG128"/>
    <mergeCell ref="P128:V128"/>
    <mergeCell ref="W128:Z128"/>
    <mergeCell ref="P129:V129"/>
    <mergeCell ref="W129:Z129"/>
    <mergeCell ref="AH128:AJ128"/>
    <mergeCell ref="AK126:AL126"/>
    <mergeCell ref="B127:F127"/>
    <mergeCell ref="G127:K127"/>
    <mergeCell ref="L127:O127"/>
    <mergeCell ref="AA127:AG127"/>
    <mergeCell ref="AH127:AJ127"/>
    <mergeCell ref="AK127:AL127"/>
    <mergeCell ref="B126:F126"/>
    <mergeCell ref="G126:K126"/>
    <mergeCell ref="L126:O126"/>
    <mergeCell ref="AA126:AG126"/>
    <mergeCell ref="P127:V127"/>
    <mergeCell ref="W127:Z127"/>
    <mergeCell ref="P126:V126"/>
    <mergeCell ref="W126:Z126"/>
    <mergeCell ref="AH126:AJ126"/>
    <mergeCell ref="AK124:AL124"/>
    <mergeCell ref="B125:F125"/>
    <mergeCell ref="G125:K125"/>
    <mergeCell ref="L125:O125"/>
    <mergeCell ref="AA125:AG125"/>
    <mergeCell ref="AH125:AJ125"/>
    <mergeCell ref="AK125:AL125"/>
    <mergeCell ref="B124:F124"/>
    <mergeCell ref="G124:K124"/>
    <mergeCell ref="L124:O124"/>
    <mergeCell ref="AA124:AG124"/>
    <mergeCell ref="P124:V124"/>
    <mergeCell ref="W124:Z124"/>
    <mergeCell ref="P125:V125"/>
    <mergeCell ref="W125:Z125"/>
    <mergeCell ref="AH124:AJ124"/>
    <mergeCell ref="AK122:AL122"/>
    <mergeCell ref="B123:F123"/>
    <mergeCell ref="G123:K123"/>
    <mergeCell ref="L123:O123"/>
    <mergeCell ref="AA123:AG123"/>
    <mergeCell ref="AH123:AJ123"/>
    <mergeCell ref="AK123:AL123"/>
    <mergeCell ref="B122:F122"/>
    <mergeCell ref="G122:K122"/>
    <mergeCell ref="L122:O122"/>
    <mergeCell ref="AA122:AG122"/>
    <mergeCell ref="P122:V122"/>
    <mergeCell ref="W122:Z122"/>
    <mergeCell ref="P123:V123"/>
    <mergeCell ref="W123:Z123"/>
    <mergeCell ref="AH122:AJ122"/>
    <mergeCell ref="AK120:AL120"/>
    <mergeCell ref="B121:F121"/>
    <mergeCell ref="G121:K121"/>
    <mergeCell ref="L121:O121"/>
    <mergeCell ref="AA121:AG121"/>
    <mergeCell ref="AH121:AJ121"/>
    <mergeCell ref="AK121:AL121"/>
    <mergeCell ref="B120:F120"/>
    <mergeCell ref="G120:K120"/>
    <mergeCell ref="L120:O120"/>
    <mergeCell ref="AA120:AG120"/>
    <mergeCell ref="P120:V120"/>
    <mergeCell ref="W120:Z120"/>
    <mergeCell ref="P121:V121"/>
    <mergeCell ref="W121:Z121"/>
    <mergeCell ref="AH120:AJ120"/>
    <mergeCell ref="AK118:AL118"/>
    <mergeCell ref="B119:F119"/>
    <mergeCell ref="G119:K119"/>
    <mergeCell ref="L119:O119"/>
    <mergeCell ref="AA119:AG119"/>
    <mergeCell ref="AH119:AJ119"/>
    <mergeCell ref="AK119:AL119"/>
    <mergeCell ref="B118:F118"/>
    <mergeCell ref="G118:K118"/>
    <mergeCell ref="L118:O118"/>
    <mergeCell ref="AA118:AG118"/>
    <mergeCell ref="P118:V118"/>
    <mergeCell ref="W118:Z118"/>
    <mergeCell ref="P119:V119"/>
    <mergeCell ref="W119:Z119"/>
    <mergeCell ref="AH118:AJ118"/>
    <mergeCell ref="AK116:AL116"/>
    <mergeCell ref="B117:F117"/>
    <mergeCell ref="G117:K117"/>
    <mergeCell ref="L117:O117"/>
    <mergeCell ref="AA117:AG117"/>
    <mergeCell ref="AH117:AJ117"/>
    <mergeCell ref="AK117:AL117"/>
    <mergeCell ref="B116:F116"/>
    <mergeCell ref="G116:K116"/>
    <mergeCell ref="L116:O116"/>
    <mergeCell ref="AA116:AG116"/>
    <mergeCell ref="P116:V116"/>
    <mergeCell ref="W116:Z116"/>
    <mergeCell ref="P117:V117"/>
    <mergeCell ref="W117:Z117"/>
    <mergeCell ref="AH116:AJ116"/>
    <mergeCell ref="AK114:AL114"/>
    <mergeCell ref="B115:F115"/>
    <mergeCell ref="G115:K115"/>
    <mergeCell ref="L115:O115"/>
    <mergeCell ref="AA115:AG115"/>
    <mergeCell ref="AH115:AJ115"/>
    <mergeCell ref="AK115:AL115"/>
    <mergeCell ref="B114:F114"/>
    <mergeCell ref="G114:K114"/>
    <mergeCell ref="L114:O114"/>
    <mergeCell ref="AA114:AG114"/>
    <mergeCell ref="P114:V114"/>
    <mergeCell ref="W114:Z114"/>
    <mergeCell ref="P115:V115"/>
    <mergeCell ref="W115:Z115"/>
    <mergeCell ref="AH114:AJ114"/>
    <mergeCell ref="A99:AL99"/>
    <mergeCell ref="A100:AL100"/>
    <mergeCell ref="A101:AL101"/>
    <mergeCell ref="A97:AL97"/>
    <mergeCell ref="A98:AL98"/>
    <mergeCell ref="K70:P70"/>
    <mergeCell ref="AK70:AL70"/>
    <mergeCell ref="B75:J75"/>
    <mergeCell ref="K75:P75"/>
    <mergeCell ref="AK75:AL75"/>
    <mergeCell ref="B76:J76"/>
    <mergeCell ref="K76:P76"/>
    <mergeCell ref="AK76:AL76"/>
    <mergeCell ref="K73:P73"/>
    <mergeCell ref="AK73:AL73"/>
    <mergeCell ref="B74:J74"/>
    <mergeCell ref="K74:P74"/>
    <mergeCell ref="AK74:AL74"/>
    <mergeCell ref="Q73:W73"/>
    <mergeCell ref="B79:J79"/>
    <mergeCell ref="K79:P79"/>
    <mergeCell ref="Q70:W70"/>
    <mergeCell ref="B89:J89"/>
    <mergeCell ref="K89:P89"/>
    <mergeCell ref="AM67:AU68"/>
    <mergeCell ref="A68:AL68"/>
    <mergeCell ref="A91:AL91"/>
    <mergeCell ref="A65:AL65"/>
    <mergeCell ref="A66:AL66"/>
    <mergeCell ref="B67:AL67"/>
    <mergeCell ref="B69:J69"/>
    <mergeCell ref="K69:P69"/>
    <mergeCell ref="B71:J71"/>
    <mergeCell ref="K71:P71"/>
    <mergeCell ref="B73:J73"/>
    <mergeCell ref="AK71:AL71"/>
    <mergeCell ref="B72:J72"/>
    <mergeCell ref="K72:P72"/>
    <mergeCell ref="AK72:AL72"/>
    <mergeCell ref="AK69:AL69"/>
    <mergeCell ref="B70:J70"/>
    <mergeCell ref="Q74:W74"/>
    <mergeCell ref="X69:AJ69"/>
    <mergeCell ref="X70:AJ70"/>
    <mergeCell ref="AK80:AL80"/>
    <mergeCell ref="B77:J77"/>
    <mergeCell ref="K77:P77"/>
    <mergeCell ref="AK77:AL77"/>
    <mergeCell ref="Z58:AJ58"/>
    <mergeCell ref="AK58:AL58"/>
    <mergeCell ref="B57:Y57"/>
    <mergeCell ref="Z57:AJ57"/>
    <mergeCell ref="AK57:AL57"/>
    <mergeCell ref="B62:AL62"/>
    <mergeCell ref="A63:AL63"/>
    <mergeCell ref="B59:AL59"/>
    <mergeCell ref="A60:AL60"/>
    <mergeCell ref="A61:AL61"/>
    <mergeCell ref="Q69:W69"/>
    <mergeCell ref="AM52:AO52"/>
    <mergeCell ref="B53:Y53"/>
    <mergeCell ref="Z53:AJ53"/>
    <mergeCell ref="AK53:AL53"/>
    <mergeCell ref="B54:Y54"/>
    <mergeCell ref="Z54:AJ54"/>
    <mergeCell ref="AK54:AL54"/>
    <mergeCell ref="A48:A49"/>
    <mergeCell ref="B48:AL48"/>
    <mergeCell ref="A50:A51"/>
    <mergeCell ref="B50:AL50"/>
    <mergeCell ref="B49:AL49"/>
    <mergeCell ref="B51:AL51"/>
    <mergeCell ref="A64:AL64"/>
    <mergeCell ref="B55:Y55"/>
    <mergeCell ref="Z55:AJ55"/>
    <mergeCell ref="AK55:AL55"/>
    <mergeCell ref="B56:Y56"/>
    <mergeCell ref="Z56:AJ56"/>
    <mergeCell ref="AK56:AL56"/>
    <mergeCell ref="A52:A58"/>
    <mergeCell ref="B52:AL52"/>
    <mergeCell ref="B58:Y58"/>
    <mergeCell ref="A46:A47"/>
    <mergeCell ref="B46:AL46"/>
    <mergeCell ref="B47:AL47"/>
    <mergeCell ref="A35:A42"/>
    <mergeCell ref="B35:AL35"/>
    <mergeCell ref="B36:AL36"/>
    <mergeCell ref="B37:X37"/>
    <mergeCell ref="Y37:AL37"/>
    <mergeCell ref="B41:AL41"/>
    <mergeCell ref="B42:AL42"/>
    <mergeCell ref="A43:A44"/>
    <mergeCell ref="B43:AL43"/>
    <mergeCell ref="B45:AL45"/>
    <mergeCell ref="B38:X38"/>
    <mergeCell ref="Y38:AL38"/>
    <mergeCell ref="B39:V39"/>
    <mergeCell ref="W39:AL39"/>
    <mergeCell ref="B40:V40"/>
    <mergeCell ref="W40:AL40"/>
    <mergeCell ref="B44:S44"/>
    <mergeCell ref="T44:AL44"/>
    <mergeCell ref="A4:F4"/>
    <mergeCell ref="H4:L4"/>
    <mergeCell ref="A5:F5"/>
    <mergeCell ref="H5:L5"/>
    <mergeCell ref="A18:A19"/>
    <mergeCell ref="B18:AL18"/>
    <mergeCell ref="B19:AL19"/>
    <mergeCell ref="A11:AL11"/>
    <mergeCell ref="A12:AL12"/>
    <mergeCell ref="A13:AL13"/>
    <mergeCell ref="A15:AK15"/>
    <mergeCell ref="A16:A17"/>
    <mergeCell ref="B16:AL16"/>
    <mergeCell ref="B17:AL17"/>
    <mergeCell ref="AB7:AE7"/>
    <mergeCell ref="A8:P8"/>
    <mergeCell ref="Q8:AL8"/>
    <mergeCell ref="A9:AL9"/>
    <mergeCell ref="B22:AL22"/>
    <mergeCell ref="B23:AL23"/>
    <mergeCell ref="A26:A34"/>
    <mergeCell ref="A7:F7"/>
    <mergeCell ref="G7:L7"/>
    <mergeCell ref="N7:P7"/>
    <mergeCell ref="Q7:AA7"/>
    <mergeCell ref="A24:A25"/>
    <mergeCell ref="B24:V24"/>
    <mergeCell ref="W24:AL24"/>
    <mergeCell ref="B25:V25"/>
    <mergeCell ref="W25:AL25"/>
    <mergeCell ref="A20:A23"/>
    <mergeCell ref="B20:AL20"/>
    <mergeCell ref="B26:AL26"/>
    <mergeCell ref="B27:AL27"/>
    <mergeCell ref="B28:AL28"/>
    <mergeCell ref="B29:AL29"/>
    <mergeCell ref="B30:AL30"/>
    <mergeCell ref="B31:AL31"/>
    <mergeCell ref="B32:AL32"/>
    <mergeCell ref="B33:AL33"/>
    <mergeCell ref="B34:AL34"/>
  </mergeCells>
  <conditionalFormatting sqref="A4 H4 A68">
    <cfRule type="expression" dxfId="366" priority="226">
      <formula>IF(A4="",1,0)</formula>
    </cfRule>
  </conditionalFormatting>
  <conditionalFormatting sqref="A60:A61">
    <cfRule type="expression" dxfId="365" priority="54">
      <formula>IF(A60="",1,0)</formula>
    </cfRule>
  </conditionalFormatting>
  <conditionalFormatting sqref="A63:A66">
    <cfRule type="expression" dxfId="364" priority="215">
      <formula>IF(A63="",1,0)</formula>
    </cfRule>
  </conditionalFormatting>
  <conditionalFormatting sqref="A92 A94 A96 A98 A149">
    <cfRule type="expression" dxfId="363" priority="168">
      <formula>IF(A92="",1,0)</formula>
    </cfRule>
  </conditionalFormatting>
  <conditionalFormatting sqref="A101:A104">
    <cfRule type="expression" dxfId="362" priority="152">
      <formula>IF(A101="",1,0)</formula>
    </cfRule>
  </conditionalFormatting>
  <conditionalFormatting sqref="A106">
    <cfRule type="expression" dxfId="361" priority="153">
      <formula>IF(A106="",1,0)</formula>
    </cfRule>
  </conditionalFormatting>
  <conditionalFormatting sqref="A108:A111">
    <cfRule type="expression" dxfId="360" priority="18">
      <formula>IF(A108="",1,0)</formula>
    </cfRule>
  </conditionalFormatting>
  <conditionalFormatting sqref="A142:A147">
    <cfRule type="expression" dxfId="359" priority="9">
      <formula>IF(A142="",1,0)</formula>
    </cfRule>
  </conditionalFormatting>
  <conditionalFormatting sqref="A151:A166">
    <cfRule type="expression" dxfId="358" priority="3">
      <formula>IF(A151="",1,0)</formula>
    </cfRule>
  </conditionalFormatting>
  <conditionalFormatting sqref="A168:A170">
    <cfRule type="expression" dxfId="357" priority="1">
      <formula>IF(A168="",1,0)</formula>
    </cfRule>
  </conditionalFormatting>
  <conditionalFormatting sqref="A173:A174">
    <cfRule type="expression" dxfId="356" priority="169">
      <formula>IF(A173="",1,0)</formula>
    </cfRule>
  </conditionalFormatting>
  <conditionalFormatting sqref="A69:B69">
    <cfRule type="expression" dxfId="355" priority="85">
      <formula>IF(A69="",1,0)</formula>
    </cfRule>
  </conditionalFormatting>
  <conditionalFormatting sqref="B21">
    <cfRule type="expression" dxfId="350" priority="26">
      <formula>IF(B21="",1,0)</formula>
    </cfRule>
  </conditionalFormatting>
  <conditionalFormatting sqref="B23">
    <cfRule type="expression" dxfId="349" priority="12">
      <formula>IF(B23="",1,0)</formula>
    </cfRule>
  </conditionalFormatting>
  <conditionalFormatting sqref="B25 W25 B36">
    <cfRule type="expression" dxfId="348" priority="72">
      <formula>IF(B25="",1,0)</formula>
    </cfRule>
  </conditionalFormatting>
  <conditionalFormatting sqref="B28">
    <cfRule type="expression" dxfId="347" priority="71">
      <formula>IF(B28="",1,0)</formula>
    </cfRule>
  </conditionalFormatting>
  <conditionalFormatting sqref="B30">
    <cfRule type="expression" dxfId="346" priority="69">
      <formula>IF(B30="",1,0)</formula>
    </cfRule>
  </conditionalFormatting>
  <conditionalFormatting sqref="B32">
    <cfRule type="expression" dxfId="345" priority="70">
      <formula>IF(B32="",1,0)</formula>
    </cfRule>
  </conditionalFormatting>
  <conditionalFormatting sqref="B34">
    <cfRule type="expression" dxfId="344" priority="68">
      <formula>IF(B34="",1,0)</formula>
    </cfRule>
  </conditionalFormatting>
  <conditionalFormatting sqref="B38">
    <cfRule type="expression" dxfId="343" priority="66">
      <formula>IF(B38="",1,0)</formula>
    </cfRule>
  </conditionalFormatting>
  <conditionalFormatting sqref="B44">
    <cfRule type="expression" dxfId="342" priority="13">
      <formula>IF(B44="",1,0)</formula>
    </cfRule>
  </conditionalFormatting>
  <conditionalFormatting sqref="B47:B49">
    <cfRule type="expression" dxfId="341" priority="56">
      <formula>IF(B47="",1,0)</formula>
    </cfRule>
  </conditionalFormatting>
  <conditionalFormatting sqref="B51">
    <cfRule type="expression" dxfId="340" priority="55">
      <formula>IF(B51="",1,0)</formula>
    </cfRule>
  </conditionalFormatting>
  <conditionalFormatting sqref="B115:B136">
    <cfRule type="expression" dxfId="339" priority="73">
      <formula>IF(B115="",1,0)</formula>
    </cfRule>
  </conditionalFormatting>
  <conditionalFormatting sqref="B17:AL17 B19">
    <cfRule type="expression" dxfId="338" priority="213">
      <formula>IF(B17="",1,0)</formula>
    </cfRule>
  </conditionalFormatting>
  <conditionalFormatting sqref="G115:G136">
    <cfRule type="expression" dxfId="337" priority="90">
      <formula>IF(G115="",1,0)</formula>
    </cfRule>
  </conditionalFormatting>
  <conditionalFormatting sqref="K69:K90 B70:B90">
    <cfRule type="expression" dxfId="336" priority="82">
      <formula>IF(B69="",1,0)</formula>
    </cfRule>
  </conditionalFormatting>
  <conditionalFormatting sqref="L115:L136">
    <cfRule type="expression" dxfId="335" priority="89">
      <formula>IF(L115="",1,0)</formula>
    </cfRule>
  </conditionalFormatting>
  <conditionalFormatting sqref="N7">
    <cfRule type="expression" dxfId="334" priority="29">
      <formula>IF(N7="",1,0)</formula>
    </cfRule>
  </conditionalFormatting>
  <conditionalFormatting sqref="P115:P136">
    <cfRule type="expression" dxfId="333" priority="88">
      <formula>IF(P115="",1,0)</formula>
    </cfRule>
  </conditionalFormatting>
  <conditionalFormatting sqref="Q69:Q90">
    <cfRule type="expression" dxfId="332" priority="80">
      <formula>IF(Q69="",1,0)</formula>
    </cfRule>
  </conditionalFormatting>
  <conditionalFormatting sqref="Q8:AL8">
    <cfRule type="expression" dxfId="331" priority="27">
      <formula>IF(Q8="",1,0)</formula>
    </cfRule>
  </conditionalFormatting>
  <conditionalFormatting sqref="T139:T140">
    <cfRule type="expression" dxfId="330" priority="148">
      <formula>IF(T139="",1,0)</formula>
    </cfRule>
  </conditionalFormatting>
  <conditionalFormatting sqref="T160">
    <cfRule type="expression" dxfId="329" priority="32">
      <formula>IF(T160="",1,0)</formula>
    </cfRule>
  </conditionalFormatting>
  <conditionalFormatting sqref="W40 B40:B42">
    <cfRule type="expression" dxfId="328" priority="67">
      <formula>IF(B40="",1,0)</formula>
    </cfRule>
  </conditionalFormatting>
  <conditionalFormatting sqref="W115:W136">
    <cfRule type="expression" dxfId="327" priority="86">
      <formula>IF(W115="",1,0)</formula>
    </cfRule>
  </conditionalFormatting>
  <conditionalFormatting sqref="X70:X89">
    <cfRule type="expression" dxfId="326" priority="31">
      <formula>IF(X70="",1,0)</formula>
    </cfRule>
  </conditionalFormatting>
  <conditionalFormatting sqref="Y38">
    <cfRule type="expression" dxfId="325" priority="11">
      <formula>IF(Y38="",1,0)</formula>
    </cfRule>
  </conditionalFormatting>
  <conditionalFormatting sqref="Z54:Z55">
    <cfRule type="expression" dxfId="324" priority="170">
      <formula>IF(Z54="",1,0)</formula>
    </cfRule>
  </conditionalFormatting>
  <conditionalFormatting sqref="Z57">
    <cfRule type="expression" dxfId="323" priority="173">
      <formula>IF(Z57="",1,0)</formula>
    </cfRule>
  </conditionalFormatting>
  <conditionalFormatting sqref="AB7">
    <cfRule type="expression" dxfId="322" priority="28">
      <formula>IF(AB7="",1,0)</formula>
    </cfRule>
  </conditionalFormatting>
  <conditionalFormatting sqref="AH115:AH136">
    <cfRule type="expression" dxfId="321" priority="96">
      <formula>IF(AH115="",1,0)</formula>
    </cfRule>
  </conditionalFormatting>
  <conditionalFormatting sqref="AJ109">
    <cfRule type="expression" dxfId="320" priority="23">
      <formula>IF(AJ109="",1,0)</formula>
    </cfRule>
  </conditionalFormatting>
  <conditionalFormatting sqref="AK69:AK89">
    <cfRule type="expression" dxfId="319" priority="74">
      <formula>IF(AK69="",1,0)</formula>
    </cfRule>
  </conditionalFormatting>
  <dataValidations count="34">
    <dataValidation allowBlank="1" showInputMessage="1" showErrorMessage="1" promptTitle="Wpisz " prompt="przyczyny braku instalacji wyposażenia lub wpisz nie dotyczy" sqref="A104:AL104" xr:uid="{00000000-0002-0000-0A00-000000000000}"/>
    <dataValidation allowBlank="1" showErrorMessage="1" promptTitle="Wybierz" prompt="właściwe oświadczenie" sqref="A102:AL102 A144:AL144 A142:AL142 A146:AL146" xr:uid="{00000000-0002-0000-0A00-000001000000}"/>
    <dataValidation type="decimal" allowBlank="1" showInputMessage="1" promptTitle="Wybierz" prompt="właściwą wysokość wsparcia lub wpiszmniejszą wartość" sqref="T139:AJ139" xr:uid="{00000000-0002-0000-0A00-000002000000}">
      <formula1>0</formula1>
      <formula2>0.8</formula2>
    </dataValidation>
    <dataValidation allowBlank="1" showErrorMessage="1" promptTitle="Wprowadź" prompt="nr księgi wieczystej - nr działki ewidencyjnej" sqref="A156:AL156 A168:AL168 A169:A170" xr:uid="{00000000-0002-0000-0A00-000003000000}"/>
    <dataValidation type="decimal" allowBlank="1" showInputMessage="1" showErrorMessage="1" promptTitle="Wprowadź" prompt="kwotę" sqref="Z57" xr:uid="{00000000-0002-0000-0A00-000004000000}">
      <formula1>0</formula1>
      <formula2>10000000000000000000</formula2>
    </dataValidation>
    <dataValidation allowBlank="1" showInputMessage="1" showErrorMessage="1" promptTitle="Wprowadź" prompt="kwotę" sqref="Z56:AJ56" xr:uid="{00000000-0002-0000-0A00-000005000000}"/>
    <dataValidation allowBlank="1" showInputMessage="1" showErrorMessage="1" promptTitle="Wprowadź" prompt="adres ePUAP beneficjenta" sqref="B22" xr:uid="{02637440-5458-4EB2-9704-F182FA2FADAB}"/>
    <dataValidation type="textLength" operator="equal" allowBlank="1" showInputMessage="1" errorTitle="KRS" promptTitle="Wprowadź" prompt="numer KRS inwestora" sqref="B42:AL42" xr:uid="{00000000-0002-0000-0A00-000007000000}">
      <formula1>10</formula1>
    </dataValidation>
    <dataValidation allowBlank="1" showInputMessage="1" showErrorMessage="1" promptTitle="Wprowadź" prompt="adres inwestora" sqref="B38:X38" xr:uid="{00000000-0002-0000-0A00-000009000000}"/>
    <dataValidation type="textLength" operator="equal" allowBlank="1" showInputMessage="1" showErrorMessage="1" errorTitle="NIP" error="NIP to ciąg dziesięciu cyfr np. 5719611245" promptTitle="Wprowadź" prompt="NIP inwestora" sqref="B40:V40" xr:uid="{00000000-0002-0000-0A00-00000B000000}">
      <formula1>10</formula1>
    </dataValidation>
    <dataValidation type="textLength" operator="equal" allowBlank="1" showInputMessage="1" showErrorMessage="1" errorTitle="REGON" error="REGON to ciąg dziewięciu cyfr np. 571961124" promptTitle="Wprowadź" prompt="nr REGON inwestora" sqref="W40:AL40" xr:uid="{00000000-0002-0000-0A00-00000C000000}">
      <formula1>9</formula1>
    </dataValidation>
    <dataValidation allowBlank="1" showErrorMessage="1" promptTitle="Wybierz" prompt="właściwe" sqref="A152:AL152 A154:AL154" xr:uid="{00000000-0002-0000-0A00-00000D000000}"/>
    <dataValidation type="whole" allowBlank="1" showInputMessage="1" showErrorMessage="1" promptTitle="Wprowadź " prompt="ilość" sqref="A66:AL66" xr:uid="{00000000-0002-0000-0A00-00000E000000}">
      <formula1>0</formula1>
      <formula2>1000000</formula2>
    </dataValidation>
    <dataValidation type="decimal" allowBlank="1" showInputMessage="1" showErrorMessage="1" sqref="AH115:AJ136" xr:uid="{00000000-0002-0000-0A00-00000F000000}">
      <formula1>0</formula1>
      <formula2>1</formula2>
    </dataValidation>
    <dataValidation allowBlank="1" showErrorMessage="1" promptTitle="Wprowadź" prompt="kwotę" sqref="B47:AL47" xr:uid="{00000000-0002-0000-0A00-000010000000}"/>
    <dataValidation allowBlank="1" showInputMessage="1" showErrorMessage="1" promptTitle="Wprowadź" prompt="nazwę beneficjenta" sqref="B19" xr:uid="{00000000-0002-0000-0A00-000011000000}"/>
    <dataValidation allowBlank="1" showInputMessage="1" showErrorMessage="1" promptTitle="Wprowadź" prompt="adres beneficjenta" sqref="B21" xr:uid="{00000000-0002-0000-0A00-000012000000}"/>
    <dataValidation allowBlank="1" showInputMessage="1" showErrorMessage="1" promptTitle="Wprowadź" prompt="dane" sqref="B28:AL28 B30:AL30 AJ109:AL109" xr:uid="{00000000-0002-0000-0A00-000013000000}"/>
    <dataValidation type="textLength" operator="equal" allowBlank="1" showInputMessage="1" showErrorMessage="1" errorTitle="REGON" error="REGON to ciąg dziewięciu cyfr np. 571961124" promptTitle="Wprowadź" prompt="nr REGON" sqref="W25:AL25" xr:uid="{00000000-0002-0000-0A00-000014000000}">
      <formula1>9</formula1>
    </dataValidation>
    <dataValidation allowBlank="1" showInputMessage="1" showErrorMessage="1" promptTitle="Wprowadź" prompt="nazwę Inwestora" sqref="B36:AL36" xr:uid="{00000000-0002-0000-0A00-000015000000}"/>
    <dataValidation type="textLength" operator="equal" allowBlank="1" showInputMessage="1" showErrorMessage="1" errorTitle="NIP" error="NIP to ciąg dziesięciu cyfr np. 5719611245" promptTitle="Wprowadź" prompt="NIP" sqref="B25:V25" xr:uid="{00000000-0002-0000-0A00-000017000000}">
      <formula1>10</formula1>
    </dataValidation>
    <dataValidation allowBlank="1" showInputMessage="1" showErrorMessage="1" promptTitle="Wybierz" prompt="właściwe" sqref="B67:AL67" xr:uid="{00000000-0002-0000-0A00-000018000000}"/>
    <dataValidation allowBlank="1" showInputMessage="1" sqref="AU151:XFD153" xr:uid="{00000000-0002-0000-0A00-000019000000}"/>
    <dataValidation type="whole" allowBlank="1" showInputMessage="1" showErrorMessage="1" promptTitle="Wprowadź " prompt="ilość mieszkań przeznaczonych na podnajem" sqref="A64" xr:uid="{00000000-0002-0000-0A00-00001A000000}">
      <formula1>0</formula1>
      <formula2>1E+34</formula2>
    </dataValidation>
    <dataValidation allowBlank="1" sqref="AK69 K69 Q69 A69:B69" xr:uid="{00000000-0002-0000-0A00-00001B000000}"/>
    <dataValidation type="whole" allowBlank="1" showInputMessage="1" showErrorMessage="1" promptTitle="Wprowadź" prompt="wielkość" sqref="A92:AL92" xr:uid="{00000000-0002-0000-0A00-00001C000000}">
      <formula1>0</formula1>
      <formula2>100000000000000000000</formula2>
    </dataValidation>
    <dataValidation type="whole" allowBlank="1" showInputMessage="1" showErrorMessage="1" promptTitle="Wprowadź " prompt="wielkość" sqref="A94:AL94" xr:uid="{00000000-0002-0000-0A00-00001D000000}">
      <formula1>1</formula1>
      <formula2>1E+34</formula2>
    </dataValidation>
    <dataValidation type="decimal" allowBlank="1" showInputMessage="1" showErrorMessage="1" promptTitle="Wprowadź" prompt="wielkość" sqref="A96:AL96" xr:uid="{00000000-0002-0000-0A00-00001E000000}">
      <formula1>0</formula1>
      <formula2>1E+42</formula2>
    </dataValidation>
    <dataValidation type="decimal" allowBlank="1" showInputMessage="1" showErrorMessage="1" promptTitle="Wprowadź" prompt="wielkość" sqref="A98:AL98" xr:uid="{00000000-0002-0000-0A00-00001F000000}">
      <formula1>0</formula1>
      <formula2>1E+43</formula2>
    </dataValidation>
    <dataValidation allowBlank="1" showInputMessage="1" showErrorMessage="1" promptTitle="Wprowadź" prompt="Adres do doręczeń elektronicznych" sqref="B23:AL23" xr:uid="{3572839A-2C01-41CE-9C05-1D5673CD74C3}"/>
    <dataValidation operator="greaterThanOrEqual" allowBlank="1" showInputMessage="1" showErrorMessage="1" promptTitle="Wprowadź" prompt="datę w formacie rrrr-mm-dd_x000a_" sqref="B51:AL51" xr:uid="{00000000-0002-0000-0A00-000021000000}"/>
    <dataValidation type="textLength" operator="equal" allowBlank="1" showInputMessage="1" promptTitle="Wprowadź" prompt="numer rachunku bankowego" sqref="T44:AL44" xr:uid="{ECAC031E-56F6-47C2-A441-0F07AD245C29}">
      <formula1>26</formula1>
    </dataValidation>
    <dataValidation type="textLength" operator="equal" showInputMessage="1" promptTitle="Wprowadź" prompt="numer rachunku bankowego tj. 26 cyfr" sqref="B44:S44" xr:uid="{D9EF91FC-DE62-4098-A4AE-2AFE831CE4CE}">
      <formula1>26</formula1>
    </dataValidation>
    <dataValidation allowBlank="1" showInputMessage="1" showErrorMessage="1" promptTitle="Wprowadź" prompt="adres do doręczeń elektronicznych inwestora_x000a_" sqref="Y38:AL38" xr:uid="{D4981E1C-4089-4433-B891-42109FD868C3}"/>
  </dataValidations>
  <hyperlinks>
    <hyperlink ref="AM47" location="'Wniosek SAN'!B110" display="Kliknij &quot;tutaj&quot; i przejdź do wypełnienia zestawienia kosztów" xr:uid="{00000000-0004-0000-0A00-000000000000}"/>
    <hyperlink ref="B47:AL47" location="'Wnioski art 5 oraz 5a inne'!B130" display="'Wnioski art 5 oraz 5a inne'!B130" xr:uid="{00000000-0004-0000-0A00-000001000000}"/>
    <hyperlink ref="AM140" location="'Wniosek SAN'!B48" display="Wróć do wypełniania wniosku" xr:uid="{00000000-0004-0000-0A00-000002000000}"/>
    <hyperlink ref="AM20" r:id="rId1" display="Weryfikocji można dokonać na stronie internetowej -&gt; https://eteryt.stat.gov.pl/eTeryt/rejestr_teryt/udostepnianie_danych/baza_teryt/uzytkownicy_indywidualni/wyszukiwanie/wyszukiwanie.aspx?contrast=default" xr:uid="{00000000-0004-0000-0A00-000003000000}"/>
    <hyperlink ref="AM22" r:id="rId2" xr:uid="{00000000-0004-0000-0A00-000004000000}"/>
    <hyperlink ref="AM18" r:id="rId3" xr:uid="{00000000-0004-0000-0A00-000005000000}"/>
    <hyperlink ref="AM24" r:id="rId4" xr:uid="{00000000-0004-0000-0A00-000006000000}"/>
    <hyperlink ref="AM41" r:id="rId5" xr:uid="{00000000-0004-0000-0A00-000007000000}"/>
    <hyperlink ref="AM179" r:id="rId6" xr:uid="{FD5C0D53-4E58-4188-85A8-66A89FAD0E96}"/>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157" id="{4DA39D32-CED8-45C9-AAF9-143722CA29FF}">
            <xm:f>IF(#REF!=Słowniki!$P$2,1,0)</xm:f>
            <x14:dxf>
              <font>
                <b/>
                <i val="0"/>
                <strike/>
                <color theme="1"/>
              </font>
            </x14:dxf>
          </x14:cfRule>
          <xm:sqref>A100:AL100</xm:sqref>
        </x14:conditionalFormatting>
        <x14:conditionalFormatting xmlns:xm="http://schemas.microsoft.com/office/excel/2006/main">
          <x14:cfRule type="expression" priority="10" id="{75EA5587-9DCB-4181-88A0-C74FA0FC7592}">
            <xm:f>IF($A$107=Słowniki!$P$2,1,0)</xm:f>
            <x14:dxf>
              <font>
                <strike/>
              </font>
            </x14:dxf>
          </x14:cfRule>
          <xm:sqref>A105:AL105</xm:sqref>
        </x14:conditionalFormatting>
        <x14:conditionalFormatting xmlns:xm="http://schemas.microsoft.com/office/excel/2006/main">
          <x14:cfRule type="expression" priority="22" id="{ADAA31D6-D0FD-4615-80CD-4AC2C68DB4A5}">
            <xm:f>IF('Wniosek art 5 budowa'!$A$151=Słowniki!$P$2,1,0)</xm:f>
            <x14:dxf>
              <font>
                <strike/>
              </font>
            </x14:dxf>
          </x14:cfRule>
          <xm:sqref>A107:AL107</xm:sqref>
        </x14:conditionalFormatting>
        <x14:conditionalFormatting xmlns:xm="http://schemas.microsoft.com/office/excel/2006/main">
          <x14:cfRule type="expression" priority="7" id="{6C0C08CE-BC56-49E5-9867-1C1055B77EBB}">
            <xm:f>IF($A$158=Słowniki!$P$2,1,0)</xm:f>
            <x14:dxf>
              <font>
                <strike/>
              </font>
            </x14:dxf>
          </x14:cfRule>
          <xm:sqref>A152:AL152</xm:sqref>
        </x14:conditionalFormatting>
      </x14:conditionalFormattings>
    </ext>
    <ext xmlns:x14="http://schemas.microsoft.com/office/spreadsheetml/2009/9/main" uri="{CCE6A557-97BC-4b89-ADB6-D9C93CAAB3DF}">
      <x14:dataValidations xmlns:xm="http://schemas.microsoft.com/office/excel/2006/main" count="30">
        <x14:dataValidation type="list" allowBlank="1" showInputMessage="1" showErrorMessage="1" promptTitle="Wybierz" prompt="właściwe" xr:uid="{00000000-0002-0000-0A00-000022000000}">
          <x14:formula1>
            <xm:f>Słowniki!$W$7:$W$8</xm:f>
          </x14:formula1>
          <xm:sqref>A145:AL145</xm:sqref>
        </x14:dataValidation>
        <x14:dataValidation type="list" allowBlank="1" showInputMessage="1" showErrorMessage="1" promptTitle="Wybierz" prompt="właściwy rodzaj" xr:uid="{00000000-0002-0000-0A00-000023000000}">
          <x14:formula1>
            <xm:f>Słowniki!$J$4</xm:f>
          </x14:formula1>
          <xm:sqref>A68:AL68</xm:sqref>
        </x14:dataValidation>
        <x14:dataValidation type="list" allowBlank="1" showInputMessage="1" showErrorMessage="1" promptTitle="Wybierz" prompt="rodzaj przedsięwzięcia" xr:uid="{00000000-0002-0000-0A00-000024000000}">
          <x14:formula1>
            <xm:f>Słowniki!$D$3:$D$4</xm:f>
          </x14:formula1>
          <xm:sqref>A60:AL60</xm:sqref>
        </x14:dataValidation>
        <x14:dataValidation type="list" allowBlank="1" showInputMessage="1" showErrorMessage="1" promptTitle="Wybierz" prompt="właściwe" xr:uid="{00000000-0002-0000-0A00-000025000000}">
          <x14:formula1>
            <xm:f>Słowniki!$E$169:$E$170</xm:f>
          </x14:formula1>
          <xm:sqref>T140:AJ140</xm:sqref>
        </x14:dataValidation>
        <x14:dataValidation type="list" allowBlank="1" showInputMessage="1" showErrorMessage="1" promptTitle="Wybierz" prompt="właściwe" xr:uid="{00000000-0002-0000-0A00-000026000000}">
          <x14:formula1>
            <xm:f>Słowniki!$U$1:$U$2</xm:f>
          </x14:formula1>
          <xm:sqref>A101:AL101</xm:sqref>
        </x14:dataValidation>
        <x14:dataValidation type="list" allowBlank="1" showInputMessage="1" showErrorMessage="1" promptTitle="Wybierz" prompt="właściwe" xr:uid="{00000000-0002-0000-0A00-000027000000}">
          <x14:formula1>
            <xm:f>Słowniki!$U$5:$U$6</xm:f>
          </x14:formula1>
          <xm:sqref>A106:AL106</xm:sqref>
        </x14:dataValidation>
        <x14:dataValidation type="list" allowBlank="1" showInputMessage="1" showErrorMessage="1" promptTitle="Wybierz" prompt="właściwe" xr:uid="{00000000-0002-0000-0A00-000028000000}">
          <x14:formula1>
            <xm:f>Słowniki!$U$3:$U$4</xm:f>
          </x14:formula1>
          <xm:sqref>A103:AL103</xm:sqref>
        </x14:dataValidation>
        <x14:dataValidation type="list" allowBlank="1" showInputMessage="1" showErrorMessage="1" promptTitle="Wybierz" prompt="właściwe" xr:uid="{00000000-0002-0000-0A00-000029000000}">
          <x14:formula1>
            <xm:f>Słowniki!$W$3:$W$4</xm:f>
          </x14:formula1>
          <xm:sqref>A147:AL147</xm:sqref>
        </x14:dataValidation>
        <x14:dataValidation type="list" allowBlank="1" showInputMessage="1" showErrorMessage="1" promptTitle="Wybierz" prompt="właściwe" xr:uid="{00000000-0002-0000-0A00-00002A000000}">
          <x14:formula1>
            <xm:f>Słowniki!$W$1:$W$2</xm:f>
          </x14:formula1>
          <xm:sqref>A143:AL143</xm:sqref>
        </x14:dataValidation>
        <x14:dataValidation type="list" allowBlank="1" showInputMessage="1" promptTitle="Wybierz" prompt="właściwe" xr:uid="{00000000-0002-0000-0A00-00002B000000}">
          <x14:formula1>
            <xm:f>Słowniki!$X$15:$X$16</xm:f>
          </x14:formula1>
          <xm:sqref>A149:AL149</xm:sqref>
        </x14:dataValidation>
        <x14:dataValidation type="list" allowBlank="1" showInputMessage="1" showErrorMessage="1" promptTitle="Wybierz" prompt="właściwe" xr:uid="{00000000-0002-0000-0A00-00002C000000}">
          <x14:formula1>
            <xm:f>Słowniki!$X$17:$X$18</xm:f>
          </x14:formula1>
          <xm:sqref>A151:AL151</xm:sqref>
        </x14:dataValidation>
        <x14:dataValidation type="list" allowBlank="1" showInputMessage="1" showErrorMessage="1" promptTitle="Wybierz" prompt="właściwe" xr:uid="{00000000-0002-0000-0A00-00002D000000}">
          <x14:formula1>
            <xm:f>Słowniki!$Y$1:$Y$5</xm:f>
          </x14:formula1>
          <xm:sqref>A155:AL155</xm:sqref>
        </x14:dataValidation>
        <x14:dataValidation type="list" allowBlank="1" showInputMessage="1" showErrorMessage="1" promptTitle="Wybierz" prompt="właściwe" xr:uid="{00000000-0002-0000-0A00-00002E000000}">
          <x14:formula1>
            <xm:f>Słowniki!$W$5:$W$6</xm:f>
          </x14:formula1>
          <xm:sqref>A153:AL153</xm:sqref>
        </x14:dataValidation>
        <x14:dataValidation type="list" allowBlank="1" showInputMessage="1" showErrorMessage="1" promptTitle="Wybierz" prompt="beneficjenta" xr:uid="{00000000-0002-0000-0A00-00002F000000}">
          <x14:formula1>
            <xm:f>Słowniki!$A$2:$A$3</xm:f>
          </x14:formula1>
          <xm:sqref>B17:AL17</xm:sqref>
        </x14:dataValidation>
        <x14:dataValidation type="list" allowBlank="1" showInputMessage="1" promptTitle="Wprowadź" prompt="dane lub wybierz nie dotyczy" xr:uid="{00000000-0002-0000-0A00-000030000000}">
          <x14:formula1>
            <xm:f>Słowniki!$F$19</xm:f>
          </x14:formula1>
          <xm:sqref>B34:AL34 B32:AL32</xm:sqref>
        </x14:dataValidation>
        <x14:dataValidation type="list" allowBlank="1" showInputMessage="1" showErrorMessage="1" promptTitle="Wybierz" prompt="właściwe" xr:uid="{00000000-0002-0000-0A00-000033000000}">
          <x14:formula1>
            <xm:f>Słowniki!$AO$1:$AO$2</xm:f>
          </x14:formula1>
          <xm:sqref>B48:AL48</xm:sqref>
        </x14:dataValidation>
        <x14:dataValidation type="list" allowBlank="1" promptTitle="Wybierz" prompt="właściwe" xr:uid="{00000000-0002-0000-0A00-000034000000}">
          <x14:formula1>
            <xm:f>Słowniki!$O$2:$O$4</xm:f>
          </x14:formula1>
          <xm:sqref>A173:AL173</xm:sqref>
        </x14:dataValidation>
        <x14:dataValidation type="list" allowBlank="1" showInputMessage="1" promptTitle="Wybierz" prompt="właściwe" xr:uid="{00000000-0002-0000-0A00-000036000000}">
          <x14:formula1>
            <xm:f>Słowniki!$A$34:$A$39</xm:f>
          </x14:formula1>
          <xm:sqref>G115:K136</xm:sqref>
        </x14:dataValidation>
        <x14:dataValidation type="list" allowBlank="1" showInputMessage="1" showErrorMessage="1" promptTitle="Wybierz" prompt="rodzaj przedsięwzięcia" xr:uid="{00000000-0002-0000-0A00-000038000000}">
          <x14:formula1>
            <xm:f>Słowniki!$C$13:$C$15</xm:f>
          </x14:formula1>
          <xm:sqref>A61:AL61</xm:sqref>
        </x14:dataValidation>
        <x14:dataValidation type="list" allowBlank="1" showInputMessage="1" showErrorMessage="1" promptTitle="Wybierz" prompt="właściwe" xr:uid="{00000000-0002-0000-0A00-000039000000}">
          <x14:formula1>
            <xm:f>Słowniki!$F$9</xm:f>
          </x14:formula1>
          <xm:sqref>A63:AL63</xm:sqref>
        </x14:dataValidation>
        <x14:dataValidation type="list" allowBlank="1" showInputMessage="1" showErrorMessage="1" promptTitle="Wybierz" prompt="właściwe" xr:uid="{00000000-0002-0000-0A00-00003A000000}">
          <x14:formula1>
            <xm:f>Słowniki!$W$12:$W$14</xm:f>
          </x14:formula1>
          <xm:sqref>A164:AL164</xm:sqref>
        </x14:dataValidation>
        <x14:dataValidation type="list" allowBlank="1" showInputMessage="1" showErrorMessage="1" promptTitle="Wybierz" prompt="właściwe" xr:uid="{00000000-0002-0000-0A00-00003B000000}">
          <x14:formula1>
            <xm:f>Słowniki!$AF$4:$AF$5</xm:f>
          </x14:formula1>
          <xm:sqref>A157:AL157</xm:sqref>
        </x14:dataValidation>
        <x14:dataValidation type="list" allowBlank="1" showInputMessage="1" showErrorMessage="1" promptTitle="Wybierz" prompt="właściwe" xr:uid="{00000000-0002-0000-0A00-00003C000000}">
          <x14:formula1>
            <xm:f>Słowniki!$C$17:$C$18</xm:f>
          </x14:formula1>
          <xm:sqref>A159:S159</xm:sqref>
        </x14:dataValidation>
        <x14:dataValidation type="list" allowBlank="1" showInputMessage="1" showErrorMessage="1" promptTitle="Wybierz" prompt="właściwe" xr:uid="{00000000-0002-0000-0A00-00003D000000}">
          <x14:formula1>
            <xm:f>Słowniki!$D$17:$D$18</xm:f>
          </x14:formula1>
          <xm:sqref>T159:AL159</xm:sqref>
        </x14:dataValidation>
        <x14:dataValidation type="list" allowBlank="1" showInputMessage="1" showErrorMessage="1" promptTitle="Wybierz" prompt="właściwe" xr:uid="{00000000-0002-0000-0A00-00003E000000}">
          <x14:formula1>
            <xm:f>Słowniki!$C$20:$C$21</xm:f>
          </x14:formula1>
          <xm:sqref>A162:AL162</xm:sqref>
        </x14:dataValidation>
        <x14:dataValidation type="list" allowBlank="1" showInputMessage="1" showErrorMessage="1" promptTitle="Wybierz" prompt="właściwe" xr:uid="{00000000-0002-0000-0A00-00003F000000}">
          <x14:formula1>
            <xm:f>Słowniki!$C$3:$C$4</xm:f>
          </x14:formula1>
          <xm:sqref>AB7:AE7 N7:P7</xm:sqref>
        </x14:dataValidation>
        <x14:dataValidation type="list" allowBlank="1" showInputMessage="1" showErrorMessage="1" promptTitle="Wybierz" prompt="właściwe" xr:uid="{711CFA5C-ADA3-4C5C-B5B6-E3C229D3C07C}">
          <x14:formula1>
            <xm:f>Słowniki!$C$49:$C$50</xm:f>
          </x14:formula1>
          <xm:sqref>A108:AL108</xm:sqref>
        </x14:dataValidation>
        <x14:dataValidation type="list" errorStyle="information" allowBlank="1" showInputMessage="1" showErrorMessage="1" promptTitle="Wybierz" prompt="właściwe" xr:uid="{AC38E82E-0779-40C7-99D4-7BC1FB1D2433}">
          <x14:formula1>
            <xm:f>Słowniki!$A$46:$A$60</xm:f>
          </x14:formula1>
          <xm:sqref>B115:F136</xm:sqref>
        </x14:dataValidation>
        <x14:dataValidation type="list" allowBlank="1" showInputMessage="1" showErrorMessage="1" xr:uid="{A07D5EE2-5BD9-4B00-9087-723AE9F530A2}">
          <x14:formula1>
            <xm:f>Słowniki!$Y$9:$Y$10</xm:f>
          </x14:formula1>
          <xm:sqref>A166:AL166</xm:sqref>
        </x14:dataValidation>
        <x14:dataValidation type="date" operator="greaterThan" allowBlank="1" showInputMessage="1" showErrorMessage="1" promptTitle="Wprowadź" prompt="datę w formacie rrrr-mm-dd_x000a_" xr:uid="{00000000-0002-0000-0A00-000040000000}">
          <x14:formula1>
            <xm:f>Słowniki!AQ7</xm:f>
          </x14:formula1>
          <xm:sqref>B49:AL49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usz8"/>
  <dimension ref="A1:DL1035"/>
  <sheetViews>
    <sheetView showGridLines="0" topLeftCell="A164" zoomScaleNormal="100" workbookViewId="0">
      <selection activeCell="AM170" sqref="AM170"/>
    </sheetView>
  </sheetViews>
  <sheetFormatPr defaultColWidth="9.33203125" defaultRowHeight="13.8" x14ac:dyDescent="0.25"/>
  <cols>
    <col min="1" max="1" width="3.33203125" style="68" customWidth="1"/>
    <col min="2" max="2" width="4" style="68" customWidth="1"/>
    <col min="3" max="3" width="2.33203125" style="68" customWidth="1"/>
    <col min="4" max="4" width="2.5546875" style="68" customWidth="1"/>
    <col min="5" max="5" width="2" style="68" customWidth="1"/>
    <col min="6" max="6" width="1.6640625" style="68" customWidth="1"/>
    <col min="7" max="7" width="1.44140625" style="68" customWidth="1"/>
    <col min="8" max="8" width="2.33203125" style="68" customWidth="1"/>
    <col min="9" max="9" width="2.44140625" style="68" customWidth="1"/>
    <col min="10" max="10" width="1.5546875" style="68" customWidth="1"/>
    <col min="11" max="11" width="1.6640625" style="68" customWidth="1"/>
    <col min="12" max="12" width="5.33203125" style="68" customWidth="1"/>
    <col min="13" max="13" width="0.6640625" style="68" customWidth="1"/>
    <col min="14" max="14" width="3.44140625" style="68" customWidth="1"/>
    <col min="15" max="15" width="2.5546875" style="68" customWidth="1"/>
    <col min="16" max="17" width="1.5546875" style="68" customWidth="1"/>
    <col min="18" max="18" width="1.33203125" style="68" customWidth="1"/>
    <col min="19" max="19" width="2.33203125" style="68" customWidth="1"/>
    <col min="20" max="20" width="1.33203125" style="68" customWidth="1"/>
    <col min="21" max="21" width="1" style="68" customWidth="1"/>
    <col min="22" max="22" width="0.6640625" style="68" customWidth="1"/>
    <col min="23" max="23" width="3" style="68" customWidth="1"/>
    <col min="24" max="24" width="1.33203125" style="68" customWidth="1"/>
    <col min="25" max="25" width="1.44140625" style="68" customWidth="1"/>
    <col min="26" max="27" width="1.33203125" style="68" customWidth="1"/>
    <col min="28" max="28" width="2" style="68" customWidth="1"/>
    <col min="29" max="29" width="1" style="68" customWidth="1"/>
    <col min="30" max="31" width="1.6640625" style="68" customWidth="1"/>
    <col min="32" max="32" width="1.33203125" style="68" customWidth="1"/>
    <col min="33" max="33" width="1.6640625" style="68" customWidth="1"/>
    <col min="34" max="34" width="2.33203125" style="68" customWidth="1"/>
    <col min="35" max="35" width="1.44140625" style="68" customWidth="1"/>
    <col min="36" max="36" width="4" style="68" customWidth="1"/>
    <col min="37" max="37" width="9.33203125" style="68" customWidth="1"/>
    <col min="38" max="38" width="5.6640625" style="68" customWidth="1"/>
    <col min="39" max="39" width="117.6640625" style="76" customWidth="1"/>
    <col min="40" max="41" width="10.6640625" style="77" bestFit="1" customWidth="1"/>
    <col min="42" max="43" width="9.33203125" style="77"/>
    <col min="44" max="116" width="9.33203125" style="60"/>
    <col min="117" max="16384" width="9.33203125" style="68"/>
  </cols>
  <sheetData>
    <row r="1" spans="1:54" ht="28.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75"/>
      <c r="AN1" s="75"/>
      <c r="AO1" s="75"/>
      <c r="AP1" s="75"/>
      <c r="AQ1" s="75"/>
      <c r="AR1" s="70"/>
      <c r="AS1" s="70"/>
      <c r="AT1" s="70"/>
      <c r="AU1" s="70"/>
      <c r="AV1" s="70"/>
      <c r="AW1" s="70"/>
      <c r="AX1" s="70"/>
      <c r="AY1" s="70"/>
      <c r="AZ1" s="70"/>
      <c r="BA1" s="70"/>
      <c r="BB1" s="70"/>
    </row>
    <row r="2" spans="1:54" x14ac:dyDescent="0.25">
      <c r="A2" s="69" t="s">
        <v>123</v>
      </c>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75"/>
      <c r="AN2" s="75"/>
      <c r="AO2" s="75"/>
      <c r="AP2" s="75"/>
      <c r="AQ2" s="75"/>
      <c r="AR2" s="70"/>
      <c r="AS2" s="70"/>
      <c r="AT2" s="70"/>
      <c r="AU2" s="70"/>
      <c r="AV2" s="70"/>
      <c r="AW2" s="70"/>
      <c r="AX2" s="70"/>
      <c r="AY2" s="70"/>
      <c r="AZ2" s="70"/>
      <c r="BA2" s="70"/>
      <c r="BB2" s="70"/>
    </row>
    <row r="3" spans="1:54" ht="14.4" x14ac:dyDescent="0.3">
      <c r="A3" s="92"/>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3"/>
      <c r="AM3" s="102" t="s">
        <v>160</v>
      </c>
    </row>
    <row r="4" spans="1:54" ht="14.4" x14ac:dyDescent="0.3">
      <c r="A4" s="513"/>
      <c r="B4" s="513"/>
      <c r="C4" s="513"/>
      <c r="D4" s="513"/>
      <c r="E4" s="513"/>
      <c r="F4" s="513"/>
      <c r="G4" s="89"/>
      <c r="H4" s="514">
        <f ca="1">TODAY()</f>
        <v>46184</v>
      </c>
      <c r="I4" s="514"/>
      <c r="J4" s="514"/>
      <c r="K4" s="514"/>
      <c r="L4" s="514"/>
      <c r="M4" s="88"/>
      <c r="N4"/>
      <c r="O4"/>
      <c r="P4"/>
      <c r="Q4"/>
      <c r="R4"/>
      <c r="S4"/>
      <c r="T4"/>
      <c r="U4"/>
      <c r="V4"/>
      <c r="W4"/>
      <c r="X4"/>
      <c r="Y4"/>
      <c r="Z4"/>
      <c r="AA4"/>
      <c r="AB4"/>
      <c r="AC4"/>
      <c r="AD4"/>
      <c r="AE4" s="88"/>
      <c r="AF4" s="88"/>
      <c r="AG4" s="88"/>
      <c r="AH4" s="88"/>
      <c r="AI4" s="88"/>
      <c r="AJ4" s="88"/>
      <c r="AK4" s="88"/>
      <c r="AL4" s="94"/>
    </row>
    <row r="5" spans="1:54" ht="14.4" x14ac:dyDescent="0.3">
      <c r="A5" s="515" t="s">
        <v>125</v>
      </c>
      <c r="B5" s="515"/>
      <c r="C5" s="515"/>
      <c r="D5" s="515"/>
      <c r="E5" s="515"/>
      <c r="F5" s="515"/>
      <c r="G5" s="151"/>
      <c r="H5" s="515" t="s">
        <v>124</v>
      </c>
      <c r="I5" s="515"/>
      <c r="J5" s="515"/>
      <c r="K5" s="515"/>
      <c r="L5" s="515"/>
      <c r="M5" s="148"/>
      <c r="N5"/>
      <c r="O5"/>
      <c r="P5"/>
      <c r="Q5"/>
      <c r="R5"/>
      <c r="S5"/>
      <c r="T5"/>
      <c r="U5"/>
      <c r="V5"/>
      <c r="W5"/>
      <c r="X5"/>
      <c r="Y5"/>
      <c r="Z5"/>
      <c r="AA5"/>
      <c r="AB5"/>
      <c r="AC5"/>
      <c r="AD5"/>
      <c r="AE5" s="148"/>
      <c r="AF5" s="148"/>
      <c r="AG5" s="148"/>
      <c r="AH5" s="148"/>
      <c r="AI5" s="148"/>
      <c r="AJ5" s="148"/>
      <c r="AK5" s="148"/>
      <c r="AL5" s="156"/>
    </row>
    <row r="6" spans="1:54" ht="14.4" x14ac:dyDescent="0.3">
      <c r="A6" s="153"/>
      <c r="B6" s="153"/>
      <c r="C6" s="153"/>
      <c r="D6" s="153"/>
      <c r="E6" s="153"/>
      <c r="F6" s="153"/>
      <c r="G6" s="151"/>
      <c r="H6" s="148"/>
      <c r="I6" s="148"/>
      <c r="J6" s="148"/>
      <c r="K6" s="148"/>
      <c r="L6" s="148"/>
      <c r="M6" s="148"/>
      <c r="N6"/>
      <c r="O6"/>
      <c r="P6"/>
      <c r="Q6"/>
      <c r="R6"/>
      <c r="S6"/>
      <c r="T6"/>
      <c r="U6"/>
      <c r="V6"/>
      <c r="W6"/>
      <c r="X6"/>
      <c r="Y6"/>
      <c r="Z6"/>
      <c r="AA6"/>
      <c r="AB6"/>
      <c r="AC6"/>
      <c r="AD6"/>
      <c r="AE6" s="148"/>
      <c r="AF6" s="148"/>
      <c r="AG6" s="148"/>
      <c r="AH6" s="148"/>
      <c r="AI6" s="148"/>
      <c r="AJ6" s="148"/>
      <c r="AK6" s="148"/>
      <c r="AL6" s="156"/>
    </row>
    <row r="7" spans="1:54" s="60" customFormat="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s="60" customFormat="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s="60" customFormat="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ht="14.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ht="14.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row>
    <row r="15" spans="1:54" ht="14.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ht="14.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ht="22.95" customHeight="1" x14ac:dyDescent="0.25">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c r="AM17" s="77"/>
    </row>
    <row r="18" spans="1:39" ht="14.4"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ht="14.4" x14ac:dyDescent="0.25">
      <c r="A19" s="326"/>
      <c r="B19" s="59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77"/>
    </row>
    <row r="20" spans="1:39" ht="28.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ht="14.4"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77"/>
    </row>
    <row r="22" spans="1:39" ht="49.2"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ht="14.4"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c r="AM23" s="77"/>
    </row>
    <row r="24" spans="1:39" ht="14.4"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ht="14.4"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c r="AM25" s="77"/>
    </row>
    <row r="26" spans="1:39" ht="14.4"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row>
    <row r="27" spans="1:39" ht="14.4"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77"/>
    </row>
    <row r="28" spans="1:39" ht="14.4" x14ac:dyDescent="0.25">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77"/>
    </row>
    <row r="29" spans="1:39" ht="14.4" x14ac:dyDescent="0.25">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77"/>
    </row>
    <row r="30" spans="1:39" ht="14.4" x14ac:dyDescent="0.25">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77"/>
    </row>
    <row r="31" spans="1:39" ht="14.4" x14ac:dyDescent="0.25">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c r="AM31" s="77"/>
    </row>
    <row r="32" spans="1:39" ht="14.4" x14ac:dyDescent="0.25">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77"/>
    </row>
    <row r="33" spans="1:39" ht="14.4" x14ac:dyDescent="0.25">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77"/>
    </row>
    <row r="34" spans="1:39" ht="14.4" x14ac:dyDescent="0.25">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row>
    <row r="35" spans="1:39" ht="14.4" x14ac:dyDescent="0.25">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101"/>
    </row>
    <row r="36" spans="1:39" ht="14.4" x14ac:dyDescent="0.25">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101" t="s">
        <v>174</v>
      </c>
    </row>
    <row r="37" spans="1:39" ht="33.450000000000003" customHeight="1" x14ac:dyDescent="0.25">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101"/>
    </row>
    <row r="38" spans="1:39" ht="14.4"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101"/>
    </row>
    <row r="39" spans="1:39" ht="14.4" x14ac:dyDescent="0.25">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row>
    <row r="40" spans="1:39" ht="14.4" x14ac:dyDescent="0.25">
      <c r="A40" s="326" t="s">
        <v>1</v>
      </c>
      <c r="B40" s="344" t="s">
        <v>85</v>
      </c>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row>
    <row r="41" spans="1:39" ht="14.4" x14ac:dyDescent="0.3">
      <c r="A41" s="326"/>
      <c r="B41" s="655" t="e">
        <f>T141</f>
        <v>#DIV/0!</v>
      </c>
      <c r="C41" s="655"/>
      <c r="D41" s="655"/>
      <c r="E41" s="655"/>
      <c r="F41" s="655"/>
      <c r="G41" s="655"/>
      <c r="H41" s="655"/>
      <c r="I41" s="655"/>
      <c r="J41" s="655"/>
      <c r="K41" s="655"/>
      <c r="L41" s="655"/>
      <c r="M41" s="655"/>
      <c r="N41" s="655"/>
      <c r="O41" s="655"/>
      <c r="P41" s="655"/>
      <c r="Q41" s="655"/>
      <c r="R41" s="655"/>
      <c r="S41" s="655"/>
      <c r="T41" s="655"/>
      <c r="U41" s="655"/>
      <c r="V41" s="655"/>
      <c r="W41" s="655"/>
      <c r="X41" s="655"/>
      <c r="Y41" s="655"/>
      <c r="Z41" s="655"/>
      <c r="AA41" s="655"/>
      <c r="AB41" s="655"/>
      <c r="AC41" s="655"/>
      <c r="AD41" s="655"/>
      <c r="AE41" s="655"/>
      <c r="AF41" s="655"/>
      <c r="AG41" s="655"/>
      <c r="AH41" s="655"/>
      <c r="AI41" s="655"/>
      <c r="AJ41" s="655"/>
      <c r="AK41" s="655"/>
      <c r="AL41" s="655"/>
      <c r="AM41" s="100" t="s">
        <v>213</v>
      </c>
    </row>
    <row r="42" spans="1:39" ht="28.95" customHeight="1" x14ac:dyDescent="0.25">
      <c r="A42" s="706" t="s">
        <v>6</v>
      </c>
      <c r="B42" s="445" t="s">
        <v>1023</v>
      </c>
      <c r="C42" s="445"/>
      <c r="D42" s="445"/>
      <c r="E42" s="445"/>
      <c r="F42" s="445"/>
      <c r="G42" s="445"/>
      <c r="H42" s="445"/>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row>
    <row r="43" spans="1:39" ht="14.4" x14ac:dyDescent="0.25">
      <c r="A43" s="326"/>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77" t="s">
        <v>165</v>
      </c>
    </row>
    <row r="44" spans="1:39" ht="14.4" x14ac:dyDescent="0.25">
      <c r="A44" s="706" t="s">
        <v>7</v>
      </c>
      <c r="B44" s="444" t="s">
        <v>885</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row>
    <row r="45" spans="1:39" ht="14.4" x14ac:dyDescent="0.25">
      <c r="A45" s="32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row>
    <row r="46" spans="1:39" ht="14.4" x14ac:dyDescent="0.25">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ht="14.7" customHeight="1" x14ac:dyDescent="0.25">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row>
    <row r="48" spans="1:39" ht="16.5"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row>
    <row r="49" spans="1:39" ht="19.5"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t="e">
        <f>B$41</f>
        <v>#DIV/0!</v>
      </c>
      <c r="AA49" s="341"/>
      <c r="AB49" s="341"/>
      <c r="AC49" s="341"/>
      <c r="AD49" s="341"/>
      <c r="AE49" s="341"/>
      <c r="AF49" s="341"/>
      <c r="AG49" s="341"/>
      <c r="AH49" s="341"/>
      <c r="AI49" s="341"/>
      <c r="AJ49" s="341"/>
      <c r="AK49" s="341" t="e">
        <f>ROUND(Z49/Z$51,5)</f>
        <v>#DIV/0!</v>
      </c>
      <c r="AL49" s="341"/>
      <c r="AM49" s="108" t="s">
        <v>634</v>
      </c>
    </row>
    <row r="50" spans="1:39"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M50" s="76" t="s">
        <v>635</v>
      </c>
    </row>
    <row r="51" spans="1:39"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422" t="e">
        <f>SUM(Z48:AJ50)</f>
        <v>#DIV/0!</v>
      </c>
      <c r="AA51" s="422"/>
      <c r="AB51" s="422"/>
      <c r="AC51" s="422"/>
      <c r="AD51" s="422"/>
      <c r="AE51" s="422"/>
      <c r="AF51" s="422"/>
      <c r="AG51" s="422"/>
      <c r="AH51" s="422"/>
      <c r="AI51" s="422"/>
      <c r="AJ51" s="422"/>
      <c r="AK51" s="341" t="e">
        <f>SUM(AK48:AL50)</f>
        <v>#DIV/0!</v>
      </c>
      <c r="AL51" s="341"/>
      <c r="AM51" s="77" t="s">
        <v>1150</v>
      </c>
    </row>
    <row r="52" spans="1:39" ht="42" customHeight="1" x14ac:dyDescent="0.25">
      <c r="A52" s="343" t="s">
        <v>11</v>
      </c>
      <c r="B52" s="374" t="s">
        <v>1070</v>
      </c>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c r="AA52" s="374"/>
      <c r="AB52" s="374"/>
      <c r="AC52" s="374"/>
      <c r="AD52" s="374"/>
      <c r="AE52" s="374"/>
      <c r="AF52" s="374"/>
      <c r="AG52" s="374"/>
      <c r="AH52" s="374"/>
      <c r="AI52" s="374"/>
      <c r="AJ52" s="374"/>
      <c r="AK52" s="374"/>
      <c r="AL52" s="374"/>
      <c r="AM52" s="101"/>
    </row>
    <row r="53" spans="1:39" ht="61.5" customHeight="1" x14ac:dyDescent="0.3">
      <c r="A53" s="343"/>
      <c r="B53" s="388" t="s">
        <v>1072</v>
      </c>
      <c r="C53" s="389"/>
      <c r="D53" s="389"/>
      <c r="E53" s="389"/>
      <c r="F53" s="389"/>
      <c r="G53" s="389"/>
      <c r="H53" s="389"/>
      <c r="I53" s="389"/>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M53" s="101"/>
    </row>
    <row r="54" spans="1:39" ht="14.7" customHeight="1" x14ac:dyDescent="0.3">
      <c r="A54" s="343"/>
      <c r="B54" s="390" t="s">
        <v>703</v>
      </c>
      <c r="C54" s="390"/>
      <c r="D54" s="390"/>
      <c r="E54" s="390"/>
      <c r="F54" s="390"/>
      <c r="G54" s="390"/>
      <c r="H54" s="390"/>
      <c r="I54" s="390"/>
      <c r="J54" s="390"/>
      <c r="K54" s="390"/>
      <c r="L54" s="390"/>
      <c r="M54" s="390"/>
      <c r="N54" s="390"/>
      <c r="O54" s="390"/>
      <c r="P54" s="390"/>
      <c r="Q54" s="390"/>
      <c r="R54" s="390"/>
      <c r="S54" s="386"/>
      <c r="T54" s="387"/>
      <c r="U54" s="387"/>
      <c r="V54" s="387"/>
      <c r="W54" s="387"/>
      <c r="X54" s="387"/>
      <c r="Y54" s="387"/>
      <c r="Z54" s="387"/>
      <c r="AA54" s="387"/>
      <c r="AB54" s="387"/>
      <c r="AC54" s="387"/>
      <c r="AD54" s="387"/>
      <c r="AE54" s="387"/>
      <c r="AF54" s="387"/>
      <c r="AG54" s="387"/>
      <c r="AH54" s="387"/>
      <c r="AI54" s="387"/>
      <c r="AJ54" s="387"/>
      <c r="AK54" s="387"/>
      <c r="AL54" s="387"/>
      <c r="AM54" s="101"/>
    </row>
    <row r="55" spans="1:39" ht="14.7" customHeight="1" x14ac:dyDescent="0.3">
      <c r="A55" s="343"/>
      <c r="B55" s="390" t="s">
        <v>704</v>
      </c>
      <c r="C55" s="390"/>
      <c r="D55" s="390"/>
      <c r="E55" s="390"/>
      <c r="F55" s="390"/>
      <c r="G55" s="390"/>
      <c r="H55" s="390"/>
      <c r="I55" s="390"/>
      <c r="J55" s="390"/>
      <c r="K55" s="390"/>
      <c r="L55" s="390"/>
      <c r="M55" s="390"/>
      <c r="N55" s="390"/>
      <c r="O55" s="390"/>
      <c r="P55" s="390"/>
      <c r="Q55" s="390"/>
      <c r="R55" s="390"/>
      <c r="S55" s="386"/>
      <c r="T55" s="387"/>
      <c r="U55" s="387"/>
      <c r="V55" s="387"/>
      <c r="W55" s="387"/>
      <c r="X55" s="387"/>
      <c r="Y55" s="387"/>
      <c r="Z55" s="387"/>
      <c r="AA55" s="387"/>
      <c r="AB55" s="387"/>
      <c r="AC55" s="387"/>
      <c r="AD55" s="387"/>
      <c r="AE55" s="387"/>
      <c r="AF55" s="387"/>
      <c r="AG55" s="387"/>
      <c r="AH55" s="387"/>
      <c r="AI55" s="387"/>
      <c r="AJ55" s="387"/>
      <c r="AK55" s="387"/>
      <c r="AL55" s="387"/>
      <c r="AM55" s="101"/>
    </row>
    <row r="56" spans="1:39" ht="14.7" customHeight="1" x14ac:dyDescent="0.3">
      <c r="A56" s="343"/>
      <c r="B56" s="390" t="s">
        <v>705</v>
      </c>
      <c r="C56" s="390"/>
      <c r="D56" s="390"/>
      <c r="E56" s="390"/>
      <c r="F56" s="390"/>
      <c r="G56" s="390"/>
      <c r="H56" s="390"/>
      <c r="I56" s="390"/>
      <c r="J56" s="390"/>
      <c r="K56" s="390"/>
      <c r="L56" s="390"/>
      <c r="M56" s="390"/>
      <c r="N56" s="390"/>
      <c r="O56" s="390"/>
      <c r="P56" s="390"/>
      <c r="Q56" s="390"/>
      <c r="R56" s="390"/>
      <c r="S56" s="386"/>
      <c r="T56" s="387"/>
      <c r="U56" s="387"/>
      <c r="V56" s="387"/>
      <c r="W56" s="387"/>
      <c r="X56" s="387"/>
      <c r="Y56" s="387"/>
      <c r="Z56" s="387"/>
      <c r="AA56" s="387"/>
      <c r="AB56" s="387"/>
      <c r="AC56" s="387"/>
      <c r="AD56" s="387"/>
      <c r="AE56" s="387"/>
      <c r="AF56" s="387"/>
      <c r="AG56" s="387"/>
      <c r="AH56" s="387"/>
      <c r="AI56" s="387"/>
      <c r="AJ56" s="387"/>
      <c r="AK56" s="387"/>
      <c r="AL56" s="387"/>
      <c r="AM56" s="101"/>
    </row>
    <row r="57" spans="1:39" ht="30" customHeight="1" x14ac:dyDescent="0.3">
      <c r="A57" s="343"/>
      <c r="B57" s="389" t="s">
        <v>706</v>
      </c>
      <c r="C57" s="389"/>
      <c r="D57" s="389"/>
      <c r="E57" s="389"/>
      <c r="F57" s="389"/>
      <c r="G57" s="389"/>
      <c r="H57" s="389"/>
      <c r="I57" s="389"/>
      <c r="J57" s="389"/>
      <c r="K57" s="389"/>
      <c r="L57" s="389"/>
      <c r="M57" s="389"/>
      <c r="N57" s="389"/>
      <c r="O57" s="389"/>
      <c r="P57" s="389"/>
      <c r="Q57" s="389"/>
      <c r="R57" s="389"/>
      <c r="S57" s="386"/>
      <c r="T57" s="387"/>
      <c r="U57" s="387"/>
      <c r="V57" s="387"/>
      <c r="W57" s="387"/>
      <c r="X57" s="387"/>
      <c r="Y57" s="387"/>
      <c r="Z57" s="387"/>
      <c r="AA57" s="387"/>
      <c r="AB57" s="387"/>
      <c r="AC57" s="387"/>
      <c r="AD57" s="387"/>
      <c r="AE57" s="387"/>
      <c r="AF57" s="387"/>
      <c r="AG57" s="387"/>
      <c r="AH57" s="387"/>
      <c r="AI57" s="387"/>
      <c r="AJ57" s="387"/>
      <c r="AK57" s="387"/>
      <c r="AL57" s="387"/>
      <c r="AM57" s="101"/>
    </row>
    <row r="58" spans="1:39" ht="30" customHeight="1" x14ac:dyDescent="0.3">
      <c r="A58" s="343"/>
      <c r="B58" s="436" t="s">
        <v>887</v>
      </c>
      <c r="C58" s="437"/>
      <c r="D58" s="437"/>
      <c r="E58" s="437"/>
      <c r="F58" s="437"/>
      <c r="G58" s="437"/>
      <c r="H58" s="437"/>
      <c r="I58" s="437"/>
      <c r="J58" s="437"/>
      <c r="K58" s="437"/>
      <c r="L58" s="437"/>
      <c r="M58" s="437"/>
      <c r="N58" s="437"/>
      <c r="O58" s="437"/>
      <c r="P58" s="437"/>
      <c r="Q58" s="437"/>
      <c r="R58" s="438"/>
      <c r="S58" s="428"/>
      <c r="T58" s="429"/>
      <c r="U58" s="429"/>
      <c r="V58" s="429"/>
      <c r="W58" s="429"/>
      <c r="X58" s="429"/>
      <c r="Y58" s="429"/>
      <c r="Z58" s="429"/>
      <c r="AA58" s="429"/>
      <c r="AB58" s="429"/>
      <c r="AC58" s="429"/>
      <c r="AD58" s="429"/>
      <c r="AE58" s="429"/>
      <c r="AF58" s="429"/>
      <c r="AG58" s="429"/>
      <c r="AH58" s="429"/>
      <c r="AI58" s="429"/>
      <c r="AJ58" s="429"/>
      <c r="AK58" s="429"/>
      <c r="AL58" s="430"/>
      <c r="AM58" s="101"/>
    </row>
    <row r="59" spans="1:39" ht="111.45" customHeight="1" x14ac:dyDescent="0.3">
      <c r="A59" s="343"/>
      <c r="B59" s="707" t="s">
        <v>1071</v>
      </c>
      <c r="C59" s="389"/>
      <c r="D59" s="389"/>
      <c r="E59" s="389"/>
      <c r="F59" s="389"/>
      <c r="G59" s="389"/>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101"/>
    </row>
    <row r="60" spans="1:39" ht="14.7" customHeight="1" x14ac:dyDescent="0.3">
      <c r="A60" s="343"/>
      <c r="B60" s="390" t="s">
        <v>707</v>
      </c>
      <c r="C60" s="390"/>
      <c r="D60" s="390"/>
      <c r="E60" s="390"/>
      <c r="F60" s="390"/>
      <c r="G60" s="390"/>
      <c r="H60" s="390"/>
      <c r="I60" s="390"/>
      <c r="J60" s="390"/>
      <c r="K60" s="390"/>
      <c r="L60" s="390"/>
      <c r="M60" s="390"/>
      <c r="N60" s="390"/>
      <c r="O60" s="390"/>
      <c r="P60" s="390"/>
      <c r="Q60" s="390"/>
      <c r="R60" s="390"/>
      <c r="S60" s="386"/>
      <c r="T60" s="387"/>
      <c r="U60" s="387"/>
      <c r="V60" s="387"/>
      <c r="W60" s="387"/>
      <c r="X60" s="387"/>
      <c r="Y60" s="387"/>
      <c r="Z60" s="387"/>
      <c r="AA60" s="387"/>
      <c r="AB60" s="387"/>
      <c r="AC60" s="387"/>
      <c r="AD60" s="387"/>
      <c r="AE60" s="387"/>
      <c r="AF60" s="387"/>
      <c r="AG60" s="387"/>
      <c r="AH60" s="387"/>
      <c r="AI60" s="387"/>
      <c r="AJ60" s="387"/>
      <c r="AK60" s="387"/>
      <c r="AL60" s="387"/>
      <c r="AM60" s="101"/>
    </row>
    <row r="61" spans="1:39" ht="43.5" customHeight="1" x14ac:dyDescent="0.3">
      <c r="A61" s="343"/>
      <c r="B61" s="390" t="s">
        <v>710</v>
      </c>
      <c r="C61" s="390"/>
      <c r="D61" s="390"/>
      <c r="E61" s="390"/>
      <c r="F61" s="390"/>
      <c r="G61" s="390"/>
      <c r="H61" s="390"/>
      <c r="I61" s="390"/>
      <c r="J61" s="390"/>
      <c r="K61" s="390"/>
      <c r="L61" s="390"/>
      <c r="M61" s="390"/>
      <c r="N61" s="390"/>
      <c r="O61" s="390"/>
      <c r="P61" s="390"/>
      <c r="Q61" s="390"/>
      <c r="R61" s="390"/>
      <c r="S61" s="386"/>
      <c r="T61" s="387"/>
      <c r="U61" s="387"/>
      <c r="V61" s="387"/>
      <c r="W61" s="387"/>
      <c r="X61" s="387"/>
      <c r="Y61" s="387"/>
      <c r="Z61" s="387"/>
      <c r="AA61" s="387"/>
      <c r="AB61" s="387"/>
      <c r="AC61" s="387"/>
      <c r="AD61" s="387"/>
      <c r="AE61" s="387"/>
      <c r="AF61" s="387"/>
      <c r="AG61" s="387"/>
      <c r="AH61" s="387"/>
      <c r="AI61" s="387"/>
      <c r="AJ61" s="387"/>
      <c r="AK61" s="387"/>
      <c r="AL61" s="387"/>
      <c r="AM61" s="101"/>
    </row>
    <row r="62" spans="1:39" ht="60" customHeight="1" x14ac:dyDescent="0.3">
      <c r="A62" s="343"/>
      <c r="B62" s="390" t="s">
        <v>709</v>
      </c>
      <c r="C62" s="390"/>
      <c r="D62" s="390"/>
      <c r="E62" s="390"/>
      <c r="F62" s="390"/>
      <c r="G62" s="390"/>
      <c r="H62" s="390"/>
      <c r="I62" s="390"/>
      <c r="J62" s="390"/>
      <c r="K62" s="390"/>
      <c r="L62" s="390"/>
      <c r="M62" s="390"/>
      <c r="N62" s="390"/>
      <c r="O62" s="390"/>
      <c r="P62" s="390"/>
      <c r="Q62" s="390"/>
      <c r="R62" s="390"/>
      <c r="S62" s="386"/>
      <c r="T62" s="387"/>
      <c r="U62" s="387"/>
      <c r="V62" s="387"/>
      <c r="W62" s="387"/>
      <c r="X62" s="387"/>
      <c r="Y62" s="387"/>
      <c r="Z62" s="387"/>
      <c r="AA62" s="387"/>
      <c r="AB62" s="387"/>
      <c r="AC62" s="387"/>
      <c r="AD62" s="387"/>
      <c r="AE62" s="387"/>
      <c r="AF62" s="387"/>
      <c r="AG62" s="387"/>
      <c r="AH62" s="387"/>
      <c r="AI62" s="387"/>
      <c r="AJ62" s="387"/>
      <c r="AK62" s="387"/>
      <c r="AL62" s="387"/>
      <c r="AM62" s="101"/>
    </row>
    <row r="63" spans="1:39" ht="14.7" customHeight="1" x14ac:dyDescent="0.3">
      <c r="A63" s="343"/>
      <c r="B63" s="390" t="s">
        <v>708</v>
      </c>
      <c r="C63" s="390"/>
      <c r="D63" s="390"/>
      <c r="E63" s="390"/>
      <c r="F63" s="390"/>
      <c r="G63" s="390"/>
      <c r="H63" s="390"/>
      <c r="I63" s="390"/>
      <c r="J63" s="390"/>
      <c r="K63" s="390"/>
      <c r="L63" s="390"/>
      <c r="M63" s="390"/>
      <c r="N63" s="390"/>
      <c r="O63" s="390"/>
      <c r="P63" s="390"/>
      <c r="Q63" s="390"/>
      <c r="R63" s="390"/>
      <c r="S63" s="386"/>
      <c r="T63" s="387"/>
      <c r="U63" s="387"/>
      <c r="V63" s="387"/>
      <c r="W63" s="387"/>
      <c r="X63" s="387"/>
      <c r="Y63" s="387"/>
      <c r="Z63" s="387"/>
      <c r="AA63" s="387"/>
      <c r="AB63" s="387"/>
      <c r="AC63" s="387"/>
      <c r="AD63" s="387"/>
      <c r="AE63" s="387"/>
      <c r="AF63" s="387"/>
      <c r="AG63" s="387"/>
      <c r="AH63" s="387"/>
      <c r="AI63" s="387"/>
      <c r="AJ63" s="387"/>
      <c r="AK63" s="387"/>
      <c r="AL63" s="387"/>
      <c r="AM63" s="101"/>
    </row>
    <row r="64" spans="1:39" ht="28.95" customHeight="1" x14ac:dyDescent="0.3">
      <c r="A64" s="343"/>
      <c r="B64" s="436" t="s">
        <v>888</v>
      </c>
      <c r="C64" s="437"/>
      <c r="D64" s="437"/>
      <c r="E64" s="437"/>
      <c r="F64" s="437"/>
      <c r="G64" s="437"/>
      <c r="H64" s="437"/>
      <c r="I64" s="437"/>
      <c r="J64" s="437"/>
      <c r="K64" s="437"/>
      <c r="L64" s="437"/>
      <c r="M64" s="437"/>
      <c r="N64" s="437"/>
      <c r="O64" s="437"/>
      <c r="P64" s="437"/>
      <c r="Q64" s="437"/>
      <c r="R64" s="438"/>
      <c r="S64" s="428"/>
      <c r="T64" s="429"/>
      <c r="U64" s="429"/>
      <c r="V64" s="429"/>
      <c r="W64" s="429"/>
      <c r="X64" s="429"/>
      <c r="Y64" s="429"/>
      <c r="Z64" s="429"/>
      <c r="AA64" s="429"/>
      <c r="AB64" s="429"/>
      <c r="AC64" s="429"/>
      <c r="AD64" s="429"/>
      <c r="AE64" s="429"/>
      <c r="AF64" s="429"/>
      <c r="AG64" s="429"/>
      <c r="AH64" s="429"/>
      <c r="AI64" s="429"/>
      <c r="AJ64" s="429"/>
      <c r="AK64" s="429"/>
      <c r="AL64" s="430"/>
      <c r="AM64" s="101"/>
    </row>
    <row r="65" spans="1:116" ht="69" customHeight="1" x14ac:dyDescent="0.3">
      <c r="A65" s="343" t="s">
        <v>640</v>
      </c>
      <c r="B65" s="388" t="s">
        <v>1073</v>
      </c>
      <c r="C65" s="389"/>
      <c r="D65" s="389"/>
      <c r="E65" s="389"/>
      <c r="F65" s="389"/>
      <c r="G65" s="389"/>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c r="AK65" s="389"/>
      <c r="AL65" s="389"/>
      <c r="AM65" s="101"/>
    </row>
    <row r="66" spans="1:116" ht="14.7" customHeight="1" x14ac:dyDescent="0.3">
      <c r="A66" s="343"/>
      <c r="B66" s="389" t="s">
        <v>711</v>
      </c>
      <c r="C66" s="389"/>
      <c r="D66" s="389"/>
      <c r="E66" s="389"/>
      <c r="F66" s="389"/>
      <c r="G66" s="389"/>
      <c r="H66" s="389"/>
      <c r="I66" s="389"/>
      <c r="J66" s="389"/>
      <c r="K66" s="389"/>
      <c r="L66" s="389"/>
      <c r="M66" s="389"/>
      <c r="N66" s="389"/>
      <c r="O66" s="389"/>
      <c r="P66" s="389"/>
      <c r="Q66" s="389"/>
      <c r="R66" s="389"/>
      <c r="S66" s="389"/>
      <c r="T66" s="389"/>
      <c r="U66" s="389"/>
      <c r="V66" s="389"/>
      <c r="W66" s="389"/>
      <c r="X66" s="389"/>
      <c r="Y66" s="389"/>
      <c r="Z66" s="389"/>
      <c r="AA66" s="389"/>
      <c r="AB66" s="414"/>
      <c r="AC66" s="414"/>
      <c r="AD66" s="414"/>
      <c r="AE66" s="414"/>
      <c r="AF66" s="414"/>
      <c r="AG66" s="414"/>
      <c r="AH66" s="414"/>
      <c r="AI66" s="414"/>
      <c r="AJ66" s="414"/>
      <c r="AK66" s="414"/>
      <c r="AL66" s="414"/>
      <c r="AM66" s="101"/>
    </row>
    <row r="67" spans="1:116" ht="28.5" customHeight="1" x14ac:dyDescent="0.3">
      <c r="A67" s="343"/>
      <c r="B67" s="389" t="s">
        <v>712</v>
      </c>
      <c r="C67" s="389"/>
      <c r="D67" s="389"/>
      <c r="E67" s="389"/>
      <c r="F67" s="389"/>
      <c r="G67" s="389"/>
      <c r="H67" s="389"/>
      <c r="I67" s="389"/>
      <c r="J67" s="389"/>
      <c r="K67" s="389"/>
      <c r="L67" s="389"/>
      <c r="M67" s="389"/>
      <c r="N67" s="389"/>
      <c r="O67" s="389"/>
      <c r="P67" s="389"/>
      <c r="Q67" s="389"/>
      <c r="R67" s="389"/>
      <c r="S67" s="389"/>
      <c r="T67" s="389"/>
      <c r="U67" s="389"/>
      <c r="V67" s="389"/>
      <c r="W67" s="389"/>
      <c r="X67" s="389"/>
      <c r="Y67" s="389"/>
      <c r="Z67" s="389"/>
      <c r="AA67" s="389"/>
      <c r="AB67" s="414" t="s">
        <v>131</v>
      </c>
      <c r="AC67" s="414"/>
      <c r="AD67" s="414"/>
      <c r="AE67" s="414"/>
      <c r="AF67" s="414"/>
      <c r="AG67" s="414"/>
      <c r="AH67" s="414"/>
      <c r="AI67" s="414"/>
      <c r="AJ67" s="414"/>
      <c r="AK67" s="414"/>
      <c r="AL67" s="414"/>
      <c r="AM67" s="101"/>
    </row>
    <row r="68" spans="1:116" ht="26.7" customHeight="1" x14ac:dyDescent="0.3">
      <c r="A68" s="343"/>
      <c r="B68" s="389" t="s">
        <v>713</v>
      </c>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c r="AA68" s="389"/>
      <c r="AB68" s="393"/>
      <c r="AC68" s="394"/>
      <c r="AD68" s="394"/>
      <c r="AE68" s="394"/>
      <c r="AF68" s="394"/>
      <c r="AG68" s="394"/>
      <c r="AH68" s="394"/>
      <c r="AI68" s="394"/>
      <c r="AJ68" s="394"/>
      <c r="AK68" s="394"/>
      <c r="AL68" s="394"/>
      <c r="AM68" s="101"/>
    </row>
    <row r="69" spans="1:116" ht="28.95" customHeight="1" x14ac:dyDescent="0.3">
      <c r="A69" s="343"/>
      <c r="B69" s="389" t="s">
        <v>714</v>
      </c>
      <c r="C69" s="389"/>
      <c r="D69" s="389"/>
      <c r="E69" s="389"/>
      <c r="F69" s="389"/>
      <c r="G69" s="389"/>
      <c r="H69" s="389"/>
      <c r="I69" s="389"/>
      <c r="J69" s="389"/>
      <c r="K69" s="389"/>
      <c r="L69" s="389"/>
      <c r="M69" s="389"/>
      <c r="N69" s="389"/>
      <c r="O69" s="389"/>
      <c r="P69" s="389"/>
      <c r="Q69" s="389"/>
      <c r="R69" s="389"/>
      <c r="S69" s="389"/>
      <c r="T69" s="389"/>
      <c r="U69" s="389"/>
      <c r="V69" s="389"/>
      <c r="W69" s="389"/>
      <c r="X69" s="389"/>
      <c r="Y69" s="389"/>
      <c r="Z69" s="389"/>
      <c r="AA69" s="389"/>
      <c r="AB69" s="393"/>
      <c r="AC69" s="394"/>
      <c r="AD69" s="394"/>
      <c r="AE69" s="394"/>
      <c r="AF69" s="394"/>
      <c r="AG69" s="394"/>
      <c r="AH69" s="394"/>
      <c r="AI69" s="394"/>
      <c r="AJ69" s="394"/>
      <c r="AK69" s="394"/>
      <c r="AL69" s="394"/>
      <c r="AM69" s="101"/>
    </row>
    <row r="70" spans="1:116" ht="14.4" x14ac:dyDescent="0.3">
      <c r="A70" s="150" t="s">
        <v>69</v>
      </c>
      <c r="B70" s="328" t="s">
        <v>70</v>
      </c>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c r="AA70" s="328"/>
      <c r="AB70" s="328"/>
      <c r="AC70" s="328"/>
      <c r="AD70" s="328"/>
      <c r="AE70" s="328"/>
      <c r="AF70" s="328"/>
      <c r="AG70" s="328"/>
      <c r="AH70" s="328"/>
      <c r="AI70" s="328"/>
      <c r="AJ70" s="328"/>
      <c r="AK70" s="328"/>
      <c r="AL70" s="328"/>
    </row>
    <row r="71" spans="1:116" ht="33.450000000000003" customHeight="1" x14ac:dyDescent="0.25">
      <c r="A71" s="508"/>
      <c r="B71" s="508"/>
      <c r="C71" s="508"/>
      <c r="D71" s="508"/>
      <c r="E71" s="508"/>
      <c r="F71" s="508"/>
      <c r="G71" s="508"/>
      <c r="H71" s="508"/>
      <c r="I71" s="508"/>
      <c r="J71" s="508"/>
      <c r="K71" s="508"/>
      <c r="L71" s="508"/>
      <c r="M71" s="508"/>
      <c r="N71" s="508"/>
      <c r="O71" s="508"/>
      <c r="P71" s="508"/>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77"/>
    </row>
    <row r="72" spans="1:116" s="85" customFormat="1" ht="14.4" x14ac:dyDescent="0.3">
      <c r="A72" s="150" t="s">
        <v>90</v>
      </c>
      <c r="B72" s="328" t="s">
        <v>674</v>
      </c>
      <c r="C72" s="328"/>
      <c r="D72" s="328"/>
      <c r="E72" s="328"/>
      <c r="F72" s="328"/>
      <c r="G72" s="328"/>
      <c r="H72" s="328"/>
      <c r="I72" s="328"/>
      <c r="J72" s="328"/>
      <c r="K72" s="328"/>
      <c r="L72" s="328"/>
      <c r="M72" s="328"/>
      <c r="N72" s="328"/>
      <c r="O72" s="328"/>
      <c r="P72" s="328"/>
      <c r="Q72" s="328"/>
      <c r="R72" s="328"/>
      <c r="S72" s="328"/>
      <c r="T72" s="328"/>
      <c r="U72" s="328"/>
      <c r="V72" s="328"/>
      <c r="W72" s="328"/>
      <c r="X72" s="328"/>
      <c r="Y72" s="328"/>
      <c r="Z72" s="328"/>
      <c r="AA72" s="328"/>
      <c r="AB72" s="328"/>
      <c r="AC72" s="328"/>
      <c r="AD72" s="328"/>
      <c r="AE72" s="328"/>
      <c r="AF72" s="328"/>
      <c r="AG72" s="328"/>
      <c r="AH72" s="328"/>
      <c r="AI72" s="328"/>
      <c r="AJ72" s="328"/>
      <c r="AK72" s="328"/>
      <c r="AL72" s="328"/>
      <c r="AM72" s="78"/>
      <c r="AN72" s="82"/>
      <c r="AO72" s="82"/>
      <c r="AP72" s="82"/>
      <c r="AQ72" s="82"/>
      <c r="AR72" s="64"/>
      <c r="AS72" s="64"/>
      <c r="AT72" s="64"/>
      <c r="AU72" s="64"/>
      <c r="AV72" s="64"/>
      <c r="AW72" s="64"/>
      <c r="AX72" s="64"/>
      <c r="AY72" s="64"/>
      <c r="AZ72" s="64"/>
      <c r="BA72" s="64"/>
      <c r="BB72" s="64"/>
      <c r="BC72" s="64"/>
      <c r="BD72" s="64"/>
      <c r="BE72" s="64"/>
      <c r="BF72" s="64"/>
      <c r="BG72" s="64"/>
      <c r="BH72" s="64"/>
      <c r="BI72" s="64"/>
      <c r="BJ72" s="64"/>
      <c r="BK72" s="64"/>
      <c r="BL72" s="64"/>
      <c r="BM72" s="64"/>
      <c r="BN72" s="64"/>
      <c r="BO72" s="64"/>
      <c r="BP72" s="64"/>
      <c r="BQ72" s="64"/>
      <c r="BR72" s="64"/>
      <c r="BS72" s="64"/>
      <c r="BT72" s="64"/>
      <c r="BU72" s="64"/>
      <c r="BV72" s="64"/>
      <c r="BW72" s="64"/>
      <c r="BX72" s="64"/>
      <c r="BY72" s="64"/>
      <c r="BZ72" s="64"/>
      <c r="CA72" s="64"/>
      <c r="CB72" s="64"/>
      <c r="CC72" s="64"/>
      <c r="CD72" s="64"/>
      <c r="CE72" s="64"/>
      <c r="CF72" s="64"/>
      <c r="CG72" s="64"/>
      <c r="CH72" s="64"/>
      <c r="CI72" s="64"/>
      <c r="CJ72" s="64"/>
      <c r="CK72" s="64"/>
      <c r="CL72" s="64"/>
      <c r="CM72" s="64"/>
      <c r="CN72" s="64"/>
      <c r="CO72" s="64"/>
      <c r="CP72" s="64"/>
      <c r="CQ72" s="64"/>
      <c r="CR72" s="64"/>
      <c r="CS72" s="64"/>
      <c r="CT72" s="64"/>
      <c r="CU72" s="64"/>
      <c r="CV72" s="64"/>
      <c r="CW72" s="64"/>
      <c r="CX72" s="64"/>
      <c r="CY72" s="64"/>
      <c r="CZ72" s="64"/>
      <c r="DA72" s="64"/>
      <c r="DB72" s="64"/>
      <c r="DC72" s="64"/>
      <c r="DD72" s="64"/>
      <c r="DE72" s="64"/>
      <c r="DF72" s="64"/>
      <c r="DG72" s="64"/>
      <c r="DH72" s="64"/>
      <c r="DI72" s="64"/>
      <c r="DJ72" s="64"/>
      <c r="DK72" s="64"/>
      <c r="DL72" s="64"/>
    </row>
    <row r="73" spans="1:116" ht="16.5" customHeight="1" x14ac:dyDescent="0.25">
      <c r="A73" s="289" t="s">
        <v>134</v>
      </c>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row>
    <row r="74" spans="1:116" ht="14.4" x14ac:dyDescent="0.25">
      <c r="A74" s="708"/>
      <c r="B74" s="708"/>
      <c r="C74" s="708"/>
      <c r="D74" s="708"/>
      <c r="E74" s="708"/>
      <c r="F74" s="708"/>
      <c r="G74" s="708"/>
      <c r="H74" s="708"/>
      <c r="I74" s="708"/>
      <c r="J74" s="708"/>
      <c r="K74" s="708"/>
      <c r="L74" s="708"/>
      <c r="M74" s="708"/>
      <c r="N74" s="708"/>
      <c r="O74" s="708"/>
      <c r="P74" s="708"/>
      <c r="Q74" s="708"/>
      <c r="R74" s="708"/>
      <c r="S74" s="708"/>
      <c r="T74" s="708"/>
      <c r="U74" s="708"/>
      <c r="V74" s="708"/>
      <c r="W74" s="708"/>
      <c r="X74" s="708"/>
      <c r="Y74" s="708"/>
      <c r="Z74" s="708"/>
      <c r="AA74" s="708"/>
      <c r="AB74" s="708"/>
      <c r="AC74" s="708"/>
      <c r="AD74" s="708"/>
      <c r="AE74" s="708"/>
      <c r="AF74" s="708"/>
      <c r="AG74" s="708"/>
      <c r="AH74" s="708"/>
      <c r="AI74" s="708"/>
      <c r="AJ74" s="708"/>
      <c r="AK74" s="708"/>
      <c r="AL74" s="708"/>
      <c r="AM74" s="77"/>
    </row>
    <row r="75" spans="1:116" ht="14.4" x14ac:dyDescent="0.25">
      <c r="A75" s="149" t="s">
        <v>91</v>
      </c>
      <c r="B75" s="351" t="s">
        <v>132</v>
      </c>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c r="AH75" s="351"/>
      <c r="AI75" s="351"/>
      <c r="AJ75" s="351"/>
      <c r="AK75" s="351"/>
      <c r="AL75" s="351"/>
      <c r="AM75" s="335"/>
      <c r="AN75" s="335"/>
      <c r="AO75" s="335"/>
      <c r="AP75" s="335"/>
      <c r="AQ75" s="335"/>
      <c r="AR75" s="335"/>
      <c r="AS75" s="335"/>
      <c r="AT75" s="335"/>
      <c r="AU75" s="335"/>
    </row>
    <row r="76" spans="1:116" ht="70.5" customHeight="1" x14ac:dyDescent="0.25">
      <c r="A76" s="508"/>
      <c r="B76" s="508"/>
      <c r="C76" s="508"/>
      <c r="D76" s="508"/>
      <c r="E76" s="508"/>
      <c r="F76" s="508"/>
      <c r="G76" s="508"/>
      <c r="H76" s="508"/>
      <c r="I76" s="508"/>
      <c r="J76" s="508"/>
      <c r="K76" s="508"/>
      <c r="L76" s="508"/>
      <c r="M76" s="508"/>
      <c r="N76" s="508"/>
      <c r="O76" s="508"/>
      <c r="P76" s="508"/>
      <c r="Q76" s="508"/>
      <c r="R76" s="508"/>
      <c r="S76" s="508"/>
      <c r="T76" s="508"/>
      <c r="U76" s="508"/>
      <c r="V76" s="508"/>
      <c r="W76" s="508"/>
      <c r="X76" s="508"/>
      <c r="Y76" s="508"/>
      <c r="Z76" s="508"/>
      <c r="AA76" s="508"/>
      <c r="AB76" s="508"/>
      <c r="AC76" s="508"/>
      <c r="AD76" s="508"/>
      <c r="AE76" s="508"/>
      <c r="AF76" s="508"/>
      <c r="AG76" s="508"/>
      <c r="AH76" s="508"/>
      <c r="AI76" s="508"/>
      <c r="AJ76" s="508"/>
      <c r="AK76" s="508"/>
      <c r="AL76" s="508"/>
      <c r="AM76" s="335"/>
      <c r="AN76" s="335"/>
      <c r="AO76" s="335"/>
      <c r="AP76" s="335"/>
      <c r="AQ76" s="335"/>
      <c r="AR76" s="335"/>
      <c r="AS76" s="335"/>
      <c r="AT76" s="335"/>
      <c r="AU76" s="335"/>
    </row>
    <row r="77" spans="1:116" ht="15.75" customHeight="1" x14ac:dyDescent="0.25">
      <c r="A77" s="328" t="s">
        <v>1101</v>
      </c>
      <c r="B77" s="328"/>
      <c r="C77" s="328"/>
      <c r="D77" s="328"/>
      <c r="E77" s="328"/>
      <c r="F77" s="328"/>
      <c r="G77" s="328"/>
      <c r="H77" s="328"/>
      <c r="I77" s="328"/>
      <c r="J77" s="328"/>
      <c r="K77" s="328"/>
      <c r="L77" s="328"/>
      <c r="M77" s="328"/>
      <c r="N77" s="328"/>
      <c r="O77" s="328"/>
      <c r="P77" s="328"/>
      <c r="Q77" s="328"/>
      <c r="R77" s="328"/>
      <c r="S77" s="328"/>
      <c r="T77" s="328"/>
      <c r="U77" s="328"/>
      <c r="V77" s="328"/>
      <c r="W77" s="328"/>
      <c r="X77" s="328"/>
      <c r="Y77" s="328"/>
      <c r="Z77" s="328"/>
      <c r="AA77" s="328"/>
      <c r="AB77" s="328"/>
      <c r="AC77" s="328"/>
      <c r="AD77" s="328"/>
      <c r="AE77" s="328"/>
      <c r="AF77" s="328"/>
      <c r="AG77" s="328"/>
      <c r="AH77" s="328"/>
      <c r="AI77" s="328"/>
      <c r="AJ77" s="328"/>
      <c r="AK77" s="328"/>
      <c r="AL77" s="328"/>
      <c r="AM77" s="103"/>
      <c r="AN77" s="103"/>
      <c r="AO77" s="103"/>
      <c r="AP77" s="103"/>
      <c r="AQ77" s="103"/>
      <c r="AR77" s="142"/>
      <c r="AS77" s="142"/>
      <c r="AT77" s="142"/>
      <c r="AU77" s="142"/>
    </row>
    <row r="78" spans="1:116" ht="14.4" x14ac:dyDescent="0.25">
      <c r="A78" s="328" t="s">
        <v>1085</v>
      </c>
      <c r="B78" s="328"/>
      <c r="C78" s="328"/>
      <c r="D78" s="328"/>
      <c r="E78" s="328"/>
      <c r="F78" s="328"/>
      <c r="G78" s="328"/>
      <c r="H78" s="328"/>
      <c r="I78" s="328"/>
      <c r="J78" s="328"/>
      <c r="K78" s="328"/>
      <c r="L78" s="328"/>
      <c r="M78" s="328"/>
      <c r="N78" s="328"/>
      <c r="O78" s="328"/>
      <c r="P78" s="328"/>
      <c r="Q78" s="328"/>
      <c r="R78" s="328"/>
      <c r="S78" s="328"/>
      <c r="T78" s="328"/>
      <c r="U78" s="328"/>
      <c r="V78" s="328"/>
      <c r="W78" s="328"/>
      <c r="X78" s="328"/>
      <c r="Y78" s="328"/>
      <c r="Z78" s="328"/>
      <c r="AA78" s="328"/>
      <c r="AB78" s="328"/>
      <c r="AC78" s="328"/>
      <c r="AD78" s="328"/>
      <c r="AE78" s="328"/>
      <c r="AF78" s="328"/>
      <c r="AG78" s="328"/>
      <c r="AH78" s="328"/>
      <c r="AI78" s="328"/>
      <c r="AJ78" s="328"/>
      <c r="AK78" s="328"/>
      <c r="AL78" s="328"/>
    </row>
    <row r="79" spans="1:116" ht="14.4" x14ac:dyDescent="0.25">
      <c r="A79" s="443"/>
      <c r="B79" s="443"/>
      <c r="C79" s="443"/>
      <c r="D79" s="443"/>
      <c r="E79" s="443"/>
      <c r="F79" s="443"/>
      <c r="G79" s="443"/>
      <c r="H79" s="443"/>
      <c r="I79" s="443"/>
      <c r="J79" s="443"/>
      <c r="K79" s="443"/>
      <c r="L79" s="443"/>
      <c r="M79" s="443"/>
      <c r="N79" s="443"/>
      <c r="O79" s="443"/>
      <c r="P79" s="443"/>
      <c r="Q79" s="443"/>
      <c r="R79" s="443"/>
      <c r="S79" s="443"/>
      <c r="T79" s="443"/>
      <c r="U79" s="443"/>
      <c r="V79" s="443"/>
      <c r="W79" s="443"/>
      <c r="X79" s="443"/>
      <c r="Y79" s="443"/>
      <c r="Z79" s="443"/>
      <c r="AA79" s="443"/>
      <c r="AB79" s="443"/>
      <c r="AC79" s="443"/>
      <c r="AD79" s="443"/>
      <c r="AE79" s="443"/>
      <c r="AF79" s="443"/>
      <c r="AG79" s="443"/>
      <c r="AH79" s="443"/>
      <c r="AI79" s="443"/>
      <c r="AJ79" s="443"/>
      <c r="AK79" s="443"/>
      <c r="AL79" s="443"/>
      <c r="AM79" s="77"/>
    </row>
    <row r="80" spans="1:116" ht="19.5" customHeight="1" x14ac:dyDescent="0.25">
      <c r="A80" s="332" t="s">
        <v>1091</v>
      </c>
      <c r="B80" s="332"/>
      <c r="C80" s="332"/>
      <c r="D80" s="332"/>
      <c r="E80" s="332"/>
      <c r="F80" s="332"/>
      <c r="G80" s="332"/>
      <c r="H80" s="332"/>
      <c r="I80" s="332"/>
      <c r="J80" s="332"/>
      <c r="K80" s="332"/>
      <c r="L80" s="332"/>
      <c r="M80" s="332"/>
      <c r="N80" s="332"/>
      <c r="O80" s="332"/>
      <c r="P80" s="332"/>
      <c r="Q80" s="332"/>
      <c r="R80" s="332"/>
      <c r="S80" s="332"/>
      <c r="T80" s="332"/>
      <c r="U80" s="332"/>
      <c r="V80" s="332"/>
      <c r="W80" s="332"/>
      <c r="X80" s="332"/>
      <c r="Y80" s="332"/>
      <c r="Z80" s="332"/>
      <c r="AA80" s="332"/>
      <c r="AB80" s="332"/>
      <c r="AC80" s="332"/>
      <c r="AD80" s="332"/>
      <c r="AE80" s="332"/>
      <c r="AF80" s="332"/>
      <c r="AG80" s="332"/>
      <c r="AH80" s="332"/>
      <c r="AI80" s="332"/>
      <c r="AJ80" s="332"/>
      <c r="AK80" s="332"/>
      <c r="AL80" s="332"/>
      <c r="AM80" s="335"/>
      <c r="AN80" s="335"/>
      <c r="AO80" s="335"/>
      <c r="AP80" s="335"/>
      <c r="AQ80" s="335"/>
      <c r="AR80" s="335"/>
      <c r="AS80" s="335"/>
      <c r="AT80" s="335"/>
    </row>
    <row r="81" spans="1:52" ht="14.4" x14ac:dyDescent="0.25">
      <c r="A81" s="635"/>
      <c r="B81" s="636"/>
      <c r="C81" s="636"/>
      <c r="D81" s="636"/>
      <c r="E81" s="636"/>
      <c r="F81" s="636"/>
      <c r="G81" s="636"/>
      <c r="H81" s="636"/>
      <c r="I81" s="636"/>
      <c r="J81" s="636"/>
      <c r="K81" s="636"/>
      <c r="L81" s="636"/>
      <c r="M81" s="636"/>
      <c r="N81" s="636"/>
      <c r="O81" s="636"/>
      <c r="P81" s="636"/>
      <c r="Q81" s="636"/>
      <c r="R81" s="636"/>
      <c r="S81" s="636"/>
      <c r="T81" s="636"/>
      <c r="U81" s="636"/>
      <c r="V81" s="636"/>
      <c r="W81" s="636"/>
      <c r="X81" s="636"/>
      <c r="Y81" s="636"/>
      <c r="Z81" s="636"/>
      <c r="AA81" s="636"/>
      <c r="AB81" s="636"/>
      <c r="AC81" s="636"/>
      <c r="AD81" s="636"/>
      <c r="AE81" s="636"/>
      <c r="AF81" s="636"/>
      <c r="AG81" s="636"/>
      <c r="AH81" s="636"/>
      <c r="AI81" s="636"/>
      <c r="AJ81" s="636"/>
      <c r="AK81" s="636"/>
      <c r="AL81" s="637"/>
      <c r="AM81" s="77"/>
    </row>
    <row r="82" spans="1:52" ht="21.75" customHeight="1" x14ac:dyDescent="0.25">
      <c r="A82" s="308" t="s">
        <v>1092</v>
      </c>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c r="AH82" s="308"/>
      <c r="AI82" s="308"/>
      <c r="AJ82" s="308"/>
      <c r="AK82" s="308"/>
      <c r="AL82" s="308"/>
    </row>
    <row r="83" spans="1:52" ht="14.4" x14ac:dyDescent="0.25">
      <c r="A83" s="710"/>
      <c r="B83" s="710"/>
      <c r="C83" s="710"/>
      <c r="D83" s="710"/>
      <c r="E83" s="710"/>
      <c r="F83" s="710"/>
      <c r="G83" s="710"/>
      <c r="H83" s="710"/>
      <c r="I83" s="710"/>
      <c r="J83" s="710"/>
      <c r="K83" s="710"/>
      <c r="L83" s="710"/>
      <c r="M83" s="710"/>
      <c r="N83" s="710"/>
      <c r="O83" s="710"/>
      <c r="P83" s="710"/>
      <c r="Q83" s="710"/>
      <c r="R83" s="710"/>
      <c r="S83" s="710"/>
      <c r="T83" s="710"/>
      <c r="U83" s="710"/>
      <c r="V83" s="710"/>
      <c r="W83" s="710"/>
      <c r="X83" s="710"/>
      <c r="Y83" s="710"/>
      <c r="Z83" s="710"/>
      <c r="AA83" s="710"/>
      <c r="AB83" s="710"/>
      <c r="AC83" s="710"/>
      <c r="AD83" s="710"/>
      <c r="AE83" s="710"/>
      <c r="AF83" s="710"/>
      <c r="AG83" s="710"/>
      <c r="AH83" s="710"/>
      <c r="AI83" s="710"/>
      <c r="AJ83" s="710"/>
      <c r="AK83" s="710"/>
      <c r="AL83" s="710"/>
      <c r="AM83" s="77"/>
      <c r="AR83" s="61"/>
      <c r="AS83" s="61"/>
      <c r="AT83" s="61"/>
      <c r="AU83" s="61"/>
      <c r="AV83" s="61"/>
    </row>
    <row r="84" spans="1:52" ht="19.5" customHeight="1" x14ac:dyDescent="0.25">
      <c r="A84" s="308" t="s">
        <v>1093</v>
      </c>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08"/>
      <c r="AH84" s="308"/>
      <c r="AI84" s="308"/>
      <c r="AJ84" s="308"/>
      <c r="AK84" s="308"/>
      <c r="AL84" s="308"/>
      <c r="AM84" s="335"/>
      <c r="AN84" s="335"/>
      <c r="AO84" s="335"/>
      <c r="AP84" s="335"/>
      <c r="AQ84" s="335"/>
      <c r="AR84" s="335"/>
      <c r="AS84" s="335"/>
      <c r="AT84" s="335"/>
      <c r="AU84" s="335"/>
      <c r="AV84" s="335"/>
    </row>
    <row r="85" spans="1:52" ht="14.4" x14ac:dyDescent="0.25">
      <c r="A85" s="708"/>
      <c r="B85" s="708"/>
      <c r="C85" s="708"/>
      <c r="D85" s="708"/>
      <c r="E85" s="708"/>
      <c r="F85" s="708"/>
      <c r="G85" s="708"/>
      <c r="H85" s="708"/>
      <c r="I85" s="708"/>
      <c r="J85" s="708"/>
      <c r="K85" s="708"/>
      <c r="L85" s="708"/>
      <c r="M85" s="708"/>
      <c r="N85" s="708"/>
      <c r="O85" s="708"/>
      <c r="P85" s="708"/>
      <c r="Q85" s="708"/>
      <c r="R85" s="708"/>
      <c r="S85" s="708"/>
      <c r="T85" s="708"/>
      <c r="U85" s="708"/>
      <c r="V85" s="708"/>
      <c r="W85" s="708"/>
      <c r="X85" s="708"/>
      <c r="Y85" s="708"/>
      <c r="Z85" s="708"/>
      <c r="AA85" s="708"/>
      <c r="AB85" s="708"/>
      <c r="AC85" s="708"/>
      <c r="AD85" s="708"/>
      <c r="AE85" s="708"/>
      <c r="AF85" s="708"/>
      <c r="AG85" s="708"/>
      <c r="AH85" s="708"/>
      <c r="AI85" s="708"/>
      <c r="AJ85" s="708"/>
      <c r="AK85" s="708"/>
      <c r="AL85" s="708"/>
      <c r="AM85" s="77"/>
      <c r="AR85" s="61"/>
      <c r="AS85" s="61"/>
      <c r="AT85" s="61"/>
      <c r="AU85" s="61"/>
      <c r="AV85" s="61"/>
    </row>
    <row r="86" spans="1:52" ht="17.7" customHeight="1" x14ac:dyDescent="0.25">
      <c r="A86" s="308" t="s">
        <v>1094</v>
      </c>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c r="AD86" s="308"/>
      <c r="AE86" s="308"/>
      <c r="AF86" s="308"/>
      <c r="AG86" s="308"/>
      <c r="AH86" s="308"/>
      <c r="AI86" s="308"/>
      <c r="AJ86" s="308"/>
      <c r="AK86" s="308"/>
      <c r="AL86" s="308"/>
      <c r="AM86" s="335"/>
      <c r="AN86" s="335"/>
      <c r="AO86" s="335"/>
      <c r="AP86" s="335"/>
      <c r="AQ86" s="335"/>
      <c r="AR86" s="335"/>
      <c r="AS86" s="335"/>
      <c r="AT86" s="335"/>
      <c r="AU86" s="335"/>
      <c r="AV86" s="335"/>
    </row>
    <row r="87" spans="1:52" ht="14.4" x14ac:dyDescent="0.25">
      <c r="A87" s="635"/>
      <c r="B87" s="636"/>
      <c r="C87" s="636"/>
      <c r="D87" s="636"/>
      <c r="E87" s="636"/>
      <c r="F87" s="636"/>
      <c r="G87" s="636"/>
      <c r="H87" s="636"/>
      <c r="I87" s="636"/>
      <c r="J87" s="636"/>
      <c r="K87" s="636"/>
      <c r="L87" s="636"/>
      <c r="M87" s="636"/>
      <c r="N87" s="636"/>
      <c r="O87" s="636"/>
      <c r="P87" s="636"/>
      <c r="Q87" s="636"/>
      <c r="R87" s="636"/>
      <c r="S87" s="636"/>
      <c r="T87" s="636"/>
      <c r="U87" s="636"/>
      <c r="V87" s="636"/>
      <c r="W87" s="636"/>
      <c r="X87" s="636"/>
      <c r="Y87" s="636"/>
      <c r="Z87" s="636"/>
      <c r="AA87" s="636"/>
      <c r="AB87" s="636"/>
      <c r="AC87" s="636"/>
      <c r="AD87" s="636"/>
      <c r="AE87" s="636"/>
      <c r="AF87" s="636"/>
      <c r="AG87" s="636"/>
      <c r="AH87" s="636"/>
      <c r="AI87" s="636"/>
      <c r="AJ87" s="636"/>
      <c r="AK87" s="636"/>
      <c r="AL87" s="637"/>
      <c r="AM87" s="335"/>
      <c r="AN87" s="335"/>
      <c r="AO87" s="335"/>
      <c r="AP87" s="335"/>
      <c r="AQ87" s="335"/>
      <c r="AR87" s="335"/>
      <c r="AS87" s="335"/>
      <c r="AT87" s="335"/>
      <c r="AU87" s="335"/>
      <c r="AV87" s="61"/>
    </row>
    <row r="88" spans="1:52" ht="28.5" customHeight="1" x14ac:dyDescent="0.25">
      <c r="A88" s="308" t="s">
        <v>1095</v>
      </c>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c r="AH88" s="308"/>
      <c r="AI88" s="308"/>
      <c r="AJ88" s="308"/>
      <c r="AK88" s="308"/>
      <c r="AL88" s="308"/>
      <c r="AM88" s="335"/>
      <c r="AN88" s="335"/>
      <c r="AO88" s="335"/>
      <c r="AP88" s="335"/>
      <c r="AQ88" s="335"/>
      <c r="AR88" s="335"/>
      <c r="AS88" s="335"/>
      <c r="AT88" s="335"/>
      <c r="AU88" s="335"/>
      <c r="AV88" s="67"/>
      <c r="AW88" s="67"/>
      <c r="AX88" s="67"/>
    </row>
    <row r="89" spans="1:52" ht="15" customHeight="1" x14ac:dyDescent="0.25">
      <c r="A89" s="632"/>
      <c r="B89" s="633"/>
      <c r="C89" s="633"/>
      <c r="D89" s="633"/>
      <c r="E89" s="633"/>
      <c r="F89" s="633"/>
      <c r="G89" s="633"/>
      <c r="H89" s="633"/>
      <c r="I89" s="633"/>
      <c r="J89" s="633"/>
      <c r="K89" s="633"/>
      <c r="L89" s="633"/>
      <c r="M89" s="633"/>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335"/>
      <c r="AN89" s="335"/>
      <c r="AO89" s="335"/>
      <c r="AP89" s="335"/>
      <c r="AQ89" s="335"/>
      <c r="AR89" s="335"/>
      <c r="AS89" s="335"/>
      <c r="AT89" s="335"/>
      <c r="AU89" s="335"/>
      <c r="AV89" s="335"/>
      <c r="AW89" s="335"/>
      <c r="AX89" s="335"/>
      <c r="AY89" s="335"/>
      <c r="AZ89" s="335"/>
    </row>
    <row r="90" spans="1:52" ht="78" customHeight="1" x14ac:dyDescent="0.25">
      <c r="A90" s="308" t="s">
        <v>1105</v>
      </c>
      <c r="B90" s="332"/>
      <c r="C90" s="332"/>
      <c r="D90" s="332"/>
      <c r="E90" s="332"/>
      <c r="F90" s="332"/>
      <c r="G90" s="332"/>
      <c r="H90" s="332"/>
      <c r="I90" s="332"/>
      <c r="J90" s="332"/>
      <c r="K90" s="332"/>
      <c r="L90" s="332"/>
      <c r="M90" s="332"/>
      <c r="N90" s="332"/>
      <c r="O90" s="332"/>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c r="AM90" s="335"/>
      <c r="AN90" s="335"/>
      <c r="AO90" s="335"/>
      <c r="AP90" s="335"/>
      <c r="AQ90" s="335"/>
      <c r="AR90" s="335"/>
      <c r="AS90" s="335"/>
      <c r="AT90" s="335"/>
      <c r="AU90" s="335"/>
      <c r="AV90" s="335"/>
      <c r="AW90" s="335"/>
      <c r="AX90" s="335"/>
      <c r="AY90" s="335"/>
      <c r="AZ90" s="335"/>
    </row>
    <row r="91" spans="1:52" ht="25.2" customHeight="1" x14ac:dyDescent="0.25">
      <c r="A91" s="709"/>
      <c r="B91" s="709"/>
      <c r="C91" s="709"/>
      <c r="D91" s="709"/>
      <c r="E91" s="709"/>
      <c r="F91" s="709"/>
      <c r="G91" s="709"/>
      <c r="H91" s="709"/>
      <c r="I91" s="709"/>
      <c r="J91" s="709"/>
      <c r="K91" s="709"/>
      <c r="L91" s="709"/>
      <c r="M91" s="709"/>
      <c r="N91" s="709"/>
      <c r="O91" s="709"/>
      <c r="P91" s="709"/>
      <c r="Q91" s="709"/>
      <c r="R91" s="709"/>
      <c r="S91" s="709"/>
      <c r="T91" s="709"/>
      <c r="U91" s="709"/>
      <c r="V91" s="709"/>
      <c r="W91" s="709"/>
      <c r="X91" s="709"/>
      <c r="Y91" s="709"/>
      <c r="Z91" s="709"/>
      <c r="AA91" s="709"/>
      <c r="AB91" s="709"/>
      <c r="AC91" s="709"/>
      <c r="AD91" s="709"/>
      <c r="AE91" s="709"/>
      <c r="AF91" s="709"/>
      <c r="AG91" s="709"/>
      <c r="AH91" s="709"/>
      <c r="AI91" s="709"/>
      <c r="AJ91" s="709"/>
      <c r="AK91" s="709"/>
      <c r="AL91" s="709"/>
      <c r="AM91" s="335"/>
      <c r="AN91" s="335"/>
      <c r="AO91" s="335"/>
      <c r="AP91" s="335"/>
      <c r="AQ91" s="335"/>
      <c r="AR91" s="335"/>
      <c r="AS91" s="335"/>
      <c r="AT91" s="335"/>
      <c r="AU91" s="335"/>
      <c r="AV91" s="335"/>
      <c r="AW91" s="335"/>
      <c r="AX91" s="335"/>
      <c r="AY91" s="335"/>
      <c r="AZ91" s="335"/>
    </row>
    <row r="92" spans="1:52" ht="14.4" x14ac:dyDescent="0.25">
      <c r="A92" s="328" t="s">
        <v>687</v>
      </c>
      <c r="B92" s="328"/>
      <c r="C92" s="328"/>
      <c r="D92" s="328"/>
      <c r="E92" s="328"/>
      <c r="F92" s="328"/>
      <c r="G92" s="328"/>
      <c r="H92" s="328"/>
      <c r="I92" s="328"/>
      <c r="J92" s="328"/>
      <c r="K92" s="328"/>
      <c r="L92" s="328"/>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335"/>
      <c r="AN92" s="335"/>
      <c r="AO92" s="335"/>
      <c r="AP92" s="335"/>
      <c r="AQ92" s="335"/>
      <c r="AR92" s="335"/>
      <c r="AS92" s="335"/>
      <c r="AT92" s="335"/>
      <c r="AU92" s="335"/>
      <c r="AV92" s="335"/>
      <c r="AW92" s="335"/>
      <c r="AX92" s="335"/>
      <c r="AY92" s="335"/>
      <c r="AZ92" s="335"/>
    </row>
    <row r="93" spans="1:52" ht="37.5" customHeight="1" x14ac:dyDescent="0.25">
      <c r="A93" s="391" t="s">
        <v>735</v>
      </c>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c r="AF93" s="391"/>
      <c r="AG93" s="391"/>
      <c r="AH93" s="391"/>
      <c r="AI93" s="391"/>
      <c r="AJ93" s="391"/>
      <c r="AK93" s="391"/>
      <c r="AL93" s="391"/>
      <c r="AM93" s="101"/>
    </row>
    <row r="94" spans="1:52" ht="45" customHeight="1" x14ac:dyDescent="0.25">
      <c r="A94" s="392" t="s">
        <v>736</v>
      </c>
      <c r="B94" s="392"/>
      <c r="C94" s="392"/>
      <c r="D94" s="392"/>
      <c r="E94" s="392"/>
      <c r="F94" s="392"/>
      <c r="G94" s="392"/>
      <c r="H94" s="392"/>
      <c r="I94" s="392"/>
      <c r="J94" s="392"/>
      <c r="K94" s="392"/>
      <c r="L94" s="392"/>
      <c r="M94" s="392"/>
      <c r="N94" s="392"/>
      <c r="O94" s="392"/>
      <c r="P94" s="392"/>
      <c r="Q94" s="392"/>
      <c r="R94" s="392"/>
      <c r="S94" s="392"/>
      <c r="T94" s="392"/>
      <c r="U94" s="392"/>
      <c r="V94" s="392"/>
      <c r="W94" s="392"/>
      <c r="X94" s="392"/>
      <c r="Y94" s="392"/>
      <c r="Z94" s="392"/>
      <c r="AA94" s="392"/>
      <c r="AB94" s="392"/>
      <c r="AC94" s="392"/>
      <c r="AD94" s="392"/>
      <c r="AE94" s="392"/>
      <c r="AF94" s="392"/>
      <c r="AG94" s="392"/>
      <c r="AH94" s="392"/>
      <c r="AI94" s="392"/>
      <c r="AJ94" s="392"/>
      <c r="AK94" s="392"/>
      <c r="AL94" s="392"/>
      <c r="AM94" s="101"/>
    </row>
    <row r="95" spans="1:52" ht="40.5" customHeight="1" x14ac:dyDescent="0.25">
      <c r="A95" s="308" t="s">
        <v>1109</v>
      </c>
      <c r="B95" s="332"/>
      <c r="C95" s="332"/>
      <c r="D95" s="332"/>
      <c r="E95" s="332"/>
      <c r="F95" s="332"/>
      <c r="G95" s="332"/>
      <c r="H95" s="332"/>
      <c r="I95" s="332"/>
      <c r="J95" s="332"/>
      <c r="K95" s="332"/>
      <c r="L95" s="332"/>
      <c r="M95" s="332"/>
      <c r="N95" s="332"/>
      <c r="O95" s="332"/>
      <c r="P95" s="332"/>
      <c r="Q95" s="332"/>
      <c r="R95" s="332"/>
      <c r="S95" s="332"/>
      <c r="T95" s="332"/>
      <c r="U95" s="332"/>
      <c r="V95" s="332"/>
      <c r="W95" s="332"/>
      <c r="X95" s="332"/>
      <c r="Y95" s="332"/>
      <c r="Z95" s="332"/>
      <c r="AA95" s="332"/>
      <c r="AB95" s="332"/>
      <c r="AC95" s="332"/>
      <c r="AD95" s="332"/>
      <c r="AE95" s="332"/>
      <c r="AF95" s="332"/>
      <c r="AG95" s="332"/>
      <c r="AH95" s="332"/>
      <c r="AI95" s="332"/>
      <c r="AJ95" s="332"/>
      <c r="AK95" s="332"/>
      <c r="AL95" s="332"/>
    </row>
    <row r="96" spans="1:52" ht="45" customHeight="1" x14ac:dyDescent="0.25">
      <c r="A96" s="333" t="s">
        <v>742</v>
      </c>
      <c r="B96" s="333"/>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row>
    <row r="97" spans="1:38" ht="45" customHeight="1" x14ac:dyDescent="0.25">
      <c r="A97" s="405" t="s">
        <v>1131</v>
      </c>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c r="AA97" s="382"/>
      <c r="AB97" s="382"/>
      <c r="AC97" s="382"/>
      <c r="AD97" s="382"/>
      <c r="AE97" s="382"/>
      <c r="AF97" s="382"/>
      <c r="AG97" s="382"/>
      <c r="AH97" s="382"/>
      <c r="AI97" s="382"/>
      <c r="AJ97" s="382"/>
      <c r="AK97" s="382"/>
      <c r="AL97" s="383"/>
    </row>
    <row r="98" spans="1:38" ht="45" customHeight="1" x14ac:dyDescent="0.3">
      <c r="A98" s="406" t="s">
        <v>749</v>
      </c>
      <c r="B98" s="406"/>
      <c r="C98" s="406"/>
      <c r="D98" s="406"/>
      <c r="E98" s="406"/>
      <c r="F98" s="406"/>
      <c r="G98" s="406"/>
      <c r="H98" s="406"/>
      <c r="I98" s="406"/>
      <c r="J98" s="406"/>
      <c r="K98" s="406"/>
      <c r="L98" s="406"/>
      <c r="M98" s="406"/>
      <c r="N98" s="406"/>
      <c r="O98" s="406"/>
      <c r="P98" s="406"/>
      <c r="Q98" s="406"/>
      <c r="R98" s="406"/>
      <c r="S98" s="406"/>
      <c r="T98" s="406"/>
      <c r="U98" s="406"/>
      <c r="V98" s="406"/>
      <c r="W98" s="406"/>
      <c r="X98" s="406"/>
      <c r="Y98" s="406"/>
      <c r="Z98" s="406"/>
      <c r="AA98" s="401"/>
      <c r="AB98" s="402"/>
      <c r="AC98" s="402"/>
      <c r="AD98" s="402"/>
      <c r="AE98" s="402"/>
      <c r="AF98" s="402"/>
      <c r="AG98" s="402"/>
      <c r="AH98" s="402"/>
      <c r="AI98" s="402"/>
      <c r="AJ98" s="402"/>
      <c r="AK98" s="402"/>
      <c r="AL98" s="402"/>
    </row>
    <row r="99" spans="1:38" ht="33" customHeight="1" x14ac:dyDescent="0.3">
      <c r="A99" s="381" t="s">
        <v>750</v>
      </c>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c r="Z99" s="383"/>
      <c r="AA99" s="407"/>
      <c r="AB99" s="408"/>
      <c r="AC99" s="408"/>
      <c r="AD99" s="408"/>
      <c r="AE99" s="408"/>
      <c r="AF99" s="408"/>
      <c r="AG99" s="408"/>
      <c r="AH99" s="408"/>
      <c r="AI99" s="408"/>
      <c r="AJ99" s="408"/>
      <c r="AK99" s="408"/>
      <c r="AL99" s="408"/>
    </row>
    <row r="100" spans="1:38" ht="45" customHeight="1" x14ac:dyDescent="0.3">
      <c r="A100" s="314" t="s">
        <v>931</v>
      </c>
      <c r="B100" s="315"/>
      <c r="C100" s="315"/>
      <c r="D100" s="315"/>
      <c r="E100" s="315"/>
      <c r="F100" s="315"/>
      <c r="G100" s="315"/>
      <c r="H100" s="315"/>
      <c r="I100" s="315"/>
      <c r="J100" s="315"/>
      <c r="K100" s="315"/>
      <c r="L100" s="315"/>
      <c r="M100" s="315"/>
      <c r="N100" s="315"/>
      <c r="O100" s="315"/>
      <c r="P100" s="315"/>
      <c r="Q100" s="315"/>
      <c r="R100" s="315"/>
      <c r="S100" s="315"/>
      <c r="T100" s="315"/>
      <c r="U100" s="315"/>
      <c r="V100" s="315"/>
      <c r="W100" s="315"/>
      <c r="X100" s="315"/>
      <c r="Y100" s="315"/>
      <c r="Z100" s="315"/>
      <c r="AA100" s="398" t="s">
        <v>865</v>
      </c>
      <c r="AB100" s="399"/>
      <c r="AC100" s="399"/>
      <c r="AD100" s="399"/>
      <c r="AE100" s="399"/>
      <c r="AF100" s="399"/>
      <c r="AG100" s="399"/>
      <c r="AH100" s="399"/>
      <c r="AI100" s="400"/>
      <c r="AJ100" s="401"/>
      <c r="AK100" s="402"/>
      <c r="AL100" s="402"/>
    </row>
    <row r="101" spans="1:38" ht="45" customHeight="1" x14ac:dyDescent="0.3">
      <c r="A101" s="409"/>
      <c r="B101" s="397"/>
      <c r="C101" s="397"/>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c r="AA101" s="398" t="s">
        <v>866</v>
      </c>
      <c r="AB101" s="399"/>
      <c r="AC101" s="399"/>
      <c r="AD101" s="399"/>
      <c r="AE101" s="399"/>
      <c r="AF101" s="399"/>
      <c r="AG101" s="399"/>
      <c r="AH101" s="399"/>
      <c r="AI101" s="400"/>
      <c r="AJ101" s="401"/>
      <c r="AK101" s="402"/>
      <c r="AL101" s="402"/>
    </row>
    <row r="102" spans="1:38" ht="87.45" customHeight="1" x14ac:dyDescent="0.25">
      <c r="A102" s="381" t="s">
        <v>932</v>
      </c>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82"/>
      <c r="X102" s="382"/>
      <c r="Y102" s="382"/>
      <c r="Z102" s="383"/>
      <c r="AA102" s="384"/>
      <c r="AB102" s="385"/>
      <c r="AC102" s="385"/>
      <c r="AD102" s="385"/>
      <c r="AE102" s="385"/>
      <c r="AF102" s="385"/>
      <c r="AG102" s="385"/>
      <c r="AH102" s="385"/>
      <c r="AI102" s="385"/>
      <c r="AJ102" s="385"/>
      <c r="AK102" s="385"/>
      <c r="AL102" s="385"/>
    </row>
    <row r="103" spans="1:38" ht="45" customHeight="1" x14ac:dyDescent="0.3">
      <c r="A103" s="377" t="s">
        <v>1132</v>
      </c>
      <c r="B103" s="377"/>
      <c r="C103" s="377"/>
      <c r="D103" s="377"/>
      <c r="E103" s="377"/>
      <c r="F103" s="377"/>
      <c r="G103" s="377"/>
      <c r="H103" s="377"/>
      <c r="I103" s="377"/>
      <c r="J103" s="377"/>
      <c r="K103" s="377"/>
      <c r="L103" s="377"/>
      <c r="M103" s="377"/>
      <c r="N103" s="377"/>
      <c r="O103" s="377"/>
      <c r="P103" s="377"/>
      <c r="Q103" s="377"/>
      <c r="R103" s="377"/>
      <c r="S103" s="377"/>
      <c r="T103" s="377"/>
      <c r="U103" s="377"/>
      <c r="V103" s="377"/>
      <c r="W103" s="377"/>
      <c r="X103" s="377"/>
      <c r="Y103" s="377"/>
      <c r="Z103" s="378"/>
      <c r="AA103" s="398" t="s">
        <v>956</v>
      </c>
      <c r="AB103" s="399"/>
      <c r="AC103" s="399"/>
      <c r="AD103" s="399"/>
      <c r="AE103" s="399"/>
      <c r="AF103" s="399"/>
      <c r="AG103" s="399"/>
      <c r="AH103" s="399"/>
      <c r="AI103" s="400"/>
      <c r="AJ103" s="401"/>
      <c r="AK103" s="402"/>
      <c r="AL103" s="402"/>
    </row>
    <row r="104" spans="1:38" ht="39" customHeight="1" x14ac:dyDescent="0.3">
      <c r="A104" s="379"/>
      <c r="B104" s="379"/>
      <c r="C104" s="379"/>
      <c r="D104" s="379"/>
      <c r="E104" s="379"/>
      <c r="F104" s="379"/>
      <c r="G104" s="379"/>
      <c r="H104" s="379"/>
      <c r="I104" s="379"/>
      <c r="J104" s="379"/>
      <c r="K104" s="379"/>
      <c r="L104" s="379"/>
      <c r="M104" s="379"/>
      <c r="N104" s="379"/>
      <c r="O104" s="379"/>
      <c r="P104" s="379"/>
      <c r="Q104" s="379"/>
      <c r="R104" s="379"/>
      <c r="S104" s="379"/>
      <c r="T104" s="379"/>
      <c r="U104" s="379"/>
      <c r="V104" s="379"/>
      <c r="W104" s="379"/>
      <c r="X104" s="379"/>
      <c r="Y104" s="379"/>
      <c r="Z104" s="380"/>
      <c r="AA104" s="398" t="s">
        <v>955</v>
      </c>
      <c r="AB104" s="399"/>
      <c r="AC104" s="399"/>
      <c r="AD104" s="399"/>
      <c r="AE104" s="399"/>
      <c r="AF104" s="399"/>
      <c r="AG104" s="399"/>
      <c r="AH104" s="399"/>
      <c r="AI104" s="400"/>
      <c r="AJ104" s="407"/>
      <c r="AK104" s="408"/>
      <c r="AL104" s="408"/>
    </row>
    <row r="105" spans="1:38" ht="45" customHeight="1" x14ac:dyDescent="0.3">
      <c r="A105" s="315" t="s">
        <v>933</v>
      </c>
      <c r="B105" s="315"/>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c r="Y105" s="315"/>
      <c r="Z105" s="315"/>
      <c r="AA105" s="398" t="s">
        <v>956</v>
      </c>
      <c r="AB105" s="399"/>
      <c r="AC105" s="399"/>
      <c r="AD105" s="399"/>
      <c r="AE105" s="399"/>
      <c r="AF105" s="399"/>
      <c r="AG105" s="399"/>
      <c r="AH105" s="399"/>
      <c r="AI105" s="400"/>
      <c r="AJ105" s="401"/>
      <c r="AK105" s="402"/>
      <c r="AL105" s="402"/>
    </row>
    <row r="106" spans="1:38" ht="45" customHeight="1" x14ac:dyDescent="0.3">
      <c r="A106" s="397"/>
      <c r="B106" s="397"/>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c r="AA106" s="398" t="s">
        <v>955</v>
      </c>
      <c r="AB106" s="399"/>
      <c r="AC106" s="399"/>
      <c r="AD106" s="399"/>
      <c r="AE106" s="399"/>
      <c r="AF106" s="399"/>
      <c r="AG106" s="399"/>
      <c r="AH106" s="399"/>
      <c r="AI106" s="400"/>
      <c r="AJ106" s="401"/>
      <c r="AK106" s="402"/>
      <c r="AL106" s="402"/>
    </row>
    <row r="107" spans="1:38" ht="43.2" customHeight="1" x14ac:dyDescent="0.25">
      <c r="A107" s="404" t="s">
        <v>929</v>
      </c>
      <c r="B107" s="404"/>
      <c r="C107" s="404"/>
      <c r="D107" s="404"/>
      <c r="E107" s="404"/>
      <c r="F107" s="404"/>
      <c r="G107" s="404"/>
      <c r="H107" s="404"/>
      <c r="I107" s="404"/>
      <c r="J107" s="404"/>
      <c r="K107" s="404"/>
      <c r="L107" s="404"/>
      <c r="M107" s="404"/>
      <c r="N107" s="404"/>
      <c r="O107" s="404"/>
      <c r="P107" s="404"/>
      <c r="Q107" s="404"/>
      <c r="R107" s="404"/>
      <c r="S107" s="404"/>
      <c r="T107" s="404"/>
      <c r="U107" s="404"/>
      <c r="V107" s="404"/>
      <c r="W107" s="404"/>
      <c r="X107" s="404"/>
      <c r="Y107" s="404"/>
      <c r="Z107" s="404"/>
      <c r="AA107" s="404"/>
      <c r="AB107" s="404"/>
      <c r="AC107" s="404"/>
      <c r="AD107" s="404"/>
      <c r="AE107" s="404"/>
      <c r="AF107" s="404"/>
      <c r="AG107" s="404"/>
      <c r="AH107" s="404"/>
      <c r="AI107" s="404"/>
      <c r="AJ107" s="404"/>
      <c r="AK107" s="404"/>
      <c r="AL107" s="404"/>
    </row>
    <row r="108" spans="1:38" ht="175.2" customHeight="1" x14ac:dyDescent="0.3">
      <c r="A108" s="318" t="s">
        <v>1017</v>
      </c>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20"/>
      <c r="AJ108" s="321" t="e">
        <f>ROUNDDOWN(A81/(A81+A83),4)</f>
        <v>#DIV/0!</v>
      </c>
      <c r="AK108" s="322"/>
      <c r="AL108" s="322"/>
    </row>
    <row r="109" spans="1:38" ht="301.2" customHeight="1" x14ac:dyDescent="0.3">
      <c r="A109" s="318" t="s">
        <v>1029</v>
      </c>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20"/>
      <c r="AJ109" s="323" t="e">
        <f>ROUNDDOWN(AJ106/AJ103,4)</f>
        <v>#DIV/0!</v>
      </c>
      <c r="AK109" s="324"/>
      <c r="AL109" s="324"/>
    </row>
    <row r="110" spans="1:38" ht="70.5" customHeight="1" x14ac:dyDescent="0.25">
      <c r="A110" s="314" t="s">
        <v>1030</v>
      </c>
      <c r="B110" s="315"/>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c r="Y110" s="315"/>
      <c r="Z110" s="315"/>
      <c r="AA110" s="315"/>
      <c r="AB110" s="315"/>
      <c r="AC110" s="315"/>
      <c r="AD110" s="315"/>
      <c r="AE110" s="315"/>
      <c r="AF110" s="315"/>
      <c r="AG110" s="315"/>
      <c r="AH110" s="315"/>
      <c r="AI110" s="315"/>
      <c r="AJ110" s="315"/>
      <c r="AK110" s="315"/>
      <c r="AL110" s="315"/>
    </row>
    <row r="111" spans="1:38" ht="122.7" customHeight="1" x14ac:dyDescent="0.25">
      <c r="A111" s="316"/>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c r="AA111" s="317"/>
      <c r="AB111" s="317"/>
      <c r="AC111" s="317"/>
      <c r="AD111" s="317"/>
      <c r="AE111" s="317"/>
      <c r="AF111" s="317"/>
      <c r="AG111" s="317"/>
      <c r="AH111" s="317"/>
      <c r="AI111" s="317"/>
      <c r="AJ111" s="317"/>
      <c r="AK111" s="317"/>
      <c r="AL111" s="317"/>
    </row>
    <row r="112" spans="1:38" ht="142.94999999999999" customHeight="1" x14ac:dyDescent="0.25">
      <c r="A112" s="308" t="s">
        <v>1110</v>
      </c>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row>
    <row r="113" spans="1:41" s="60" customFormat="1" ht="77.7" customHeight="1" x14ac:dyDescent="0.25">
      <c r="A113" s="135" t="s">
        <v>127</v>
      </c>
      <c r="B113" s="311" t="s">
        <v>812</v>
      </c>
      <c r="C113" s="312"/>
      <c r="D113" s="312"/>
      <c r="E113" s="312"/>
      <c r="F113" s="313"/>
      <c r="G113" s="325" t="s">
        <v>813</v>
      </c>
      <c r="H113" s="325"/>
      <c r="I113" s="325"/>
      <c r="J113" s="325"/>
      <c r="K113" s="325"/>
      <c r="L113" s="325" t="s">
        <v>185</v>
      </c>
      <c r="M113" s="325"/>
      <c r="N113" s="325"/>
      <c r="O113" s="325"/>
      <c r="P113" s="325" t="s">
        <v>184</v>
      </c>
      <c r="Q113" s="325"/>
      <c r="R113" s="325"/>
      <c r="S113" s="325"/>
      <c r="T113" s="325" t="s">
        <v>665</v>
      </c>
      <c r="U113" s="325"/>
      <c r="V113" s="325"/>
      <c r="W113" s="325"/>
      <c r="X113" s="325"/>
      <c r="Y113" s="325"/>
      <c r="Z113" s="325"/>
      <c r="AA113" s="325" t="s">
        <v>664</v>
      </c>
      <c r="AB113" s="325"/>
      <c r="AC113" s="325"/>
      <c r="AD113" s="325"/>
      <c r="AE113" s="325"/>
      <c r="AF113" s="325"/>
      <c r="AG113" s="325"/>
      <c r="AH113" s="325" t="s">
        <v>179</v>
      </c>
      <c r="AI113" s="325"/>
      <c r="AJ113" s="325"/>
      <c r="AK113" s="325" t="s">
        <v>186</v>
      </c>
      <c r="AL113" s="325"/>
      <c r="AM113" s="144" t="s">
        <v>221</v>
      </c>
      <c r="AN113" s="61"/>
      <c r="AO113" s="61"/>
    </row>
    <row r="114" spans="1:41" s="60" customFormat="1" ht="14.1" customHeight="1" x14ac:dyDescent="0.25">
      <c r="A114" s="135">
        <v>1</v>
      </c>
      <c r="B114" s="311">
        <v>2</v>
      </c>
      <c r="C114" s="312"/>
      <c r="D114" s="312"/>
      <c r="E114" s="312"/>
      <c r="F114" s="312"/>
      <c r="G114" s="311">
        <v>3</v>
      </c>
      <c r="H114" s="312"/>
      <c r="I114" s="312"/>
      <c r="J114" s="312"/>
      <c r="K114" s="313"/>
      <c r="L114" s="311">
        <v>4</v>
      </c>
      <c r="M114" s="312"/>
      <c r="N114" s="312"/>
      <c r="O114" s="313"/>
      <c r="P114" s="311">
        <v>5</v>
      </c>
      <c r="Q114" s="312"/>
      <c r="R114" s="312"/>
      <c r="S114" s="313"/>
      <c r="T114" s="311">
        <v>6</v>
      </c>
      <c r="U114" s="312"/>
      <c r="V114" s="312"/>
      <c r="W114" s="312"/>
      <c r="X114" s="312"/>
      <c r="Y114" s="312"/>
      <c r="Z114" s="313"/>
      <c r="AA114" s="311" t="s">
        <v>821</v>
      </c>
      <c r="AB114" s="312"/>
      <c r="AC114" s="312"/>
      <c r="AD114" s="312"/>
      <c r="AE114" s="312"/>
      <c r="AF114" s="312"/>
      <c r="AG114" s="313"/>
      <c r="AH114" s="311">
        <v>8</v>
      </c>
      <c r="AI114" s="312"/>
      <c r="AJ114" s="313"/>
      <c r="AK114" s="311" t="s">
        <v>666</v>
      </c>
      <c r="AL114" s="313"/>
      <c r="AM114" s="144"/>
      <c r="AN114" s="61"/>
      <c r="AO114" s="61"/>
    </row>
    <row r="115" spans="1:41" s="223" customFormat="1" ht="53.7" customHeight="1" x14ac:dyDescent="0.25">
      <c r="A115" s="128">
        <v>1</v>
      </c>
      <c r="B115" s="303"/>
      <c r="C115" s="304"/>
      <c r="D115" s="304"/>
      <c r="E115" s="304"/>
      <c r="F115" s="305"/>
      <c r="G115" s="300"/>
      <c r="H115" s="301"/>
      <c r="I115" s="301"/>
      <c r="J115" s="301"/>
      <c r="K115" s="302"/>
      <c r="L115" s="306"/>
      <c r="M115" s="307"/>
      <c r="N115" s="307"/>
      <c r="O115" s="307"/>
      <c r="P115" s="294">
        <f>IF(OR(B115=Słowniki!A$46,B115=Słowniki!A$56,B115=Słowniki!A$58,B115=Słowniki!A$59),0.08,0.23)</f>
        <v>0.23</v>
      </c>
      <c r="Q115" s="295"/>
      <c r="R115" s="295"/>
      <c r="S115" s="295"/>
      <c r="T115" s="528">
        <v>1</v>
      </c>
      <c r="U115" s="528"/>
      <c r="V115" s="528"/>
      <c r="W115" s="528"/>
      <c r="X115" s="528"/>
      <c r="Y115" s="528"/>
      <c r="Z115" s="529"/>
      <c r="AA115" s="526">
        <f>L115+ROUND(L115*P115*T115,2)</f>
        <v>0</v>
      </c>
      <c r="AB115" s="530"/>
      <c r="AC115" s="530"/>
      <c r="AD115" s="530"/>
      <c r="AE115" s="530"/>
      <c r="AF115" s="530"/>
      <c r="AG115" s="527"/>
      <c r="AH115" s="531" t="e">
        <f>IF(OR(B115=Słowniki!A$57,B115=Słowniki!A$58),(AJ$108*AJ$109),AJ$108)</f>
        <v>#DIV/0!</v>
      </c>
      <c r="AI115" s="532"/>
      <c r="AJ115" s="533"/>
      <c r="AK115" s="526" t="e">
        <f>ROUND(AA115*AH115,2)</f>
        <v>#DIV/0!</v>
      </c>
      <c r="AL115" s="527"/>
      <c r="AM115" s="221"/>
      <c r="AN115" s="221"/>
      <c r="AO115" s="222"/>
    </row>
    <row r="116" spans="1:41" s="223" customFormat="1" ht="54" customHeight="1" x14ac:dyDescent="0.25">
      <c r="A116" s="128">
        <v>2</v>
      </c>
      <c r="B116" s="303"/>
      <c r="C116" s="304"/>
      <c r="D116" s="304"/>
      <c r="E116" s="304"/>
      <c r="F116" s="305"/>
      <c r="G116" s="300"/>
      <c r="H116" s="301"/>
      <c r="I116" s="301"/>
      <c r="J116" s="301"/>
      <c r="K116" s="302"/>
      <c r="L116" s="306"/>
      <c r="M116" s="307"/>
      <c r="N116" s="307"/>
      <c r="O116" s="307"/>
      <c r="P116" s="294">
        <f>IF(OR(B116=Słowniki!A$46,B116=Słowniki!A$56,B116=Słowniki!A$58,B116=Słowniki!A$59),0.08,0.23)</f>
        <v>0.23</v>
      </c>
      <c r="Q116" s="295"/>
      <c r="R116" s="295"/>
      <c r="S116" s="295"/>
      <c r="T116" s="528">
        <v>1</v>
      </c>
      <c r="U116" s="528"/>
      <c r="V116" s="528"/>
      <c r="W116" s="528"/>
      <c r="X116" s="528"/>
      <c r="Y116" s="528"/>
      <c r="Z116" s="529"/>
      <c r="AA116" s="526">
        <f t="shared" ref="AA116:AA136" si="0">L116+ROUND(L116*P116*T116,2)</f>
        <v>0</v>
      </c>
      <c r="AB116" s="530"/>
      <c r="AC116" s="530"/>
      <c r="AD116" s="530"/>
      <c r="AE116" s="530"/>
      <c r="AF116" s="530"/>
      <c r="AG116" s="527"/>
      <c r="AH116" s="531" t="e">
        <f>IF(OR(B116=Słowniki!A$57,B116=Słowniki!A$58),(AJ$108*AJ$109),AJ$108)</f>
        <v>#DIV/0!</v>
      </c>
      <c r="AI116" s="532"/>
      <c r="AJ116" s="533"/>
      <c r="AK116" s="526" t="e">
        <f t="shared" ref="AK116:AK136" si="1">ROUND(AA116*AH116,2)</f>
        <v>#DIV/0!</v>
      </c>
      <c r="AL116" s="527"/>
      <c r="AM116" s="221"/>
      <c r="AN116" s="221"/>
      <c r="AO116" s="222"/>
    </row>
    <row r="117" spans="1:41" s="223" customFormat="1" ht="54" customHeight="1" x14ac:dyDescent="0.25">
      <c r="A117" s="128">
        <v>3</v>
      </c>
      <c r="B117" s="303"/>
      <c r="C117" s="304"/>
      <c r="D117" s="304"/>
      <c r="E117" s="304"/>
      <c r="F117" s="305"/>
      <c r="G117" s="300"/>
      <c r="H117" s="301"/>
      <c r="I117" s="301"/>
      <c r="J117" s="301"/>
      <c r="K117" s="302"/>
      <c r="L117" s="306"/>
      <c r="M117" s="307"/>
      <c r="N117" s="307"/>
      <c r="O117" s="307"/>
      <c r="P117" s="294">
        <f>IF(OR(B117=Słowniki!A$46,B117=Słowniki!A$56,B117=Słowniki!A$58,B117=Słowniki!A$59),0.08,0.23)</f>
        <v>0.23</v>
      </c>
      <c r="Q117" s="295"/>
      <c r="R117" s="295"/>
      <c r="S117" s="295"/>
      <c r="T117" s="528">
        <v>1</v>
      </c>
      <c r="U117" s="528"/>
      <c r="V117" s="528"/>
      <c r="W117" s="528"/>
      <c r="X117" s="528"/>
      <c r="Y117" s="528"/>
      <c r="Z117" s="529"/>
      <c r="AA117" s="526">
        <f t="shared" si="0"/>
        <v>0</v>
      </c>
      <c r="AB117" s="530"/>
      <c r="AC117" s="530"/>
      <c r="AD117" s="530"/>
      <c r="AE117" s="530"/>
      <c r="AF117" s="530"/>
      <c r="AG117" s="527"/>
      <c r="AH117" s="531" t="e">
        <f>IF(OR(B117=Słowniki!A$57,B117=Słowniki!A$58),(AJ$108*AJ$109),AJ$108)</f>
        <v>#DIV/0!</v>
      </c>
      <c r="AI117" s="532"/>
      <c r="AJ117" s="533"/>
      <c r="AK117" s="526" t="e">
        <f t="shared" si="1"/>
        <v>#DIV/0!</v>
      </c>
      <c r="AL117" s="527"/>
      <c r="AM117" s="221"/>
      <c r="AN117" s="221"/>
      <c r="AO117" s="222"/>
    </row>
    <row r="118" spans="1:41" s="223" customFormat="1" ht="54" customHeight="1" x14ac:dyDescent="0.25">
      <c r="A118" s="128">
        <v>4</v>
      </c>
      <c r="B118" s="303"/>
      <c r="C118" s="304"/>
      <c r="D118" s="304"/>
      <c r="E118" s="304"/>
      <c r="F118" s="305"/>
      <c r="G118" s="300"/>
      <c r="H118" s="301"/>
      <c r="I118" s="301"/>
      <c r="J118" s="301"/>
      <c r="K118" s="302"/>
      <c r="L118" s="306"/>
      <c r="M118" s="307"/>
      <c r="N118" s="307"/>
      <c r="O118" s="307"/>
      <c r="P118" s="294">
        <f>IF(OR(B118=Słowniki!A$46,B118=Słowniki!A$56,B118=Słowniki!A$58,B118=Słowniki!A$59),0.08,0.23)</f>
        <v>0.23</v>
      </c>
      <c r="Q118" s="295"/>
      <c r="R118" s="295"/>
      <c r="S118" s="295"/>
      <c r="T118" s="528">
        <v>1</v>
      </c>
      <c r="U118" s="528"/>
      <c r="V118" s="528"/>
      <c r="W118" s="528"/>
      <c r="X118" s="528"/>
      <c r="Y118" s="528"/>
      <c r="Z118" s="529"/>
      <c r="AA118" s="526">
        <f t="shared" si="0"/>
        <v>0</v>
      </c>
      <c r="AB118" s="530"/>
      <c r="AC118" s="530"/>
      <c r="AD118" s="530"/>
      <c r="AE118" s="530"/>
      <c r="AF118" s="530"/>
      <c r="AG118" s="527"/>
      <c r="AH118" s="531" t="e">
        <f>IF(OR(B118=Słowniki!A$57,B118=Słowniki!A$58),(AJ$108*AJ$109),AJ$108)</f>
        <v>#DIV/0!</v>
      </c>
      <c r="AI118" s="532"/>
      <c r="AJ118" s="533"/>
      <c r="AK118" s="526" t="e">
        <f t="shared" si="1"/>
        <v>#DIV/0!</v>
      </c>
      <c r="AL118" s="527"/>
      <c r="AM118" s="221"/>
      <c r="AN118" s="221"/>
      <c r="AO118" s="222"/>
    </row>
    <row r="119" spans="1:41" s="223" customFormat="1" ht="54" customHeight="1" x14ac:dyDescent="0.25">
      <c r="A119" s="128">
        <v>5</v>
      </c>
      <c r="B119" s="303"/>
      <c r="C119" s="304"/>
      <c r="D119" s="304"/>
      <c r="E119" s="304"/>
      <c r="F119" s="305"/>
      <c r="G119" s="300"/>
      <c r="H119" s="301"/>
      <c r="I119" s="301"/>
      <c r="J119" s="301"/>
      <c r="K119" s="302"/>
      <c r="L119" s="306"/>
      <c r="M119" s="307"/>
      <c r="N119" s="307"/>
      <c r="O119" s="307"/>
      <c r="P119" s="294">
        <f>IF(OR(B119=Słowniki!A$46,B119=Słowniki!A$56,B119=Słowniki!A$58,B119=Słowniki!A$59),0.08,0.23)</f>
        <v>0.23</v>
      </c>
      <c r="Q119" s="295"/>
      <c r="R119" s="295"/>
      <c r="S119" s="295"/>
      <c r="T119" s="528">
        <v>1</v>
      </c>
      <c r="U119" s="528"/>
      <c r="V119" s="528"/>
      <c r="W119" s="528"/>
      <c r="X119" s="528"/>
      <c r="Y119" s="528"/>
      <c r="Z119" s="529"/>
      <c r="AA119" s="526">
        <f t="shared" si="0"/>
        <v>0</v>
      </c>
      <c r="AB119" s="530"/>
      <c r="AC119" s="530"/>
      <c r="AD119" s="530"/>
      <c r="AE119" s="530"/>
      <c r="AF119" s="530"/>
      <c r="AG119" s="527"/>
      <c r="AH119" s="531" t="e">
        <f>IF(OR(B119=Słowniki!A$57,B119=Słowniki!A$58),(AJ$108*AJ$109),AJ$108)</f>
        <v>#DIV/0!</v>
      </c>
      <c r="AI119" s="532"/>
      <c r="AJ119" s="533"/>
      <c r="AK119" s="526" t="e">
        <f t="shared" si="1"/>
        <v>#DIV/0!</v>
      </c>
      <c r="AL119" s="527"/>
      <c r="AM119" s="221"/>
      <c r="AN119" s="221"/>
      <c r="AO119" s="222"/>
    </row>
    <row r="120" spans="1:41" s="223" customFormat="1" ht="54" customHeight="1" x14ac:dyDescent="0.25">
      <c r="A120" s="128">
        <v>6</v>
      </c>
      <c r="B120" s="303"/>
      <c r="C120" s="304"/>
      <c r="D120" s="304"/>
      <c r="E120" s="304"/>
      <c r="F120" s="305"/>
      <c r="G120" s="300"/>
      <c r="H120" s="301"/>
      <c r="I120" s="301"/>
      <c r="J120" s="301"/>
      <c r="K120" s="302"/>
      <c r="L120" s="306"/>
      <c r="M120" s="307"/>
      <c r="N120" s="307"/>
      <c r="O120" s="307"/>
      <c r="P120" s="294">
        <f>IF(OR(B120=Słowniki!A$46,B120=Słowniki!A$56,B120=Słowniki!A$58,B120=Słowniki!A$59),0.08,0.23)</f>
        <v>0.23</v>
      </c>
      <c r="Q120" s="295"/>
      <c r="R120" s="295"/>
      <c r="S120" s="295"/>
      <c r="T120" s="528">
        <v>1</v>
      </c>
      <c r="U120" s="528"/>
      <c r="V120" s="528"/>
      <c r="W120" s="528"/>
      <c r="X120" s="528"/>
      <c r="Y120" s="528"/>
      <c r="Z120" s="529"/>
      <c r="AA120" s="526">
        <f t="shared" si="0"/>
        <v>0</v>
      </c>
      <c r="AB120" s="530"/>
      <c r="AC120" s="530"/>
      <c r="AD120" s="530"/>
      <c r="AE120" s="530"/>
      <c r="AF120" s="530"/>
      <c r="AG120" s="527"/>
      <c r="AH120" s="531" t="e">
        <f>IF(OR(B120=Słowniki!A$57,B120=Słowniki!A$58),(AJ$108*AJ$109),AJ$108)</f>
        <v>#DIV/0!</v>
      </c>
      <c r="AI120" s="532"/>
      <c r="AJ120" s="533"/>
      <c r="AK120" s="526" t="e">
        <f t="shared" si="1"/>
        <v>#DIV/0!</v>
      </c>
      <c r="AL120" s="527"/>
      <c r="AM120" s="221"/>
      <c r="AN120" s="221"/>
      <c r="AO120" s="222"/>
    </row>
    <row r="121" spans="1:41" s="223" customFormat="1" ht="54" customHeight="1" x14ac:dyDescent="0.25">
      <c r="A121" s="128">
        <v>7</v>
      </c>
      <c r="B121" s="303"/>
      <c r="C121" s="304"/>
      <c r="D121" s="304"/>
      <c r="E121" s="304"/>
      <c r="F121" s="305"/>
      <c r="G121" s="300"/>
      <c r="H121" s="301"/>
      <c r="I121" s="301"/>
      <c r="J121" s="301"/>
      <c r="K121" s="302"/>
      <c r="L121" s="306"/>
      <c r="M121" s="307"/>
      <c r="N121" s="307"/>
      <c r="O121" s="307"/>
      <c r="P121" s="294">
        <f>IF(OR(B121=Słowniki!A$46,B121=Słowniki!A$56,B121=Słowniki!A$58,B121=Słowniki!A$59),0.08,0.23)</f>
        <v>0.23</v>
      </c>
      <c r="Q121" s="295"/>
      <c r="R121" s="295"/>
      <c r="S121" s="295"/>
      <c r="T121" s="528">
        <v>1</v>
      </c>
      <c r="U121" s="528"/>
      <c r="V121" s="528"/>
      <c r="W121" s="528"/>
      <c r="X121" s="528"/>
      <c r="Y121" s="528"/>
      <c r="Z121" s="529"/>
      <c r="AA121" s="526">
        <f t="shared" si="0"/>
        <v>0</v>
      </c>
      <c r="AB121" s="530"/>
      <c r="AC121" s="530"/>
      <c r="AD121" s="530"/>
      <c r="AE121" s="530"/>
      <c r="AF121" s="530"/>
      <c r="AG121" s="527"/>
      <c r="AH121" s="531" t="e">
        <f>IF(OR(B121=Słowniki!A$57,B121=Słowniki!A$58),(AJ$108*AJ$109),AJ$108)</f>
        <v>#DIV/0!</v>
      </c>
      <c r="AI121" s="532"/>
      <c r="AJ121" s="533"/>
      <c r="AK121" s="526" t="e">
        <f t="shared" si="1"/>
        <v>#DIV/0!</v>
      </c>
      <c r="AL121" s="527"/>
      <c r="AM121" s="221"/>
      <c r="AN121" s="221"/>
      <c r="AO121" s="222"/>
    </row>
    <row r="122" spans="1:41" s="223" customFormat="1" ht="54" customHeight="1" x14ac:dyDescent="0.25">
      <c r="A122" s="128">
        <v>8</v>
      </c>
      <c r="B122" s="303"/>
      <c r="C122" s="304"/>
      <c r="D122" s="304"/>
      <c r="E122" s="304"/>
      <c r="F122" s="305"/>
      <c r="G122" s="300"/>
      <c r="H122" s="301"/>
      <c r="I122" s="301"/>
      <c r="J122" s="301"/>
      <c r="K122" s="302"/>
      <c r="L122" s="306"/>
      <c r="M122" s="307"/>
      <c r="N122" s="307"/>
      <c r="O122" s="307"/>
      <c r="P122" s="294">
        <f>IF(OR(B122=Słowniki!A$46,B122=Słowniki!A$56,B122=Słowniki!A$58,B122=Słowniki!A$59),0.08,0.23)</f>
        <v>0.23</v>
      </c>
      <c r="Q122" s="295"/>
      <c r="R122" s="295"/>
      <c r="S122" s="295"/>
      <c r="T122" s="528">
        <v>1</v>
      </c>
      <c r="U122" s="528"/>
      <c r="V122" s="528"/>
      <c r="W122" s="528"/>
      <c r="X122" s="528"/>
      <c r="Y122" s="528"/>
      <c r="Z122" s="529"/>
      <c r="AA122" s="526">
        <f t="shared" si="0"/>
        <v>0</v>
      </c>
      <c r="AB122" s="530"/>
      <c r="AC122" s="530"/>
      <c r="AD122" s="530"/>
      <c r="AE122" s="530"/>
      <c r="AF122" s="530"/>
      <c r="AG122" s="527"/>
      <c r="AH122" s="531" t="e">
        <f>IF(OR(B122=Słowniki!A$57,B122=Słowniki!A$58),(AJ$108*AJ$109),AJ$108)</f>
        <v>#DIV/0!</v>
      </c>
      <c r="AI122" s="532"/>
      <c r="AJ122" s="533"/>
      <c r="AK122" s="526" t="e">
        <f t="shared" si="1"/>
        <v>#DIV/0!</v>
      </c>
      <c r="AL122" s="527"/>
      <c r="AM122" s="221"/>
      <c r="AN122" s="221"/>
      <c r="AO122" s="222"/>
    </row>
    <row r="123" spans="1:41" s="223" customFormat="1" ht="54" customHeight="1" x14ac:dyDescent="0.25">
      <c r="A123" s="128">
        <v>9</v>
      </c>
      <c r="B123" s="303"/>
      <c r="C123" s="304"/>
      <c r="D123" s="304"/>
      <c r="E123" s="304"/>
      <c r="F123" s="305"/>
      <c r="G123" s="300"/>
      <c r="H123" s="301"/>
      <c r="I123" s="301"/>
      <c r="J123" s="301"/>
      <c r="K123" s="302"/>
      <c r="L123" s="306"/>
      <c r="M123" s="307"/>
      <c r="N123" s="307"/>
      <c r="O123" s="307"/>
      <c r="P123" s="294">
        <f>IF(OR(B123=Słowniki!A$46,B123=Słowniki!A$56,B123=Słowniki!A$58,B123=Słowniki!A$59),0.08,0.23)</f>
        <v>0.23</v>
      </c>
      <c r="Q123" s="295"/>
      <c r="R123" s="295"/>
      <c r="S123" s="295"/>
      <c r="T123" s="528">
        <v>1</v>
      </c>
      <c r="U123" s="528"/>
      <c r="V123" s="528"/>
      <c r="W123" s="528"/>
      <c r="X123" s="528"/>
      <c r="Y123" s="528"/>
      <c r="Z123" s="529"/>
      <c r="AA123" s="526">
        <f t="shared" si="0"/>
        <v>0</v>
      </c>
      <c r="AB123" s="530"/>
      <c r="AC123" s="530"/>
      <c r="AD123" s="530"/>
      <c r="AE123" s="530"/>
      <c r="AF123" s="530"/>
      <c r="AG123" s="527"/>
      <c r="AH123" s="531" t="e">
        <f>IF(OR(B123=Słowniki!A$57,B123=Słowniki!A$58),(AJ$108*AJ$109),AJ$108)</f>
        <v>#DIV/0!</v>
      </c>
      <c r="AI123" s="532"/>
      <c r="AJ123" s="533"/>
      <c r="AK123" s="526" t="e">
        <f t="shared" si="1"/>
        <v>#DIV/0!</v>
      </c>
      <c r="AL123" s="527"/>
      <c r="AM123" s="221"/>
      <c r="AN123" s="221"/>
      <c r="AO123" s="222"/>
    </row>
    <row r="124" spans="1:41" s="223" customFormat="1" ht="54" customHeight="1" x14ac:dyDescent="0.25">
      <c r="A124" s="128">
        <v>10</v>
      </c>
      <c r="B124" s="303"/>
      <c r="C124" s="304"/>
      <c r="D124" s="304"/>
      <c r="E124" s="304"/>
      <c r="F124" s="305"/>
      <c r="G124" s="300"/>
      <c r="H124" s="301"/>
      <c r="I124" s="301"/>
      <c r="J124" s="301"/>
      <c r="K124" s="302"/>
      <c r="L124" s="306"/>
      <c r="M124" s="307"/>
      <c r="N124" s="307"/>
      <c r="O124" s="307"/>
      <c r="P124" s="294">
        <f>IF(OR(B124=Słowniki!A$46,B124=Słowniki!A$56,B124=Słowniki!A$58,B124=Słowniki!A$59),0.08,0.23)</f>
        <v>0.23</v>
      </c>
      <c r="Q124" s="295"/>
      <c r="R124" s="295"/>
      <c r="S124" s="295"/>
      <c r="T124" s="528">
        <v>1</v>
      </c>
      <c r="U124" s="528"/>
      <c r="V124" s="528"/>
      <c r="W124" s="528"/>
      <c r="X124" s="528"/>
      <c r="Y124" s="528"/>
      <c r="Z124" s="529"/>
      <c r="AA124" s="526">
        <f>L124+ROUND(L124*P124*T124,2)</f>
        <v>0</v>
      </c>
      <c r="AB124" s="530"/>
      <c r="AC124" s="530"/>
      <c r="AD124" s="530"/>
      <c r="AE124" s="530"/>
      <c r="AF124" s="530"/>
      <c r="AG124" s="527"/>
      <c r="AH124" s="531" t="e">
        <f>IF(OR(B124=Słowniki!A$57,B124=Słowniki!A$58),(AJ$108*AJ$109),AJ$108)</f>
        <v>#DIV/0!</v>
      </c>
      <c r="AI124" s="532"/>
      <c r="AJ124" s="533"/>
      <c r="AK124" s="526" t="e">
        <f t="shared" si="1"/>
        <v>#DIV/0!</v>
      </c>
      <c r="AL124" s="527"/>
      <c r="AM124" s="221"/>
      <c r="AN124" s="221"/>
      <c r="AO124" s="222"/>
    </row>
    <row r="125" spans="1:41" s="223" customFormat="1" ht="54" customHeight="1" x14ac:dyDescent="0.25">
      <c r="A125" s="128">
        <v>11</v>
      </c>
      <c r="B125" s="303"/>
      <c r="C125" s="304"/>
      <c r="D125" s="304"/>
      <c r="E125" s="304"/>
      <c r="F125" s="305"/>
      <c r="G125" s="300"/>
      <c r="H125" s="301"/>
      <c r="I125" s="301"/>
      <c r="J125" s="301"/>
      <c r="K125" s="302"/>
      <c r="L125" s="306"/>
      <c r="M125" s="307"/>
      <c r="N125" s="307"/>
      <c r="O125" s="307"/>
      <c r="P125" s="294">
        <f>IF(OR(B125=Słowniki!A$46,B125=Słowniki!A$56,B125=Słowniki!A$58,B125=Słowniki!A$59),0.08,0.23)</f>
        <v>0.23</v>
      </c>
      <c r="Q125" s="295"/>
      <c r="R125" s="295"/>
      <c r="S125" s="295"/>
      <c r="T125" s="528">
        <v>1</v>
      </c>
      <c r="U125" s="528"/>
      <c r="V125" s="528"/>
      <c r="W125" s="528"/>
      <c r="X125" s="528"/>
      <c r="Y125" s="528"/>
      <c r="Z125" s="529"/>
      <c r="AA125" s="526">
        <f t="shared" si="0"/>
        <v>0</v>
      </c>
      <c r="AB125" s="530"/>
      <c r="AC125" s="530"/>
      <c r="AD125" s="530"/>
      <c r="AE125" s="530"/>
      <c r="AF125" s="530"/>
      <c r="AG125" s="527"/>
      <c r="AH125" s="531" t="e">
        <f>IF(OR(B125=Słowniki!A$57,B125=Słowniki!A$58),(AJ$108*AJ$109),AJ$108)</f>
        <v>#DIV/0!</v>
      </c>
      <c r="AI125" s="532"/>
      <c r="AJ125" s="533"/>
      <c r="AK125" s="526" t="e">
        <f t="shared" si="1"/>
        <v>#DIV/0!</v>
      </c>
      <c r="AL125" s="527"/>
      <c r="AM125" s="221"/>
      <c r="AN125" s="221"/>
      <c r="AO125" s="222"/>
    </row>
    <row r="126" spans="1:41" s="223" customFormat="1" ht="54" customHeight="1" x14ac:dyDescent="0.25">
      <c r="A126" s="128">
        <v>12</v>
      </c>
      <c r="B126" s="303"/>
      <c r="C126" s="304"/>
      <c r="D126" s="304"/>
      <c r="E126" s="304"/>
      <c r="F126" s="305"/>
      <c r="G126" s="300"/>
      <c r="H126" s="301"/>
      <c r="I126" s="301"/>
      <c r="J126" s="301"/>
      <c r="K126" s="302"/>
      <c r="L126" s="306"/>
      <c r="M126" s="307"/>
      <c r="N126" s="307"/>
      <c r="O126" s="307"/>
      <c r="P126" s="294">
        <f>IF(OR(B126=Słowniki!A$46,B126=Słowniki!A$56,B126=Słowniki!A$58,B126=Słowniki!A$59),0.08,0.23)</f>
        <v>0.23</v>
      </c>
      <c r="Q126" s="295"/>
      <c r="R126" s="295"/>
      <c r="S126" s="295"/>
      <c r="T126" s="528">
        <v>1</v>
      </c>
      <c r="U126" s="528"/>
      <c r="V126" s="528"/>
      <c r="W126" s="528"/>
      <c r="X126" s="528"/>
      <c r="Y126" s="528"/>
      <c r="Z126" s="529"/>
      <c r="AA126" s="526">
        <f t="shared" si="0"/>
        <v>0</v>
      </c>
      <c r="AB126" s="530"/>
      <c r="AC126" s="530"/>
      <c r="AD126" s="530"/>
      <c r="AE126" s="530"/>
      <c r="AF126" s="530"/>
      <c r="AG126" s="527"/>
      <c r="AH126" s="531" t="e">
        <f>IF(OR(B126=Słowniki!A$57,B126=Słowniki!A$58),(AJ$108*AJ$109),AJ$108)</f>
        <v>#DIV/0!</v>
      </c>
      <c r="AI126" s="532"/>
      <c r="AJ126" s="533"/>
      <c r="AK126" s="526" t="e">
        <f t="shared" si="1"/>
        <v>#DIV/0!</v>
      </c>
      <c r="AL126" s="527"/>
      <c r="AM126" s="221"/>
      <c r="AN126" s="221"/>
      <c r="AO126" s="222"/>
    </row>
    <row r="127" spans="1:41" s="223" customFormat="1" ht="54" customHeight="1" x14ac:dyDescent="0.25">
      <c r="A127" s="128">
        <v>13</v>
      </c>
      <c r="B127" s="303"/>
      <c r="C127" s="304"/>
      <c r="D127" s="304"/>
      <c r="E127" s="304"/>
      <c r="F127" s="305"/>
      <c r="G127" s="300"/>
      <c r="H127" s="301"/>
      <c r="I127" s="301"/>
      <c r="J127" s="301"/>
      <c r="K127" s="302"/>
      <c r="L127" s="306"/>
      <c r="M127" s="307"/>
      <c r="N127" s="307"/>
      <c r="O127" s="307"/>
      <c r="P127" s="294">
        <f>IF(OR(B127=Słowniki!A$46,B127=Słowniki!A$56,B127=Słowniki!A$58,B127=Słowniki!A$59),0.08,0.23)</f>
        <v>0.23</v>
      </c>
      <c r="Q127" s="295"/>
      <c r="R127" s="295"/>
      <c r="S127" s="295"/>
      <c r="T127" s="528">
        <v>1</v>
      </c>
      <c r="U127" s="528"/>
      <c r="V127" s="528"/>
      <c r="W127" s="528"/>
      <c r="X127" s="528"/>
      <c r="Y127" s="528"/>
      <c r="Z127" s="529"/>
      <c r="AA127" s="526">
        <f t="shared" si="0"/>
        <v>0</v>
      </c>
      <c r="AB127" s="530"/>
      <c r="AC127" s="530"/>
      <c r="AD127" s="530"/>
      <c r="AE127" s="530"/>
      <c r="AF127" s="530"/>
      <c r="AG127" s="527"/>
      <c r="AH127" s="531" t="e">
        <f>IF(OR(B127=Słowniki!A$57,B127=Słowniki!A$58),(AJ$108*AJ$109),AJ$108)</f>
        <v>#DIV/0!</v>
      </c>
      <c r="AI127" s="532"/>
      <c r="AJ127" s="533"/>
      <c r="AK127" s="526" t="e">
        <f t="shared" si="1"/>
        <v>#DIV/0!</v>
      </c>
      <c r="AL127" s="527"/>
      <c r="AM127" s="221"/>
      <c r="AN127" s="221"/>
      <c r="AO127" s="222"/>
    </row>
    <row r="128" spans="1:41" s="223" customFormat="1" ht="54" customHeight="1" x14ac:dyDescent="0.25">
      <c r="A128" s="128">
        <v>14</v>
      </c>
      <c r="B128" s="303"/>
      <c r="C128" s="304"/>
      <c r="D128" s="304"/>
      <c r="E128" s="304"/>
      <c r="F128" s="305"/>
      <c r="G128" s="300"/>
      <c r="H128" s="301"/>
      <c r="I128" s="301"/>
      <c r="J128" s="301"/>
      <c r="K128" s="302"/>
      <c r="L128" s="306"/>
      <c r="M128" s="307"/>
      <c r="N128" s="307"/>
      <c r="O128" s="307"/>
      <c r="P128" s="294">
        <f>IF(OR(B128=Słowniki!A$46,B128=Słowniki!A$56,B128=Słowniki!A$58,B128=Słowniki!A$59),0.08,0.23)</f>
        <v>0.23</v>
      </c>
      <c r="Q128" s="295"/>
      <c r="R128" s="295"/>
      <c r="S128" s="295"/>
      <c r="T128" s="528">
        <v>1</v>
      </c>
      <c r="U128" s="528"/>
      <c r="V128" s="528"/>
      <c r="W128" s="528"/>
      <c r="X128" s="528"/>
      <c r="Y128" s="528"/>
      <c r="Z128" s="529"/>
      <c r="AA128" s="526">
        <f t="shared" si="0"/>
        <v>0</v>
      </c>
      <c r="AB128" s="530"/>
      <c r="AC128" s="530"/>
      <c r="AD128" s="530"/>
      <c r="AE128" s="530"/>
      <c r="AF128" s="530"/>
      <c r="AG128" s="527"/>
      <c r="AH128" s="531" t="e">
        <f>IF(OR(B128=Słowniki!A$57,B128=Słowniki!A$58),(AJ$108*AJ$109),AJ$108)</f>
        <v>#DIV/0!</v>
      </c>
      <c r="AI128" s="532"/>
      <c r="AJ128" s="533"/>
      <c r="AK128" s="526" t="e">
        <f t="shared" si="1"/>
        <v>#DIV/0!</v>
      </c>
      <c r="AL128" s="527"/>
      <c r="AM128" s="221"/>
      <c r="AN128" s="221"/>
      <c r="AO128" s="222"/>
    </row>
    <row r="129" spans="1:41" s="223" customFormat="1" ht="54" customHeight="1" x14ac:dyDescent="0.25">
      <c r="A129" s="128">
        <v>15</v>
      </c>
      <c r="B129" s="303"/>
      <c r="C129" s="304"/>
      <c r="D129" s="304"/>
      <c r="E129" s="304"/>
      <c r="F129" s="305"/>
      <c r="G129" s="300"/>
      <c r="H129" s="301"/>
      <c r="I129" s="301"/>
      <c r="J129" s="301"/>
      <c r="K129" s="302"/>
      <c r="L129" s="306"/>
      <c r="M129" s="307"/>
      <c r="N129" s="307"/>
      <c r="O129" s="307"/>
      <c r="P129" s="294">
        <f>IF(OR(B129=Słowniki!A$46,B129=Słowniki!A$56,B129=Słowniki!A$58,B129=Słowniki!A$59),0.08,0.23)</f>
        <v>0.23</v>
      </c>
      <c r="Q129" s="295"/>
      <c r="R129" s="295"/>
      <c r="S129" s="295"/>
      <c r="T129" s="528">
        <v>1</v>
      </c>
      <c r="U129" s="528"/>
      <c r="V129" s="528"/>
      <c r="W129" s="528"/>
      <c r="X129" s="528"/>
      <c r="Y129" s="528"/>
      <c r="Z129" s="529"/>
      <c r="AA129" s="526">
        <f t="shared" si="0"/>
        <v>0</v>
      </c>
      <c r="AB129" s="530"/>
      <c r="AC129" s="530"/>
      <c r="AD129" s="530"/>
      <c r="AE129" s="530"/>
      <c r="AF129" s="530"/>
      <c r="AG129" s="527"/>
      <c r="AH129" s="531" t="e">
        <f>IF(OR(B129=Słowniki!A$57,B129=Słowniki!A$58),(AJ$108*AJ$109),AJ$108)</f>
        <v>#DIV/0!</v>
      </c>
      <c r="AI129" s="532"/>
      <c r="AJ129" s="533"/>
      <c r="AK129" s="526" t="e">
        <f t="shared" si="1"/>
        <v>#DIV/0!</v>
      </c>
      <c r="AL129" s="527"/>
      <c r="AM129" s="221"/>
      <c r="AN129" s="221"/>
      <c r="AO129" s="222"/>
    </row>
    <row r="130" spans="1:41" s="223" customFormat="1" ht="54" customHeight="1" x14ac:dyDescent="0.25">
      <c r="A130" s="128">
        <v>16</v>
      </c>
      <c r="B130" s="303"/>
      <c r="C130" s="304"/>
      <c r="D130" s="304"/>
      <c r="E130" s="304"/>
      <c r="F130" s="305"/>
      <c r="G130" s="300"/>
      <c r="H130" s="301"/>
      <c r="I130" s="301"/>
      <c r="J130" s="301"/>
      <c r="K130" s="302"/>
      <c r="L130" s="306"/>
      <c r="M130" s="307"/>
      <c r="N130" s="307"/>
      <c r="O130" s="307"/>
      <c r="P130" s="294">
        <f>IF(OR(B130=Słowniki!A$46,B130=Słowniki!A$56,B130=Słowniki!A$58,B130=Słowniki!A$59),0.08,0.23)</f>
        <v>0.23</v>
      </c>
      <c r="Q130" s="295"/>
      <c r="R130" s="295"/>
      <c r="S130" s="295"/>
      <c r="T130" s="528">
        <v>1</v>
      </c>
      <c r="U130" s="528"/>
      <c r="V130" s="528"/>
      <c r="W130" s="528"/>
      <c r="X130" s="528"/>
      <c r="Y130" s="528"/>
      <c r="Z130" s="529"/>
      <c r="AA130" s="526">
        <f t="shared" si="0"/>
        <v>0</v>
      </c>
      <c r="AB130" s="530"/>
      <c r="AC130" s="530"/>
      <c r="AD130" s="530"/>
      <c r="AE130" s="530"/>
      <c r="AF130" s="530"/>
      <c r="AG130" s="527"/>
      <c r="AH130" s="531" t="e">
        <f>IF(OR(B130=Słowniki!A$57,B130=Słowniki!A$58),(AJ$108*AJ$109),AJ$108)</f>
        <v>#DIV/0!</v>
      </c>
      <c r="AI130" s="532"/>
      <c r="AJ130" s="533"/>
      <c r="AK130" s="526" t="e">
        <f t="shared" si="1"/>
        <v>#DIV/0!</v>
      </c>
      <c r="AL130" s="527"/>
      <c r="AM130" s="221"/>
      <c r="AN130" s="221"/>
      <c r="AO130" s="222"/>
    </row>
    <row r="131" spans="1:41" s="223" customFormat="1" ht="54" customHeight="1" x14ac:dyDescent="0.25">
      <c r="A131" s="128">
        <v>17</v>
      </c>
      <c r="B131" s="303"/>
      <c r="C131" s="304"/>
      <c r="D131" s="304"/>
      <c r="E131" s="304"/>
      <c r="F131" s="305"/>
      <c r="G131" s="300"/>
      <c r="H131" s="301"/>
      <c r="I131" s="301"/>
      <c r="J131" s="301"/>
      <c r="K131" s="302"/>
      <c r="L131" s="306"/>
      <c r="M131" s="307"/>
      <c r="N131" s="307"/>
      <c r="O131" s="307"/>
      <c r="P131" s="294">
        <f>IF(OR(B131=Słowniki!A$46,B131=Słowniki!A$56,B131=Słowniki!A$58,B131=Słowniki!A$59),0.08,0.23)</f>
        <v>0.23</v>
      </c>
      <c r="Q131" s="295"/>
      <c r="R131" s="295"/>
      <c r="S131" s="295"/>
      <c r="T131" s="528">
        <v>1</v>
      </c>
      <c r="U131" s="528"/>
      <c r="V131" s="528"/>
      <c r="W131" s="528"/>
      <c r="X131" s="528"/>
      <c r="Y131" s="528"/>
      <c r="Z131" s="529"/>
      <c r="AA131" s="526">
        <f t="shared" si="0"/>
        <v>0</v>
      </c>
      <c r="AB131" s="530"/>
      <c r="AC131" s="530"/>
      <c r="AD131" s="530"/>
      <c r="AE131" s="530"/>
      <c r="AF131" s="530"/>
      <c r="AG131" s="527"/>
      <c r="AH131" s="531" t="e">
        <f>IF(OR(B131=Słowniki!A$57,B131=Słowniki!A$58),(AJ$108*AJ$109),AJ$108)</f>
        <v>#DIV/0!</v>
      </c>
      <c r="AI131" s="532"/>
      <c r="AJ131" s="533"/>
      <c r="AK131" s="526" t="e">
        <f t="shared" si="1"/>
        <v>#DIV/0!</v>
      </c>
      <c r="AL131" s="527"/>
      <c r="AM131" s="221"/>
      <c r="AN131" s="221"/>
      <c r="AO131" s="222"/>
    </row>
    <row r="132" spans="1:41" s="223" customFormat="1" ht="54" customHeight="1" x14ac:dyDescent="0.25">
      <c r="A132" s="128">
        <v>18</v>
      </c>
      <c r="B132" s="303"/>
      <c r="C132" s="304"/>
      <c r="D132" s="304"/>
      <c r="E132" s="304"/>
      <c r="F132" s="305"/>
      <c r="G132" s="300"/>
      <c r="H132" s="301"/>
      <c r="I132" s="301"/>
      <c r="J132" s="301"/>
      <c r="K132" s="302"/>
      <c r="L132" s="306"/>
      <c r="M132" s="307"/>
      <c r="N132" s="307"/>
      <c r="O132" s="307"/>
      <c r="P132" s="294">
        <f>IF(OR(B132=Słowniki!A$46,B132=Słowniki!A$56,B132=Słowniki!A$58,B132=Słowniki!A$59),0.08,0.23)</f>
        <v>0.23</v>
      </c>
      <c r="Q132" s="295"/>
      <c r="R132" s="295"/>
      <c r="S132" s="295"/>
      <c r="T132" s="528">
        <v>1</v>
      </c>
      <c r="U132" s="528"/>
      <c r="V132" s="528"/>
      <c r="W132" s="528"/>
      <c r="X132" s="528"/>
      <c r="Y132" s="528"/>
      <c r="Z132" s="529"/>
      <c r="AA132" s="526">
        <f t="shared" si="0"/>
        <v>0</v>
      </c>
      <c r="AB132" s="530"/>
      <c r="AC132" s="530"/>
      <c r="AD132" s="530"/>
      <c r="AE132" s="530"/>
      <c r="AF132" s="530"/>
      <c r="AG132" s="527"/>
      <c r="AH132" s="531" t="e">
        <f>IF(OR(B132=Słowniki!A$57,B132=Słowniki!A$58),(AJ$108*AJ$109),AJ$108)</f>
        <v>#DIV/0!</v>
      </c>
      <c r="AI132" s="532"/>
      <c r="AJ132" s="533"/>
      <c r="AK132" s="526" t="e">
        <f t="shared" si="1"/>
        <v>#DIV/0!</v>
      </c>
      <c r="AL132" s="527"/>
      <c r="AM132" s="221"/>
      <c r="AN132" s="221"/>
      <c r="AO132" s="222"/>
    </row>
    <row r="133" spans="1:41" s="223" customFormat="1" ht="54" customHeight="1" x14ac:dyDescent="0.25">
      <c r="A133" s="128">
        <v>19</v>
      </c>
      <c r="B133" s="303"/>
      <c r="C133" s="304"/>
      <c r="D133" s="304"/>
      <c r="E133" s="304"/>
      <c r="F133" s="305"/>
      <c r="G133" s="300"/>
      <c r="H133" s="301"/>
      <c r="I133" s="301"/>
      <c r="J133" s="301"/>
      <c r="K133" s="302"/>
      <c r="L133" s="306"/>
      <c r="M133" s="307"/>
      <c r="N133" s="307"/>
      <c r="O133" s="307"/>
      <c r="P133" s="294">
        <f>IF(OR(B133=Słowniki!A$46,B133=Słowniki!A$56,B133=Słowniki!A$58,B133=Słowniki!A$59),0.08,0.23)</f>
        <v>0.23</v>
      </c>
      <c r="Q133" s="295"/>
      <c r="R133" s="295"/>
      <c r="S133" s="295"/>
      <c r="T133" s="528">
        <v>1</v>
      </c>
      <c r="U133" s="528"/>
      <c r="V133" s="528"/>
      <c r="W133" s="528"/>
      <c r="X133" s="528"/>
      <c r="Y133" s="528"/>
      <c r="Z133" s="529"/>
      <c r="AA133" s="526">
        <f t="shared" si="0"/>
        <v>0</v>
      </c>
      <c r="AB133" s="530"/>
      <c r="AC133" s="530"/>
      <c r="AD133" s="530"/>
      <c r="AE133" s="530"/>
      <c r="AF133" s="530"/>
      <c r="AG133" s="527"/>
      <c r="AH133" s="531" t="e">
        <f>IF(OR(B133=Słowniki!A$57,B133=Słowniki!A$58),(AJ$108*AJ$109),AJ$108)</f>
        <v>#DIV/0!</v>
      </c>
      <c r="AI133" s="532"/>
      <c r="AJ133" s="533"/>
      <c r="AK133" s="526" t="e">
        <f t="shared" si="1"/>
        <v>#DIV/0!</v>
      </c>
      <c r="AL133" s="527"/>
      <c r="AM133" s="221"/>
      <c r="AN133" s="221"/>
      <c r="AO133" s="222"/>
    </row>
    <row r="134" spans="1:41" s="223" customFormat="1" ht="54" customHeight="1" x14ac:dyDescent="0.25">
      <c r="A134" s="128">
        <v>20</v>
      </c>
      <c r="B134" s="303"/>
      <c r="C134" s="304"/>
      <c r="D134" s="304"/>
      <c r="E134" s="304"/>
      <c r="F134" s="305"/>
      <c r="G134" s="300"/>
      <c r="H134" s="301"/>
      <c r="I134" s="301"/>
      <c r="J134" s="301"/>
      <c r="K134" s="302"/>
      <c r="L134" s="306"/>
      <c r="M134" s="307"/>
      <c r="N134" s="307"/>
      <c r="O134" s="307"/>
      <c r="P134" s="294">
        <f>IF(OR(B134=Słowniki!A$46,B134=Słowniki!A$56,B134=Słowniki!A$58,B134=Słowniki!A$59),0.08,0.23)</f>
        <v>0.23</v>
      </c>
      <c r="Q134" s="295"/>
      <c r="R134" s="295"/>
      <c r="S134" s="295"/>
      <c r="T134" s="528">
        <v>1</v>
      </c>
      <c r="U134" s="528"/>
      <c r="V134" s="528"/>
      <c r="W134" s="528"/>
      <c r="X134" s="528"/>
      <c r="Y134" s="528"/>
      <c r="Z134" s="529"/>
      <c r="AA134" s="526">
        <f t="shared" si="0"/>
        <v>0</v>
      </c>
      <c r="AB134" s="530"/>
      <c r="AC134" s="530"/>
      <c r="AD134" s="530"/>
      <c r="AE134" s="530"/>
      <c r="AF134" s="530"/>
      <c r="AG134" s="527"/>
      <c r="AH134" s="531" t="e">
        <f>IF(OR(B134=Słowniki!A$57,B134=Słowniki!A$58),(AJ$108*AJ$109),AJ$108)</f>
        <v>#DIV/0!</v>
      </c>
      <c r="AI134" s="532"/>
      <c r="AJ134" s="533"/>
      <c r="AK134" s="526" t="e">
        <f t="shared" si="1"/>
        <v>#DIV/0!</v>
      </c>
      <c r="AL134" s="527"/>
      <c r="AM134" s="221"/>
      <c r="AN134" s="221"/>
      <c r="AO134" s="222"/>
    </row>
    <row r="135" spans="1:41" s="223" customFormat="1" ht="54" customHeight="1" x14ac:dyDescent="0.25">
      <c r="A135" s="128">
        <v>21</v>
      </c>
      <c r="B135" s="303"/>
      <c r="C135" s="304"/>
      <c r="D135" s="304"/>
      <c r="E135" s="304"/>
      <c r="F135" s="305"/>
      <c r="G135" s="300"/>
      <c r="H135" s="301"/>
      <c r="I135" s="301"/>
      <c r="J135" s="301"/>
      <c r="K135" s="302"/>
      <c r="L135" s="306"/>
      <c r="M135" s="307"/>
      <c r="N135" s="307"/>
      <c r="O135" s="307"/>
      <c r="P135" s="294">
        <f>IF(OR(B135=Słowniki!A$46,B135=Słowniki!A$56,B135=Słowniki!A$58,B135=Słowniki!A$59),0.08,0.23)</f>
        <v>0.23</v>
      </c>
      <c r="Q135" s="295"/>
      <c r="R135" s="295"/>
      <c r="S135" s="295"/>
      <c r="T135" s="528">
        <v>1</v>
      </c>
      <c r="U135" s="528"/>
      <c r="V135" s="528"/>
      <c r="W135" s="528"/>
      <c r="X135" s="528"/>
      <c r="Y135" s="528"/>
      <c r="Z135" s="529"/>
      <c r="AA135" s="526">
        <f t="shared" si="0"/>
        <v>0</v>
      </c>
      <c r="AB135" s="530"/>
      <c r="AC135" s="530"/>
      <c r="AD135" s="530"/>
      <c r="AE135" s="530"/>
      <c r="AF135" s="530"/>
      <c r="AG135" s="527"/>
      <c r="AH135" s="531" t="e">
        <f>IF(OR(B135=Słowniki!A$57,B135=Słowniki!A$58),(AJ$108*AJ$109),AJ$108)</f>
        <v>#DIV/0!</v>
      </c>
      <c r="AI135" s="532"/>
      <c r="AJ135" s="533"/>
      <c r="AK135" s="526" t="e">
        <f t="shared" si="1"/>
        <v>#DIV/0!</v>
      </c>
      <c r="AL135" s="527"/>
      <c r="AM135" s="221"/>
      <c r="AN135" s="221"/>
      <c r="AO135" s="222"/>
    </row>
    <row r="136" spans="1:41" s="223" customFormat="1" ht="54" customHeight="1" x14ac:dyDescent="0.25">
      <c r="A136" s="128">
        <v>22</v>
      </c>
      <c r="B136" s="303"/>
      <c r="C136" s="304"/>
      <c r="D136" s="304"/>
      <c r="E136" s="304"/>
      <c r="F136" s="305"/>
      <c r="G136" s="300"/>
      <c r="H136" s="301"/>
      <c r="I136" s="301"/>
      <c r="J136" s="301"/>
      <c r="K136" s="302"/>
      <c r="L136" s="306"/>
      <c r="M136" s="307"/>
      <c r="N136" s="307"/>
      <c r="O136" s="307"/>
      <c r="P136" s="294">
        <f>IF(OR(B136=Słowniki!A$46,B136=Słowniki!A$56,B136=Słowniki!A$58,B136=Słowniki!A$59),0.08,0.23)</f>
        <v>0.23</v>
      </c>
      <c r="Q136" s="295"/>
      <c r="R136" s="295"/>
      <c r="S136" s="295"/>
      <c r="T136" s="528">
        <v>1</v>
      </c>
      <c r="U136" s="528"/>
      <c r="V136" s="528"/>
      <c r="W136" s="528"/>
      <c r="X136" s="528"/>
      <c r="Y136" s="528"/>
      <c r="Z136" s="529"/>
      <c r="AA136" s="526">
        <f t="shared" si="0"/>
        <v>0</v>
      </c>
      <c r="AB136" s="530"/>
      <c r="AC136" s="530"/>
      <c r="AD136" s="530"/>
      <c r="AE136" s="530"/>
      <c r="AF136" s="530"/>
      <c r="AG136" s="527"/>
      <c r="AH136" s="531" t="e">
        <f>IF(OR(B136=Słowniki!A$57,B136=Słowniki!A$58),(AJ$108*AJ$109),AJ$108)</f>
        <v>#DIV/0!</v>
      </c>
      <c r="AI136" s="532"/>
      <c r="AJ136" s="533"/>
      <c r="AK136" s="526" t="e">
        <f t="shared" si="1"/>
        <v>#DIV/0!</v>
      </c>
      <c r="AL136" s="527"/>
      <c r="AM136" s="221"/>
      <c r="AN136" s="221"/>
      <c r="AO136" s="222"/>
    </row>
    <row r="137" spans="1:41" s="60" customFormat="1" ht="14.1" customHeight="1" x14ac:dyDescent="0.25">
      <c r="A137" s="128">
        <v>23</v>
      </c>
      <c r="B137" s="451" t="s">
        <v>128</v>
      </c>
      <c r="C137" s="452"/>
      <c r="D137" s="452"/>
      <c r="E137" s="452"/>
      <c r="F137" s="452"/>
      <c r="G137" s="452"/>
      <c r="H137" s="452"/>
      <c r="I137" s="452"/>
      <c r="J137" s="452"/>
      <c r="K137" s="452"/>
      <c r="L137" s="296">
        <f>SUM(L115:O136)</f>
        <v>0</v>
      </c>
      <c r="M137" s="296"/>
      <c r="N137" s="296"/>
      <c r="O137" s="297"/>
      <c r="P137" s="463" t="s">
        <v>129</v>
      </c>
      <c r="Q137" s="463"/>
      <c r="R137" s="463"/>
      <c r="S137" s="463"/>
      <c r="T137" s="462" t="s">
        <v>129</v>
      </c>
      <c r="U137" s="462"/>
      <c r="V137" s="462"/>
      <c r="W137" s="462"/>
      <c r="X137" s="462"/>
      <c r="Y137" s="462"/>
      <c r="Z137" s="462"/>
      <c r="AA137" s="457">
        <f>SUM(AA115:AG136)</f>
        <v>0</v>
      </c>
      <c r="AB137" s="457"/>
      <c r="AC137" s="457"/>
      <c r="AD137" s="457"/>
      <c r="AE137" s="457"/>
      <c r="AF137" s="457"/>
      <c r="AG137" s="457"/>
      <c r="AH137" s="461" t="s">
        <v>129</v>
      </c>
      <c r="AI137" s="461"/>
      <c r="AJ137" s="461"/>
      <c r="AK137" s="457" t="e">
        <f>ROUND(SUM(AK115:AL136),2)</f>
        <v>#DIV/0!</v>
      </c>
      <c r="AL137" s="457"/>
      <c r="AM137" s="77"/>
      <c r="AN137" s="61"/>
      <c r="AO137" s="61"/>
    </row>
    <row r="138" spans="1:41" s="60" customFormat="1" ht="118.2" customHeight="1" x14ac:dyDescent="0.25">
      <c r="A138" s="334" t="s">
        <v>1111</v>
      </c>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c r="AI138" s="334"/>
      <c r="AJ138" s="334"/>
      <c r="AK138" s="334"/>
      <c r="AL138" s="334"/>
      <c r="AM138" s="77"/>
      <c r="AN138" s="61"/>
      <c r="AO138" s="61"/>
    </row>
    <row r="139" spans="1:41" s="60" customFormat="1" ht="13.95" customHeight="1" x14ac:dyDescent="0.25">
      <c r="A139" s="129"/>
      <c r="B139" s="453" t="s">
        <v>181</v>
      </c>
      <c r="C139" s="453"/>
      <c r="D139" s="453"/>
      <c r="E139" s="453"/>
      <c r="F139" s="453"/>
      <c r="G139" s="453"/>
      <c r="H139" s="453"/>
      <c r="I139" s="453"/>
      <c r="J139" s="453"/>
      <c r="K139" s="453"/>
      <c r="L139" s="453"/>
      <c r="M139" s="453"/>
      <c r="N139" s="453"/>
      <c r="O139" s="453"/>
      <c r="P139" s="453"/>
      <c r="Q139" s="453"/>
      <c r="R139" s="453"/>
      <c r="S139" s="453"/>
      <c r="T139" s="458">
        <v>0.8</v>
      </c>
      <c r="U139" s="458"/>
      <c r="V139" s="458"/>
      <c r="W139" s="458"/>
      <c r="X139" s="458"/>
      <c r="Y139" s="458"/>
      <c r="Z139" s="458"/>
      <c r="AA139" s="458"/>
      <c r="AB139" s="458"/>
      <c r="AC139" s="458"/>
      <c r="AD139" s="458"/>
      <c r="AE139" s="458"/>
      <c r="AF139" s="458"/>
      <c r="AG139" s="458"/>
      <c r="AH139" s="458"/>
      <c r="AI139" s="458"/>
      <c r="AJ139" s="458"/>
      <c r="AK139" s="130"/>
      <c r="AL139" s="131"/>
      <c r="AM139" s="77"/>
      <c r="AN139" s="61"/>
      <c r="AO139" s="61"/>
    </row>
    <row r="140" spans="1:41" s="60" customFormat="1" ht="13.95" customHeight="1" x14ac:dyDescent="0.25">
      <c r="A140" s="129"/>
      <c r="B140" s="453" t="s">
        <v>183</v>
      </c>
      <c r="C140" s="453"/>
      <c r="D140" s="453"/>
      <c r="E140" s="453"/>
      <c r="F140" s="453"/>
      <c r="G140" s="453"/>
      <c r="H140" s="453"/>
      <c r="I140" s="453"/>
      <c r="J140" s="453"/>
      <c r="K140" s="453"/>
      <c r="L140" s="453"/>
      <c r="M140" s="453"/>
      <c r="N140" s="453"/>
      <c r="O140" s="453"/>
      <c r="P140" s="453"/>
      <c r="Q140" s="453"/>
      <c r="R140" s="453"/>
      <c r="S140" s="453"/>
      <c r="T140" s="459"/>
      <c r="U140" s="459"/>
      <c r="V140" s="459"/>
      <c r="W140" s="459"/>
      <c r="X140" s="459"/>
      <c r="Y140" s="459"/>
      <c r="Z140" s="459"/>
      <c r="AA140" s="459"/>
      <c r="AB140" s="459"/>
      <c r="AC140" s="459"/>
      <c r="AD140" s="459"/>
      <c r="AE140" s="459"/>
      <c r="AF140" s="459"/>
      <c r="AG140" s="459"/>
      <c r="AH140" s="459"/>
      <c r="AI140" s="459"/>
      <c r="AJ140" s="459"/>
      <c r="AK140" s="130"/>
      <c r="AL140" s="131"/>
      <c r="AM140" s="77"/>
      <c r="AN140" s="61"/>
      <c r="AO140" s="61"/>
    </row>
    <row r="141" spans="1:41" s="60" customFormat="1" ht="14.7" customHeight="1" x14ac:dyDescent="0.3">
      <c r="A141" s="129"/>
      <c r="B141" s="453" t="s">
        <v>182</v>
      </c>
      <c r="C141" s="453"/>
      <c r="D141" s="453"/>
      <c r="E141" s="453"/>
      <c r="F141" s="453"/>
      <c r="G141" s="453"/>
      <c r="H141" s="453"/>
      <c r="I141" s="453"/>
      <c r="J141" s="453"/>
      <c r="K141" s="453"/>
      <c r="L141" s="453"/>
      <c r="M141" s="453"/>
      <c r="N141" s="453"/>
      <c r="O141" s="453"/>
      <c r="P141" s="453"/>
      <c r="Q141" s="453"/>
      <c r="R141" s="453"/>
      <c r="S141" s="453"/>
      <c r="T141" s="466" t="e">
        <f>ROUNDDOWN(AK137*(T139+T140),2)</f>
        <v>#DIV/0!</v>
      </c>
      <c r="U141" s="466"/>
      <c r="V141" s="466"/>
      <c r="W141" s="466"/>
      <c r="X141" s="466"/>
      <c r="Y141" s="466"/>
      <c r="Z141" s="466"/>
      <c r="AA141" s="466"/>
      <c r="AB141" s="466"/>
      <c r="AC141" s="466"/>
      <c r="AD141" s="466"/>
      <c r="AE141" s="466"/>
      <c r="AF141" s="466"/>
      <c r="AG141" s="466"/>
      <c r="AH141" s="466"/>
      <c r="AI141" s="466"/>
      <c r="AJ141" s="466"/>
      <c r="AK141" s="130"/>
      <c r="AL141" s="131"/>
      <c r="AM141" s="100" t="s">
        <v>215</v>
      </c>
      <c r="AN141" s="61"/>
      <c r="AO141" s="61"/>
    </row>
    <row r="142" spans="1:41" ht="53.25" customHeight="1" x14ac:dyDescent="0.25">
      <c r="A142" s="332" t="s">
        <v>743</v>
      </c>
      <c r="B142" s="332"/>
      <c r="C142" s="332"/>
      <c r="D142" s="332"/>
      <c r="E142" s="332"/>
      <c r="F142" s="332"/>
      <c r="G142" s="332"/>
      <c r="H142" s="332"/>
      <c r="I142" s="332"/>
      <c r="J142" s="332"/>
      <c r="K142" s="332"/>
      <c r="L142" s="332"/>
      <c r="M142" s="332"/>
      <c r="N142" s="332"/>
      <c r="O142" s="332"/>
      <c r="P142" s="332"/>
      <c r="Q142" s="332"/>
      <c r="R142" s="332"/>
      <c r="S142" s="332"/>
      <c r="T142" s="332"/>
      <c r="U142" s="332"/>
      <c r="V142" s="332"/>
      <c r="W142" s="332"/>
      <c r="X142" s="332"/>
      <c r="Y142" s="332"/>
      <c r="Z142" s="332"/>
      <c r="AA142" s="332"/>
      <c r="AB142" s="332"/>
      <c r="AC142" s="332"/>
      <c r="AD142" s="332"/>
      <c r="AE142" s="332"/>
      <c r="AF142" s="332"/>
      <c r="AG142" s="332"/>
      <c r="AH142" s="332"/>
      <c r="AI142" s="332"/>
      <c r="AJ142" s="332"/>
      <c r="AK142" s="332"/>
      <c r="AL142" s="332"/>
      <c r="AM142" s="104"/>
    </row>
    <row r="143" spans="1:41" ht="45" customHeight="1" x14ac:dyDescent="0.25">
      <c r="A143" s="333" t="s">
        <v>827</v>
      </c>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101"/>
    </row>
    <row r="144" spans="1:41" ht="42" customHeight="1" x14ac:dyDescent="0.25">
      <c r="A144" s="332" t="s">
        <v>1115</v>
      </c>
      <c r="B144" s="332"/>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c r="AM144" s="104"/>
    </row>
    <row r="145" spans="1:41" ht="39.450000000000003" customHeight="1" x14ac:dyDescent="0.25">
      <c r="A145" s="333" t="s">
        <v>961</v>
      </c>
      <c r="B145" s="33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101"/>
    </row>
    <row r="146" spans="1:41" ht="45" customHeight="1" x14ac:dyDescent="0.25">
      <c r="A146" s="668" t="s">
        <v>1124</v>
      </c>
      <c r="B146" s="668"/>
      <c r="C146" s="668"/>
      <c r="D146" s="668"/>
      <c r="E146" s="668"/>
      <c r="F146" s="668"/>
      <c r="G146" s="668"/>
      <c r="H146" s="668"/>
      <c r="I146" s="668"/>
      <c r="J146" s="668"/>
      <c r="K146" s="668"/>
      <c r="L146" s="668"/>
      <c r="M146" s="668"/>
      <c r="N146" s="668"/>
      <c r="O146" s="668"/>
      <c r="P146" s="668"/>
      <c r="Q146" s="668"/>
      <c r="R146" s="668"/>
      <c r="S146" s="668"/>
      <c r="T146" s="668"/>
      <c r="U146" s="668"/>
      <c r="V146" s="668"/>
      <c r="W146" s="668"/>
      <c r="X146" s="668"/>
      <c r="Y146" s="668"/>
      <c r="Z146" s="668"/>
      <c r="AA146" s="668"/>
      <c r="AB146" s="668"/>
      <c r="AC146" s="668"/>
      <c r="AD146" s="668"/>
      <c r="AE146" s="668"/>
      <c r="AF146" s="668"/>
      <c r="AG146" s="668"/>
      <c r="AH146" s="668"/>
      <c r="AI146" s="668"/>
      <c r="AJ146" s="668"/>
      <c r="AK146" s="668"/>
      <c r="AL146" s="668"/>
      <c r="AM146" s="77"/>
    </row>
    <row r="147" spans="1:41" ht="45" customHeight="1" x14ac:dyDescent="0.25">
      <c r="A147" s="626" t="s">
        <v>782</v>
      </c>
      <c r="B147" s="626"/>
      <c r="C147" s="626"/>
      <c r="D147" s="626"/>
      <c r="E147" s="626"/>
      <c r="F147" s="626"/>
      <c r="G147" s="626"/>
      <c r="H147" s="626"/>
      <c r="I147" s="626"/>
      <c r="J147" s="626"/>
      <c r="K147" s="626"/>
      <c r="L147" s="626"/>
      <c r="M147" s="626"/>
      <c r="N147" s="626"/>
      <c r="O147" s="626"/>
      <c r="P147" s="626"/>
      <c r="Q147" s="626"/>
      <c r="R147" s="626"/>
      <c r="S147" s="626"/>
      <c r="T147" s="626"/>
      <c r="U147" s="626"/>
      <c r="V147" s="626"/>
      <c r="W147" s="626"/>
      <c r="X147" s="626"/>
      <c r="Y147" s="626"/>
      <c r="Z147" s="626"/>
      <c r="AA147" s="626"/>
      <c r="AB147" s="626"/>
      <c r="AC147" s="626"/>
      <c r="AD147" s="626"/>
      <c r="AE147" s="626"/>
      <c r="AF147" s="626"/>
      <c r="AG147" s="626"/>
      <c r="AH147" s="626"/>
      <c r="AI147" s="626"/>
      <c r="AJ147" s="626"/>
      <c r="AK147" s="626"/>
      <c r="AL147" s="626"/>
      <c r="AM147" s="101"/>
    </row>
    <row r="148" spans="1:41" ht="59.7" customHeight="1" x14ac:dyDescent="0.25">
      <c r="A148" s="332" t="s">
        <v>1128</v>
      </c>
      <c r="B148" s="332"/>
      <c r="C148" s="332"/>
      <c r="D148" s="332"/>
      <c r="E148" s="332"/>
      <c r="F148" s="332"/>
      <c r="G148" s="332"/>
      <c r="H148" s="332"/>
      <c r="I148" s="332"/>
      <c r="J148" s="332"/>
      <c r="K148" s="332"/>
      <c r="L148" s="332"/>
      <c r="M148" s="332"/>
      <c r="N148" s="332"/>
      <c r="O148" s="332"/>
      <c r="P148" s="332"/>
      <c r="Q148" s="332"/>
      <c r="R148" s="332"/>
      <c r="S148" s="332"/>
      <c r="T148" s="332"/>
      <c r="U148" s="332"/>
      <c r="V148" s="332"/>
      <c r="W148" s="332"/>
      <c r="X148" s="332"/>
      <c r="Y148" s="332"/>
      <c r="Z148" s="332"/>
      <c r="AA148" s="332"/>
      <c r="AB148" s="332"/>
      <c r="AC148" s="332"/>
      <c r="AD148" s="332"/>
      <c r="AE148" s="332"/>
      <c r="AF148" s="332"/>
      <c r="AG148" s="332"/>
      <c r="AH148" s="332"/>
      <c r="AI148" s="332"/>
      <c r="AJ148" s="332"/>
      <c r="AK148" s="332"/>
      <c r="AL148" s="332"/>
      <c r="AM148" s="101"/>
    </row>
    <row r="149" spans="1:41" ht="64.2" customHeight="1" x14ac:dyDescent="0.25">
      <c r="A149" s="333" t="str">
        <f>IF(B17=Słowniki!A7,Słowniki!Z3,Słowniki!Z4)</f>
        <v>NIE DOTYCZY</v>
      </c>
      <c r="B149" s="333"/>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33"/>
      <c r="AG149" s="333"/>
      <c r="AH149" s="333"/>
      <c r="AI149" s="333"/>
      <c r="AJ149" s="333"/>
      <c r="AK149" s="333"/>
      <c r="AL149" s="333"/>
      <c r="AM149" s="101"/>
    </row>
    <row r="150" spans="1:41" ht="45" customHeight="1" x14ac:dyDescent="0.25">
      <c r="A150" s="332" t="s">
        <v>1129</v>
      </c>
      <c r="B150" s="332"/>
      <c r="C150" s="332"/>
      <c r="D150" s="332"/>
      <c r="E150" s="332"/>
      <c r="F150" s="332"/>
      <c r="G150" s="332"/>
      <c r="H150" s="332"/>
      <c r="I150" s="332"/>
      <c r="J150" s="332"/>
      <c r="K150" s="332"/>
      <c r="L150" s="332"/>
      <c r="M150" s="332"/>
      <c r="N150" s="332"/>
      <c r="O150" s="332"/>
      <c r="P150" s="332"/>
      <c r="Q150" s="332"/>
      <c r="R150" s="332"/>
      <c r="S150" s="332"/>
      <c r="T150" s="332"/>
      <c r="U150" s="332"/>
      <c r="V150" s="332"/>
      <c r="W150" s="332"/>
      <c r="X150" s="332"/>
      <c r="Y150" s="332"/>
      <c r="Z150" s="332"/>
      <c r="AA150" s="332"/>
      <c r="AB150" s="332"/>
      <c r="AC150" s="332"/>
      <c r="AD150" s="332"/>
      <c r="AE150" s="332"/>
      <c r="AF150" s="332"/>
      <c r="AG150" s="332"/>
      <c r="AH150" s="332"/>
      <c r="AI150" s="332"/>
      <c r="AJ150" s="332"/>
      <c r="AK150" s="332"/>
      <c r="AL150" s="332"/>
      <c r="AM150" s="101"/>
    </row>
    <row r="151" spans="1:41" ht="45" customHeight="1" x14ac:dyDescent="0.25">
      <c r="A151" s="332" t="s">
        <v>169</v>
      </c>
      <c r="B151" s="332"/>
      <c r="C151" s="332"/>
      <c r="D151" s="332"/>
      <c r="E151" s="332"/>
      <c r="F151" s="332"/>
      <c r="G151" s="332"/>
      <c r="H151" s="332"/>
      <c r="I151" s="332"/>
      <c r="J151" s="332"/>
      <c r="K151" s="332"/>
      <c r="L151" s="332"/>
      <c r="M151" s="332"/>
      <c r="N151" s="332"/>
      <c r="O151" s="332"/>
      <c r="P151" s="332"/>
      <c r="Q151" s="332"/>
      <c r="R151" s="332"/>
      <c r="S151" s="332"/>
      <c r="T151" s="332"/>
      <c r="U151" s="332"/>
      <c r="V151" s="332"/>
      <c r="W151" s="332"/>
      <c r="X151" s="332"/>
      <c r="Y151" s="332"/>
      <c r="Z151" s="332"/>
      <c r="AA151" s="332"/>
      <c r="AB151" s="332"/>
      <c r="AC151" s="332"/>
      <c r="AD151" s="332"/>
      <c r="AE151" s="332"/>
      <c r="AF151" s="332"/>
      <c r="AG151" s="332"/>
      <c r="AH151" s="332"/>
      <c r="AI151" s="332"/>
      <c r="AJ151" s="332"/>
      <c r="AK151" s="332"/>
      <c r="AL151" s="332"/>
      <c r="AM151" s="101"/>
    </row>
    <row r="152" spans="1:41" ht="45" customHeight="1" x14ac:dyDescent="0.25">
      <c r="A152" s="456"/>
      <c r="B152" s="456"/>
      <c r="C152" s="456"/>
      <c r="D152" s="456"/>
      <c r="E152" s="456"/>
      <c r="F152" s="456"/>
      <c r="G152" s="456"/>
      <c r="H152" s="456"/>
      <c r="I152" s="456"/>
      <c r="J152" s="456"/>
      <c r="K152" s="456"/>
      <c r="L152" s="456"/>
      <c r="M152" s="456"/>
      <c r="N152" s="456"/>
      <c r="O152" s="456"/>
      <c r="P152" s="456"/>
      <c r="Q152" s="456"/>
      <c r="R152" s="456"/>
      <c r="S152" s="456"/>
      <c r="T152" s="456"/>
      <c r="U152" s="456"/>
      <c r="V152" s="456"/>
      <c r="W152" s="456"/>
      <c r="X152" s="456"/>
      <c r="Y152" s="456"/>
      <c r="Z152" s="456"/>
      <c r="AA152" s="456"/>
      <c r="AB152" s="456"/>
      <c r="AC152" s="456"/>
      <c r="AD152" s="456"/>
      <c r="AE152" s="456"/>
      <c r="AF152" s="456"/>
      <c r="AG152" s="456"/>
      <c r="AH152" s="456"/>
      <c r="AI152" s="456"/>
      <c r="AJ152" s="456"/>
      <c r="AK152" s="456"/>
      <c r="AL152" s="456"/>
      <c r="AM152" s="101"/>
    </row>
    <row r="153" spans="1:41" ht="70.2" customHeight="1" x14ac:dyDescent="0.25">
      <c r="A153" s="332" t="s">
        <v>1130</v>
      </c>
      <c r="B153" s="332"/>
      <c r="C153" s="332"/>
      <c r="D153" s="332"/>
      <c r="E153" s="332"/>
      <c r="F153" s="332"/>
      <c r="G153" s="332"/>
      <c r="H153" s="332"/>
      <c r="I153" s="332"/>
      <c r="J153" s="332"/>
      <c r="K153" s="332"/>
      <c r="L153" s="332"/>
      <c r="M153" s="332"/>
      <c r="N153" s="332"/>
      <c r="O153" s="332"/>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101"/>
    </row>
    <row r="154" spans="1:41" ht="88.2" customHeight="1" x14ac:dyDescent="0.25">
      <c r="A154" s="333"/>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101"/>
    </row>
    <row r="155" spans="1:41" ht="58.2" customHeight="1" x14ac:dyDescent="0.25">
      <c r="A155" s="315" t="s">
        <v>1135</v>
      </c>
      <c r="B155" s="315"/>
      <c r="C155" s="315"/>
      <c r="D155" s="315"/>
      <c r="E155" s="315"/>
      <c r="F155" s="315"/>
      <c r="G155" s="315"/>
      <c r="H155" s="315"/>
      <c r="I155" s="315"/>
      <c r="J155" s="315"/>
      <c r="K155" s="315"/>
      <c r="L155" s="315"/>
      <c r="M155" s="315"/>
      <c r="N155" s="315"/>
      <c r="O155" s="315"/>
      <c r="P155" s="315"/>
      <c r="Q155" s="315"/>
      <c r="R155" s="315"/>
      <c r="S155" s="315"/>
      <c r="T155" s="315"/>
      <c r="U155" s="315"/>
      <c r="V155" s="315"/>
      <c r="W155" s="315"/>
      <c r="X155" s="315"/>
      <c r="Y155" s="315"/>
      <c r="Z155" s="315"/>
      <c r="AA155" s="315"/>
      <c r="AB155" s="315"/>
      <c r="AC155" s="315"/>
      <c r="AD155" s="315"/>
      <c r="AE155" s="315"/>
      <c r="AF155" s="315"/>
      <c r="AG155" s="315"/>
      <c r="AH155" s="315"/>
      <c r="AI155" s="315"/>
      <c r="AJ155" s="315"/>
      <c r="AK155" s="315"/>
      <c r="AL155" s="315"/>
      <c r="AM155" s="101"/>
    </row>
    <row r="156" spans="1:41" ht="92.7" customHeight="1" x14ac:dyDescent="0.25">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101"/>
    </row>
    <row r="157" spans="1:41" ht="51.45" customHeight="1" x14ac:dyDescent="0.25">
      <c r="A157" s="308" t="s">
        <v>1138</v>
      </c>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101"/>
    </row>
    <row r="158" spans="1:41" ht="58.5" customHeight="1" x14ac:dyDescent="0.25">
      <c r="A158" s="333" t="s">
        <v>1139</v>
      </c>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101"/>
    </row>
    <row r="159" spans="1:41" s="60" customFormat="1" ht="27.6" customHeight="1" x14ac:dyDescent="0.25">
      <c r="A159" s="308" t="s">
        <v>752</v>
      </c>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c r="AD159" s="308"/>
      <c r="AE159" s="308"/>
      <c r="AF159" s="308"/>
      <c r="AG159" s="308"/>
      <c r="AH159" s="308"/>
      <c r="AI159" s="308"/>
      <c r="AJ159" s="308"/>
      <c r="AK159" s="308"/>
      <c r="AL159" s="308"/>
      <c r="AM159" s="77"/>
      <c r="AN159" s="61"/>
      <c r="AO159" s="61"/>
    </row>
    <row r="160" spans="1:41" s="60" customFormat="1" ht="64.5" customHeight="1" x14ac:dyDescent="0.25">
      <c r="A160" s="308" t="s">
        <v>979</v>
      </c>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c r="AH160" s="308"/>
      <c r="AI160" s="308"/>
      <c r="AJ160" s="308"/>
      <c r="AK160" s="308"/>
      <c r="AL160" s="308"/>
      <c r="AM160" s="77"/>
      <c r="AN160" s="61"/>
      <c r="AO160" s="61"/>
    </row>
    <row r="161" spans="1:43" s="60" customFormat="1" ht="36" customHeight="1" x14ac:dyDescent="0.25">
      <c r="A161" s="308" t="s">
        <v>1024</v>
      </c>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c r="AJ161" s="308"/>
      <c r="AK161" s="308"/>
      <c r="AL161" s="308"/>
      <c r="AM161" s="77"/>
      <c r="AN161" s="61"/>
      <c r="AO161" s="61"/>
    </row>
    <row r="162" spans="1:43" s="60" customFormat="1" ht="81.45" customHeight="1" x14ac:dyDescent="0.25">
      <c r="A162" s="308" t="s">
        <v>1153</v>
      </c>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c r="AH162" s="308"/>
      <c r="AI162" s="308"/>
      <c r="AJ162" s="308"/>
      <c r="AK162" s="308"/>
      <c r="AL162" s="308"/>
      <c r="AM162" s="77"/>
      <c r="AN162" s="61"/>
      <c r="AO162" s="61"/>
    </row>
    <row r="163" spans="1:43" ht="73.95" customHeight="1" x14ac:dyDescent="0.25">
      <c r="A163" s="308" t="s">
        <v>1002</v>
      </c>
      <c r="B163" s="328"/>
      <c r="C163" s="328"/>
      <c r="D163" s="328"/>
      <c r="E163" s="328"/>
      <c r="F163" s="328"/>
      <c r="G163" s="328"/>
      <c r="H163" s="328"/>
      <c r="I163" s="328"/>
      <c r="J163" s="328"/>
      <c r="K163" s="328"/>
      <c r="L163" s="328"/>
      <c r="M163" s="328"/>
      <c r="N163" s="328"/>
      <c r="O163" s="328"/>
      <c r="P163" s="328"/>
      <c r="Q163" s="328"/>
      <c r="R163" s="328"/>
      <c r="S163" s="328"/>
      <c r="T163" s="328"/>
      <c r="U163" s="328"/>
      <c r="V163" s="328"/>
      <c r="W163" s="328"/>
      <c r="X163" s="328"/>
      <c r="Y163" s="328"/>
      <c r="Z163" s="328"/>
      <c r="AA163" s="328"/>
      <c r="AB163" s="328"/>
      <c r="AC163" s="328"/>
      <c r="AD163" s="328"/>
      <c r="AE163" s="328"/>
      <c r="AF163" s="328"/>
      <c r="AG163" s="328"/>
      <c r="AH163" s="328"/>
      <c r="AI163" s="328"/>
      <c r="AJ163" s="328"/>
      <c r="AK163" s="328"/>
      <c r="AL163" s="328"/>
    </row>
    <row r="164" spans="1:43" ht="23.7" customHeight="1" x14ac:dyDescent="0.25">
      <c r="A164" s="308" t="s">
        <v>1051</v>
      </c>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c r="AJ164" s="308"/>
      <c r="AK164" s="308"/>
      <c r="AL164" s="308"/>
      <c r="AM164" s="77"/>
    </row>
    <row r="165" spans="1:43" ht="43.5" customHeight="1" x14ac:dyDescent="0.25">
      <c r="A165" s="505" t="str">
        <f>IF(B17="Gmina","1)  w przypadku gminy - wójta (burmistrza, prezydenta miasta)",IF(B17="Związek międzygminny","2)  w przypadku związku międzygminnego - zarząd związku",IF(B17="Organizacja pozarządowa","4)  w przypadku organizacji pożytku publicznego - osobę lub osoby uprawnione do składania oświadczeń woli w imieniu organizacji (należy dołączyć aktualny dokument potwierdzający uprawnienia)",IF(B17="Jednoosobowa spółka gminna","4)  w przypadku jednoosobowej spółki gminnej - osobę lub osoby uprawnione do składania oświadczeń woli w imieniu spółki (należy dołączyć aktualny dokument potwierdzający uprawnienia)",IF(B17="Podmioty, o których mowa w art. 3 ust. 3 ustawy  o działalności pożytku publicznego i wolontariacie","4)  w przypadku podmiotów - osobę lub osoby uprawnione do składania oświadczeń woli w imieniu organizacji (należy dołączyć aktualny dokument potwierdzający uprawnienia)",IF(B17="",""))))))</f>
        <v/>
      </c>
      <c r="B165" s="505"/>
      <c r="C165" s="505"/>
      <c r="D165" s="505"/>
      <c r="E165" s="505"/>
      <c r="F165" s="505"/>
      <c r="G165" s="505"/>
      <c r="H165" s="505"/>
      <c r="I165" s="505"/>
      <c r="J165" s="505"/>
      <c r="K165" s="505"/>
      <c r="L165" s="505"/>
      <c r="M165" s="505"/>
      <c r="N165" s="505"/>
      <c r="O165" s="505"/>
      <c r="P165" s="505"/>
      <c r="Q165" s="505"/>
      <c r="R165" s="505"/>
      <c r="S165" s="505"/>
      <c r="T165" s="505"/>
      <c r="U165" s="505"/>
      <c r="V165" s="505"/>
      <c r="W165" s="505"/>
      <c r="X165" s="505"/>
      <c r="Y165" s="505"/>
      <c r="Z165" s="505"/>
      <c r="AA165" s="505"/>
      <c r="AB165" s="505"/>
      <c r="AC165" s="505"/>
      <c r="AD165" s="505"/>
      <c r="AE165" s="505"/>
      <c r="AF165" s="505"/>
      <c r="AG165" s="505"/>
      <c r="AH165" s="505"/>
      <c r="AI165" s="505"/>
      <c r="AJ165" s="505"/>
      <c r="AK165" s="505"/>
      <c r="AL165" s="505"/>
      <c r="AM165" s="454" t="s">
        <v>974</v>
      </c>
    </row>
    <row r="166" spans="1:43" ht="45" customHeight="1" x14ac:dyDescent="0.3">
      <c r="A166" s="460" t="s">
        <v>753</v>
      </c>
      <c r="B166" s="460"/>
      <c r="C166" s="460"/>
      <c r="D166" s="460"/>
      <c r="E166" s="460"/>
      <c r="F166" s="460"/>
      <c r="G166" s="460"/>
      <c r="H166" s="460"/>
      <c r="I166" s="460"/>
      <c r="J166" s="460"/>
      <c r="K166" s="460"/>
      <c r="L166" s="460"/>
      <c r="M166" s="460"/>
      <c r="N166" s="460"/>
      <c r="O166" s="460"/>
      <c r="P166" s="460"/>
      <c r="Q166" s="460"/>
      <c r="R166" s="460"/>
      <c r="S166" s="460"/>
      <c r="T166" s="460"/>
      <c r="U166" s="460"/>
      <c r="V166" s="460"/>
      <c r="W166" s="460"/>
      <c r="X166" s="460"/>
      <c r="Y166" s="460"/>
      <c r="Z166" s="460"/>
      <c r="AA166" s="460"/>
      <c r="AB166" s="460"/>
      <c r="AC166" s="460"/>
      <c r="AD166" s="460"/>
      <c r="AE166" s="460"/>
      <c r="AF166" s="460"/>
      <c r="AG166" s="460"/>
      <c r="AH166" s="460"/>
      <c r="AI166" s="460"/>
      <c r="AJ166" s="460"/>
      <c r="AK166" s="460"/>
      <c r="AL166" s="460"/>
      <c r="AM166" s="455"/>
    </row>
    <row r="167" spans="1:43" s="60" customFormat="1" ht="13.95" customHeight="1" x14ac:dyDescent="0.25">
      <c r="A167" s="449" t="s">
        <v>1148</v>
      </c>
      <c r="B167" s="449"/>
      <c r="C167" s="449"/>
      <c r="D167" s="449"/>
      <c r="E167" s="449"/>
      <c r="F167" s="449"/>
      <c r="G167" s="449"/>
      <c r="H167" s="449"/>
      <c r="I167" s="449"/>
      <c r="J167" s="449"/>
      <c r="K167" s="449"/>
      <c r="L167" s="449"/>
      <c r="M167" s="449"/>
      <c r="N167" s="449"/>
      <c r="O167" s="449"/>
      <c r="P167" s="449"/>
      <c r="Q167" s="449"/>
      <c r="R167" s="449"/>
      <c r="S167" s="449"/>
      <c r="T167" s="449"/>
      <c r="U167" s="449"/>
      <c r="V167" s="449"/>
      <c r="W167" s="449"/>
      <c r="X167" s="449"/>
      <c r="Y167" s="449"/>
      <c r="Z167" s="449"/>
      <c r="AA167" s="449"/>
      <c r="AB167" s="449"/>
      <c r="AC167" s="449"/>
      <c r="AD167" s="449"/>
      <c r="AE167" s="449"/>
      <c r="AF167" s="449"/>
      <c r="AG167" s="449"/>
      <c r="AH167" s="449"/>
      <c r="AI167" s="449"/>
      <c r="AJ167" s="449"/>
      <c r="AK167" s="449"/>
      <c r="AL167" s="449"/>
      <c r="AM167" s="77"/>
      <c r="AN167" s="77"/>
      <c r="AO167" s="77"/>
      <c r="AP167" s="77"/>
      <c r="AQ167" s="77"/>
    </row>
    <row r="168" spans="1:43" s="60" customFormat="1" ht="13.95" customHeight="1" x14ac:dyDescent="0.25">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c r="W168" s="450"/>
      <c r="X168" s="450"/>
      <c r="Y168" s="450"/>
      <c r="Z168" s="450"/>
      <c r="AA168" s="450"/>
      <c r="AB168" s="450"/>
      <c r="AC168" s="450"/>
      <c r="AD168" s="450"/>
      <c r="AE168" s="450"/>
      <c r="AF168" s="450"/>
      <c r="AG168" s="450"/>
      <c r="AH168" s="450"/>
      <c r="AI168" s="450"/>
      <c r="AJ168" s="450"/>
      <c r="AK168" s="450"/>
      <c r="AL168" s="450"/>
      <c r="AM168" s="77"/>
      <c r="AN168" s="77"/>
      <c r="AO168" s="77"/>
      <c r="AP168" s="77"/>
      <c r="AQ168" s="77"/>
    </row>
    <row r="169" spans="1:43" s="60" customFormat="1" ht="13.95" customHeight="1" x14ac:dyDescent="0.25">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c r="W169" s="450"/>
      <c r="X169" s="450"/>
      <c r="Y169" s="450"/>
      <c r="Z169" s="450"/>
      <c r="AA169" s="450"/>
      <c r="AB169" s="450"/>
      <c r="AC169" s="450"/>
      <c r="AD169" s="450"/>
      <c r="AE169" s="450"/>
      <c r="AF169" s="450"/>
      <c r="AG169" s="450"/>
      <c r="AH169" s="450"/>
      <c r="AI169" s="450"/>
      <c r="AJ169" s="450"/>
      <c r="AK169" s="450"/>
      <c r="AL169" s="450"/>
      <c r="AM169" s="77"/>
      <c r="AN169" s="77"/>
      <c r="AO169" s="77"/>
      <c r="AP169" s="77"/>
      <c r="AQ169" s="77"/>
    </row>
    <row r="170" spans="1:43" s="60" customFormat="1" ht="13.95" customHeight="1" x14ac:dyDescent="0.3">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c r="W170" s="450"/>
      <c r="X170" s="450"/>
      <c r="Y170" s="450"/>
      <c r="Z170" s="450"/>
      <c r="AA170" s="450"/>
      <c r="AB170" s="450"/>
      <c r="AC170" s="450"/>
      <c r="AD170" s="450"/>
      <c r="AE170" s="450"/>
      <c r="AF170" s="450"/>
      <c r="AG170" s="450"/>
      <c r="AH170" s="450"/>
      <c r="AI170" s="450"/>
      <c r="AJ170" s="450"/>
      <c r="AK170" s="450"/>
      <c r="AL170" s="450"/>
      <c r="AM170" s="256" t="s">
        <v>1155</v>
      </c>
      <c r="AN170" s="77"/>
      <c r="AO170" s="77"/>
      <c r="AP170" s="77"/>
      <c r="AQ170" s="77"/>
    </row>
    <row r="171" spans="1:43" s="60" customFormat="1" ht="151.19999999999999" customHeight="1" x14ac:dyDescent="0.25">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c r="W171" s="450"/>
      <c r="X171" s="450"/>
      <c r="Y171" s="450"/>
      <c r="Z171" s="450"/>
      <c r="AA171" s="450"/>
      <c r="AB171" s="450"/>
      <c r="AC171" s="450"/>
      <c r="AD171" s="450"/>
      <c r="AE171" s="450"/>
      <c r="AF171" s="450"/>
      <c r="AG171" s="450"/>
      <c r="AH171" s="450"/>
      <c r="AI171" s="450"/>
      <c r="AJ171" s="450"/>
      <c r="AK171" s="450"/>
      <c r="AL171" s="450"/>
      <c r="AM171" s="255" t="s">
        <v>1156</v>
      </c>
      <c r="AN171" s="77"/>
      <c r="AO171" s="77"/>
      <c r="AP171" s="77"/>
      <c r="AQ171" s="77"/>
    </row>
    <row r="172" spans="1:43" s="60" customFormat="1" x14ac:dyDescent="0.25">
      <c r="AM172" s="77"/>
      <c r="AN172" s="77"/>
      <c r="AO172" s="77"/>
      <c r="AP172" s="77"/>
      <c r="AQ172" s="77"/>
    </row>
    <row r="173" spans="1:43" s="60" customFormat="1" x14ac:dyDescent="0.25">
      <c r="AM173" s="77"/>
      <c r="AN173" s="77"/>
      <c r="AO173" s="77"/>
      <c r="AP173" s="77"/>
      <c r="AQ173" s="77"/>
    </row>
    <row r="174" spans="1:43" s="60" customFormat="1" x14ac:dyDescent="0.25">
      <c r="AM174" s="77"/>
      <c r="AN174" s="77"/>
      <c r="AO174" s="77"/>
      <c r="AP174" s="77"/>
      <c r="AQ174" s="77"/>
    </row>
    <row r="175" spans="1:43" s="60" customFormat="1" x14ac:dyDescent="0.25">
      <c r="AM175" s="77"/>
      <c r="AN175" s="77"/>
      <c r="AO175" s="77"/>
      <c r="AP175" s="77"/>
      <c r="AQ175" s="77"/>
    </row>
    <row r="176" spans="1:43" s="60" customFormat="1" x14ac:dyDescent="0.25">
      <c r="AM176" s="77"/>
      <c r="AN176" s="77"/>
      <c r="AO176" s="77"/>
      <c r="AP176" s="77"/>
      <c r="AQ176" s="77"/>
    </row>
    <row r="177" spans="39:43" s="60" customFormat="1" x14ac:dyDescent="0.25">
      <c r="AM177" s="77"/>
      <c r="AN177" s="77"/>
      <c r="AO177" s="77"/>
      <c r="AP177" s="77"/>
      <c r="AQ177" s="77"/>
    </row>
    <row r="178" spans="39:43" s="60" customFormat="1" x14ac:dyDescent="0.25">
      <c r="AM178" s="77"/>
      <c r="AN178" s="77"/>
      <c r="AO178" s="77"/>
      <c r="AP178" s="77"/>
      <c r="AQ178" s="77"/>
    </row>
    <row r="179" spans="39:43" s="60" customFormat="1" x14ac:dyDescent="0.25">
      <c r="AM179" s="77"/>
      <c r="AN179" s="77"/>
      <c r="AO179" s="77"/>
      <c r="AP179" s="77"/>
      <c r="AQ179" s="77"/>
    </row>
    <row r="180" spans="39:43" s="60" customFormat="1" x14ac:dyDescent="0.25">
      <c r="AM180" s="77"/>
      <c r="AN180" s="77"/>
      <c r="AO180" s="77"/>
      <c r="AP180" s="77"/>
      <c r="AQ180" s="77"/>
    </row>
    <row r="181" spans="39:43" s="60" customFormat="1" x14ac:dyDescent="0.25">
      <c r="AM181" s="77"/>
      <c r="AN181" s="77"/>
      <c r="AO181" s="77"/>
      <c r="AP181" s="77"/>
      <c r="AQ181" s="77"/>
    </row>
    <row r="182" spans="39:43" s="60" customFormat="1" x14ac:dyDescent="0.25">
      <c r="AM182" s="77"/>
      <c r="AN182" s="77"/>
      <c r="AO182" s="77"/>
      <c r="AP182" s="77"/>
      <c r="AQ182" s="77"/>
    </row>
    <row r="183" spans="39:43" s="60" customFormat="1" x14ac:dyDescent="0.25">
      <c r="AM183" s="77"/>
      <c r="AN183" s="77"/>
      <c r="AO183" s="77"/>
      <c r="AP183" s="77"/>
      <c r="AQ183" s="77"/>
    </row>
    <row r="184" spans="39:43" s="60" customFormat="1" x14ac:dyDescent="0.25">
      <c r="AM184" s="77"/>
      <c r="AN184" s="77"/>
      <c r="AO184" s="77"/>
      <c r="AP184" s="77"/>
      <c r="AQ184" s="77"/>
    </row>
    <row r="185" spans="39:43" s="60" customFormat="1" x14ac:dyDescent="0.25">
      <c r="AM185" s="77"/>
      <c r="AN185" s="77"/>
      <c r="AO185" s="77"/>
      <c r="AP185" s="77"/>
      <c r="AQ185" s="77"/>
    </row>
    <row r="186" spans="39:43" s="60" customFormat="1" x14ac:dyDescent="0.25">
      <c r="AM186" s="77"/>
      <c r="AN186" s="77"/>
      <c r="AO186" s="77"/>
      <c r="AP186" s="77"/>
      <c r="AQ186" s="77"/>
    </row>
    <row r="187" spans="39:43" s="60" customFormat="1" x14ac:dyDescent="0.25">
      <c r="AM187" s="77"/>
      <c r="AN187" s="77"/>
      <c r="AO187" s="77"/>
      <c r="AP187" s="77"/>
      <c r="AQ187" s="77"/>
    </row>
    <row r="188" spans="39:43" s="60" customFormat="1" x14ac:dyDescent="0.25">
      <c r="AM188" s="77"/>
      <c r="AN188" s="77"/>
      <c r="AO188" s="77"/>
      <c r="AP188" s="77"/>
      <c r="AQ188" s="77"/>
    </row>
    <row r="189" spans="39:43" s="60" customFormat="1" x14ac:dyDescent="0.25">
      <c r="AM189" s="77"/>
      <c r="AN189" s="77"/>
      <c r="AO189" s="77"/>
      <c r="AP189" s="77"/>
      <c r="AQ189" s="77"/>
    </row>
    <row r="190" spans="39:43" s="60" customFormat="1" x14ac:dyDescent="0.25">
      <c r="AM190" s="77"/>
      <c r="AN190" s="77"/>
      <c r="AO190" s="77"/>
      <c r="AP190" s="77"/>
      <c r="AQ190" s="77"/>
    </row>
    <row r="191" spans="39:43" s="60" customFormat="1" x14ac:dyDescent="0.25">
      <c r="AM191" s="77"/>
      <c r="AN191" s="77"/>
      <c r="AO191" s="77"/>
      <c r="AP191" s="77"/>
      <c r="AQ191" s="77"/>
    </row>
    <row r="192" spans="39:43" s="60" customFormat="1" x14ac:dyDescent="0.25">
      <c r="AM192" s="77"/>
      <c r="AN192" s="77"/>
      <c r="AO192" s="77"/>
      <c r="AP192" s="77"/>
      <c r="AQ192" s="77"/>
    </row>
    <row r="193" spans="39:43" s="60" customFormat="1" x14ac:dyDescent="0.25">
      <c r="AM193" s="77"/>
      <c r="AN193" s="77"/>
      <c r="AO193" s="77"/>
      <c r="AP193" s="77"/>
      <c r="AQ193" s="77"/>
    </row>
    <row r="194" spans="39:43" s="60" customFormat="1" x14ac:dyDescent="0.25">
      <c r="AM194" s="77"/>
      <c r="AN194" s="77"/>
      <c r="AO194" s="77"/>
      <c r="AP194" s="77"/>
      <c r="AQ194" s="77"/>
    </row>
    <row r="195" spans="39:43" s="60" customFormat="1" x14ac:dyDescent="0.25">
      <c r="AM195" s="77"/>
      <c r="AN195" s="77"/>
      <c r="AO195" s="77"/>
      <c r="AP195" s="77"/>
      <c r="AQ195" s="77"/>
    </row>
    <row r="196" spans="39:43" s="60" customFormat="1" x14ac:dyDescent="0.25">
      <c r="AM196" s="77"/>
      <c r="AN196" s="77"/>
      <c r="AO196" s="77"/>
      <c r="AP196" s="77"/>
      <c r="AQ196" s="77"/>
    </row>
    <row r="197" spans="39:43" s="60" customFormat="1" x14ac:dyDescent="0.25">
      <c r="AM197" s="77"/>
      <c r="AN197" s="77"/>
      <c r="AO197" s="77"/>
      <c r="AP197" s="77"/>
      <c r="AQ197" s="77"/>
    </row>
    <row r="198" spans="39:43" s="60" customFormat="1" x14ac:dyDescent="0.25">
      <c r="AM198" s="77"/>
      <c r="AN198" s="77"/>
      <c r="AO198" s="77"/>
      <c r="AP198" s="77"/>
      <c r="AQ198" s="77"/>
    </row>
    <row r="199" spans="39:43" s="60" customFormat="1" x14ac:dyDescent="0.25">
      <c r="AM199" s="77"/>
      <c r="AN199" s="77"/>
      <c r="AO199" s="77"/>
      <c r="AP199" s="77"/>
      <c r="AQ199" s="77"/>
    </row>
    <row r="200" spans="39:43" s="60" customFormat="1" x14ac:dyDescent="0.25">
      <c r="AM200" s="77"/>
      <c r="AN200" s="77"/>
      <c r="AO200" s="77"/>
      <c r="AP200" s="77"/>
      <c r="AQ200" s="77"/>
    </row>
    <row r="201" spans="39:43" s="60" customFormat="1" x14ac:dyDescent="0.25">
      <c r="AM201" s="77"/>
      <c r="AN201" s="77"/>
      <c r="AO201" s="77"/>
      <c r="AP201" s="77"/>
      <c r="AQ201" s="77"/>
    </row>
    <row r="202" spans="39:43" s="60" customFormat="1" x14ac:dyDescent="0.25">
      <c r="AM202" s="77"/>
      <c r="AN202" s="77"/>
      <c r="AO202" s="77"/>
      <c r="AP202" s="77"/>
      <c r="AQ202" s="77"/>
    </row>
    <row r="203" spans="39:43" s="60" customFormat="1" x14ac:dyDescent="0.25">
      <c r="AM203" s="77"/>
      <c r="AN203" s="77"/>
      <c r="AO203" s="77"/>
      <c r="AP203" s="77"/>
      <c r="AQ203" s="77"/>
    </row>
    <row r="204" spans="39:43" s="60" customFormat="1" x14ac:dyDescent="0.25">
      <c r="AM204" s="77"/>
      <c r="AN204" s="77"/>
      <c r="AO204" s="77"/>
      <c r="AP204" s="77"/>
      <c r="AQ204" s="77"/>
    </row>
    <row r="205" spans="39:43" s="60" customFormat="1" x14ac:dyDescent="0.25">
      <c r="AM205" s="77"/>
      <c r="AN205" s="77"/>
      <c r="AO205" s="77"/>
      <c r="AP205" s="77"/>
      <c r="AQ205" s="77"/>
    </row>
    <row r="206" spans="39:43" s="60" customFormat="1" x14ac:dyDescent="0.25">
      <c r="AM206" s="77"/>
      <c r="AN206" s="77"/>
      <c r="AO206" s="77"/>
      <c r="AP206" s="77"/>
      <c r="AQ206" s="77"/>
    </row>
    <row r="207" spans="39:43" s="60" customFormat="1" x14ac:dyDescent="0.25">
      <c r="AM207" s="77"/>
      <c r="AN207" s="77"/>
      <c r="AO207" s="77"/>
      <c r="AP207" s="77"/>
      <c r="AQ207" s="77"/>
    </row>
    <row r="208" spans="39:43" s="60" customFormat="1" x14ac:dyDescent="0.25">
      <c r="AM208" s="77"/>
      <c r="AN208" s="77"/>
      <c r="AO208" s="77"/>
      <c r="AP208" s="77"/>
      <c r="AQ208" s="77"/>
    </row>
    <row r="209" spans="39:43" s="60" customFormat="1" x14ac:dyDescent="0.25">
      <c r="AM209" s="77"/>
      <c r="AN209" s="77"/>
      <c r="AO209" s="77"/>
      <c r="AP209" s="77"/>
      <c r="AQ209" s="77"/>
    </row>
    <row r="210" spans="39:43" s="60" customFormat="1" x14ac:dyDescent="0.25">
      <c r="AM210" s="77"/>
      <c r="AN210" s="77"/>
      <c r="AO210" s="77"/>
      <c r="AP210" s="77"/>
      <c r="AQ210" s="77"/>
    </row>
    <row r="211" spans="39:43" s="60" customFormat="1" x14ac:dyDescent="0.25">
      <c r="AM211" s="77"/>
      <c r="AN211" s="77"/>
      <c r="AO211" s="77"/>
      <c r="AP211" s="77"/>
      <c r="AQ211" s="77"/>
    </row>
    <row r="212" spans="39:43" s="60" customFormat="1" x14ac:dyDescent="0.25">
      <c r="AM212" s="77"/>
      <c r="AN212" s="77"/>
      <c r="AO212" s="77"/>
      <c r="AP212" s="77"/>
      <c r="AQ212" s="77"/>
    </row>
    <row r="213" spans="39:43" s="60" customFormat="1" x14ac:dyDescent="0.25">
      <c r="AM213" s="77"/>
      <c r="AN213" s="77"/>
      <c r="AO213" s="77"/>
      <c r="AP213" s="77"/>
      <c r="AQ213" s="77"/>
    </row>
    <row r="214" spans="39:43" s="60" customFormat="1" x14ac:dyDescent="0.25">
      <c r="AM214" s="77"/>
      <c r="AN214" s="77"/>
      <c r="AO214" s="77"/>
      <c r="AP214" s="77"/>
      <c r="AQ214" s="77"/>
    </row>
    <row r="215" spans="39:43" s="60" customFormat="1" x14ac:dyDescent="0.25">
      <c r="AM215" s="77"/>
      <c r="AN215" s="77"/>
      <c r="AO215" s="77"/>
      <c r="AP215" s="77"/>
      <c r="AQ215" s="77"/>
    </row>
    <row r="216" spans="39:43" s="60" customFormat="1" x14ac:dyDescent="0.25">
      <c r="AM216" s="77"/>
      <c r="AN216" s="77"/>
      <c r="AO216" s="77"/>
      <c r="AP216" s="77"/>
      <c r="AQ216" s="77"/>
    </row>
    <row r="217" spans="39:43" s="60" customFormat="1" x14ac:dyDescent="0.25">
      <c r="AM217" s="77"/>
      <c r="AN217" s="77"/>
      <c r="AO217" s="77"/>
      <c r="AP217" s="77"/>
      <c r="AQ217" s="77"/>
    </row>
    <row r="218" spans="39:43" s="60" customFormat="1" x14ac:dyDescent="0.25">
      <c r="AM218" s="77"/>
      <c r="AN218" s="77"/>
      <c r="AO218" s="77"/>
      <c r="AP218" s="77"/>
      <c r="AQ218" s="77"/>
    </row>
    <row r="219" spans="39:43" s="60" customFormat="1" x14ac:dyDescent="0.25">
      <c r="AM219" s="77"/>
      <c r="AN219" s="77"/>
      <c r="AO219" s="77"/>
      <c r="AP219" s="77"/>
      <c r="AQ219" s="77"/>
    </row>
    <row r="220" spans="39:43" s="60" customFormat="1" x14ac:dyDescent="0.25">
      <c r="AM220" s="77"/>
      <c r="AN220" s="77"/>
      <c r="AO220" s="77"/>
      <c r="AP220" s="77"/>
      <c r="AQ220" s="77"/>
    </row>
    <row r="221" spans="39:43" s="60" customFormat="1" x14ac:dyDescent="0.25">
      <c r="AM221" s="77"/>
      <c r="AN221" s="77"/>
      <c r="AO221" s="77"/>
      <c r="AP221" s="77"/>
      <c r="AQ221" s="77"/>
    </row>
    <row r="222" spans="39:43" s="60" customFormat="1" x14ac:dyDescent="0.25">
      <c r="AM222" s="77"/>
      <c r="AN222" s="77"/>
      <c r="AO222" s="77"/>
      <c r="AP222" s="77"/>
      <c r="AQ222" s="77"/>
    </row>
    <row r="223" spans="39:43" s="60" customFormat="1" x14ac:dyDescent="0.25">
      <c r="AM223" s="77"/>
      <c r="AN223" s="77"/>
      <c r="AO223" s="77"/>
      <c r="AP223" s="77"/>
      <c r="AQ223" s="77"/>
    </row>
    <row r="224" spans="39:43" s="60" customFormat="1" x14ac:dyDescent="0.25">
      <c r="AM224" s="77"/>
      <c r="AN224" s="77"/>
      <c r="AO224" s="77"/>
      <c r="AP224" s="77"/>
      <c r="AQ224" s="77"/>
    </row>
    <row r="225" spans="39:43" s="60" customFormat="1" x14ac:dyDescent="0.25">
      <c r="AM225" s="77"/>
      <c r="AN225" s="77"/>
      <c r="AO225" s="77"/>
      <c r="AP225" s="77"/>
      <c r="AQ225" s="77"/>
    </row>
    <row r="226" spans="39:43" s="60" customFormat="1" x14ac:dyDescent="0.25">
      <c r="AM226" s="77"/>
      <c r="AN226" s="77"/>
      <c r="AO226" s="77"/>
      <c r="AP226" s="77"/>
      <c r="AQ226" s="77"/>
    </row>
    <row r="227" spans="39:43" s="60" customFormat="1" x14ac:dyDescent="0.25">
      <c r="AM227" s="77"/>
      <c r="AN227" s="77"/>
      <c r="AO227" s="77"/>
      <c r="AP227" s="77"/>
      <c r="AQ227" s="77"/>
    </row>
    <row r="228" spans="39:43" s="60" customFormat="1" x14ac:dyDescent="0.25">
      <c r="AM228" s="77"/>
      <c r="AN228" s="77"/>
      <c r="AO228" s="77"/>
      <c r="AP228" s="77"/>
      <c r="AQ228" s="77"/>
    </row>
    <row r="229" spans="39:43" s="60" customFormat="1" x14ac:dyDescent="0.25">
      <c r="AM229" s="77"/>
      <c r="AN229" s="77"/>
      <c r="AO229" s="77"/>
      <c r="AP229" s="77"/>
      <c r="AQ229" s="77"/>
    </row>
    <row r="230" spans="39:43" s="60" customFormat="1" x14ac:dyDescent="0.25">
      <c r="AM230" s="77"/>
      <c r="AN230" s="77"/>
      <c r="AO230" s="77"/>
      <c r="AP230" s="77"/>
      <c r="AQ230" s="77"/>
    </row>
    <row r="231" spans="39:43" s="60" customFormat="1" x14ac:dyDescent="0.25">
      <c r="AM231" s="77"/>
      <c r="AN231" s="77"/>
      <c r="AO231" s="77"/>
      <c r="AP231" s="77"/>
      <c r="AQ231" s="77"/>
    </row>
    <row r="232" spans="39:43" s="60" customFormat="1" x14ac:dyDescent="0.25">
      <c r="AM232" s="77"/>
      <c r="AN232" s="77"/>
      <c r="AO232" s="77"/>
      <c r="AP232" s="77"/>
      <c r="AQ232" s="77"/>
    </row>
    <row r="233" spans="39:43" s="60" customFormat="1" x14ac:dyDescent="0.25">
      <c r="AM233" s="77"/>
      <c r="AN233" s="77"/>
      <c r="AO233" s="77"/>
      <c r="AP233" s="77"/>
      <c r="AQ233" s="77"/>
    </row>
    <row r="234" spans="39:43" s="60" customFormat="1" x14ac:dyDescent="0.25">
      <c r="AM234" s="77"/>
      <c r="AN234" s="77"/>
      <c r="AO234" s="77"/>
      <c r="AP234" s="77"/>
      <c r="AQ234" s="77"/>
    </row>
    <row r="235" spans="39:43" s="60" customFormat="1" x14ac:dyDescent="0.25">
      <c r="AM235" s="77"/>
      <c r="AN235" s="77"/>
      <c r="AO235" s="77"/>
      <c r="AP235" s="77"/>
      <c r="AQ235" s="77"/>
    </row>
    <row r="236" spans="39:43" s="60" customFormat="1" x14ac:dyDescent="0.25">
      <c r="AM236" s="77"/>
      <c r="AN236" s="77"/>
      <c r="AO236" s="77"/>
      <c r="AP236" s="77"/>
      <c r="AQ236" s="77"/>
    </row>
    <row r="237" spans="39:43" s="60" customFormat="1" x14ac:dyDescent="0.25">
      <c r="AM237" s="77"/>
      <c r="AN237" s="77"/>
      <c r="AO237" s="77"/>
      <c r="AP237" s="77"/>
      <c r="AQ237" s="77"/>
    </row>
    <row r="238" spans="39:43" s="60" customFormat="1" x14ac:dyDescent="0.25">
      <c r="AM238" s="77"/>
      <c r="AN238" s="77"/>
      <c r="AO238" s="77"/>
      <c r="AP238" s="77"/>
      <c r="AQ238" s="77"/>
    </row>
    <row r="239" spans="39:43" s="60" customFormat="1" x14ac:dyDescent="0.25">
      <c r="AM239" s="77"/>
      <c r="AN239" s="77"/>
      <c r="AO239" s="77"/>
      <c r="AP239" s="77"/>
      <c r="AQ239" s="77"/>
    </row>
    <row r="240" spans="39:43" s="60" customFormat="1" x14ac:dyDescent="0.25">
      <c r="AM240" s="77"/>
      <c r="AN240" s="77"/>
      <c r="AO240" s="77"/>
      <c r="AP240" s="77"/>
      <c r="AQ240" s="77"/>
    </row>
    <row r="241" spans="39:43" s="60" customFormat="1" x14ac:dyDescent="0.25">
      <c r="AM241" s="77"/>
      <c r="AN241" s="77"/>
      <c r="AO241" s="77"/>
      <c r="AP241" s="77"/>
      <c r="AQ241" s="77"/>
    </row>
    <row r="242" spans="39:43" s="60" customFormat="1" x14ac:dyDescent="0.25">
      <c r="AM242" s="77"/>
      <c r="AN242" s="77"/>
      <c r="AO242" s="77"/>
      <c r="AP242" s="77"/>
      <c r="AQ242" s="77"/>
    </row>
    <row r="243" spans="39:43" s="60" customFormat="1" x14ac:dyDescent="0.25">
      <c r="AM243" s="77"/>
      <c r="AN243" s="77"/>
      <c r="AO243" s="77"/>
      <c r="AP243" s="77"/>
      <c r="AQ243" s="77"/>
    </row>
    <row r="244" spans="39:43" s="60" customFormat="1" x14ac:dyDescent="0.25">
      <c r="AM244" s="77"/>
      <c r="AN244" s="77"/>
      <c r="AO244" s="77"/>
      <c r="AP244" s="77"/>
      <c r="AQ244" s="77"/>
    </row>
    <row r="245" spans="39:43" s="60" customFormat="1" x14ac:dyDescent="0.25">
      <c r="AM245" s="77"/>
      <c r="AN245" s="77"/>
      <c r="AO245" s="77"/>
      <c r="AP245" s="77"/>
      <c r="AQ245" s="77"/>
    </row>
    <row r="246" spans="39:43" s="60" customFormat="1" x14ac:dyDescent="0.25">
      <c r="AM246" s="77"/>
      <c r="AN246" s="77"/>
      <c r="AO246" s="77"/>
      <c r="AP246" s="77"/>
      <c r="AQ246" s="77"/>
    </row>
    <row r="247" spans="39:43" s="60" customFormat="1" x14ac:dyDescent="0.25">
      <c r="AM247" s="77"/>
      <c r="AN247" s="77"/>
      <c r="AO247" s="77"/>
      <c r="AP247" s="77"/>
      <c r="AQ247" s="77"/>
    </row>
    <row r="248" spans="39:43" s="60" customFormat="1" x14ac:dyDescent="0.25">
      <c r="AM248" s="77"/>
      <c r="AN248" s="77"/>
      <c r="AO248" s="77"/>
      <c r="AP248" s="77"/>
      <c r="AQ248" s="77"/>
    </row>
    <row r="249" spans="39:43" s="60" customFormat="1" x14ac:dyDescent="0.25">
      <c r="AM249" s="77"/>
      <c r="AN249" s="77"/>
      <c r="AO249" s="77"/>
      <c r="AP249" s="77"/>
      <c r="AQ249" s="77"/>
    </row>
    <row r="250" spans="39:43" s="60" customFormat="1" x14ac:dyDescent="0.25">
      <c r="AM250" s="77"/>
      <c r="AN250" s="77"/>
      <c r="AO250" s="77"/>
      <c r="AP250" s="77"/>
      <c r="AQ250" s="77"/>
    </row>
    <row r="251" spans="39:43" s="60" customFormat="1" x14ac:dyDescent="0.25">
      <c r="AM251" s="77"/>
      <c r="AN251" s="77"/>
      <c r="AO251" s="77"/>
      <c r="AP251" s="77"/>
      <c r="AQ251" s="77"/>
    </row>
    <row r="252" spans="39:43" s="60" customFormat="1" x14ac:dyDescent="0.25">
      <c r="AM252" s="77"/>
      <c r="AN252" s="77"/>
      <c r="AO252" s="77"/>
      <c r="AP252" s="77"/>
      <c r="AQ252" s="77"/>
    </row>
    <row r="253" spans="39:43" s="60" customFormat="1" x14ac:dyDescent="0.25">
      <c r="AM253" s="77"/>
      <c r="AN253" s="77"/>
      <c r="AO253" s="77"/>
      <c r="AP253" s="77"/>
      <c r="AQ253" s="77"/>
    </row>
    <row r="254" spans="39:43" s="60" customFormat="1" x14ac:dyDescent="0.25">
      <c r="AM254" s="77"/>
      <c r="AN254" s="77"/>
      <c r="AO254" s="77"/>
      <c r="AP254" s="77"/>
      <c r="AQ254" s="77"/>
    </row>
    <row r="255" spans="39:43" s="60" customFormat="1" x14ac:dyDescent="0.25">
      <c r="AM255" s="77"/>
      <c r="AN255" s="77"/>
      <c r="AO255" s="77"/>
      <c r="AP255" s="77"/>
      <c r="AQ255" s="77"/>
    </row>
    <row r="256" spans="39:43" s="60" customFormat="1" x14ac:dyDescent="0.25">
      <c r="AM256" s="77"/>
      <c r="AN256" s="77"/>
      <c r="AO256" s="77"/>
      <c r="AP256" s="77"/>
      <c r="AQ256" s="77"/>
    </row>
    <row r="257" spans="39:43" s="60" customFormat="1" x14ac:dyDescent="0.25">
      <c r="AM257" s="77"/>
      <c r="AN257" s="77"/>
      <c r="AO257" s="77"/>
      <c r="AP257" s="77"/>
      <c r="AQ257" s="77"/>
    </row>
    <row r="258" spans="39:43" s="60" customFormat="1" x14ac:dyDescent="0.25">
      <c r="AM258" s="77"/>
      <c r="AN258" s="77"/>
      <c r="AO258" s="77"/>
      <c r="AP258" s="77"/>
      <c r="AQ258" s="77"/>
    </row>
    <row r="259" spans="39:43" s="60" customFormat="1" x14ac:dyDescent="0.25">
      <c r="AM259" s="77"/>
      <c r="AN259" s="77"/>
      <c r="AO259" s="77"/>
      <c r="AP259" s="77"/>
      <c r="AQ259" s="77"/>
    </row>
    <row r="260" spans="39:43" s="60" customFormat="1" x14ac:dyDescent="0.25">
      <c r="AM260" s="77"/>
      <c r="AN260" s="77"/>
      <c r="AO260" s="77"/>
      <c r="AP260" s="77"/>
      <c r="AQ260" s="77"/>
    </row>
    <row r="261" spans="39:43" s="60" customFormat="1" x14ac:dyDescent="0.25">
      <c r="AM261" s="77"/>
      <c r="AN261" s="77"/>
      <c r="AO261" s="77"/>
      <c r="AP261" s="77"/>
      <c r="AQ261" s="77"/>
    </row>
    <row r="262" spans="39:43" s="60" customFormat="1" x14ac:dyDescent="0.25">
      <c r="AM262" s="77"/>
      <c r="AN262" s="77"/>
      <c r="AO262" s="77"/>
      <c r="AP262" s="77"/>
      <c r="AQ262" s="77"/>
    </row>
    <row r="263" spans="39:43" s="60" customFormat="1" x14ac:dyDescent="0.25">
      <c r="AM263" s="77"/>
      <c r="AN263" s="77"/>
      <c r="AO263" s="77"/>
      <c r="AP263" s="77"/>
      <c r="AQ263" s="77"/>
    </row>
    <row r="264" spans="39:43" s="60" customFormat="1" x14ac:dyDescent="0.25">
      <c r="AM264" s="77"/>
      <c r="AN264" s="77"/>
      <c r="AO264" s="77"/>
      <c r="AP264" s="77"/>
      <c r="AQ264" s="77"/>
    </row>
    <row r="265" spans="39:43" s="60" customFormat="1" x14ac:dyDescent="0.25">
      <c r="AM265" s="77"/>
      <c r="AN265" s="77"/>
      <c r="AO265" s="77"/>
      <c r="AP265" s="77"/>
      <c r="AQ265" s="77"/>
    </row>
    <row r="266" spans="39:43" s="60" customFormat="1" x14ac:dyDescent="0.25">
      <c r="AM266" s="77"/>
      <c r="AN266" s="77"/>
      <c r="AO266" s="77"/>
      <c r="AP266" s="77"/>
      <c r="AQ266" s="77"/>
    </row>
    <row r="267" spans="39:43" s="60" customFormat="1" x14ac:dyDescent="0.25">
      <c r="AM267" s="77"/>
      <c r="AN267" s="77"/>
      <c r="AO267" s="77"/>
      <c r="AP267" s="77"/>
      <c r="AQ267" s="77"/>
    </row>
    <row r="268" spans="39:43" s="60" customFormat="1" x14ac:dyDescent="0.25">
      <c r="AM268" s="77"/>
      <c r="AN268" s="77"/>
      <c r="AO268" s="77"/>
      <c r="AP268" s="77"/>
      <c r="AQ268" s="77"/>
    </row>
    <row r="269" spans="39:43" s="60" customFormat="1" x14ac:dyDescent="0.25">
      <c r="AM269" s="77"/>
      <c r="AN269" s="77"/>
      <c r="AO269" s="77"/>
      <c r="AP269" s="77"/>
      <c r="AQ269" s="77"/>
    </row>
    <row r="270" spans="39:43" s="60" customFormat="1" x14ac:dyDescent="0.25">
      <c r="AM270" s="77"/>
      <c r="AN270" s="77"/>
      <c r="AO270" s="77"/>
      <c r="AP270" s="77"/>
      <c r="AQ270" s="77"/>
    </row>
    <row r="271" spans="39:43" s="60" customFormat="1" x14ac:dyDescent="0.25">
      <c r="AM271" s="77"/>
      <c r="AN271" s="77"/>
      <c r="AO271" s="77"/>
      <c r="AP271" s="77"/>
      <c r="AQ271" s="77"/>
    </row>
    <row r="272" spans="39:43" s="60" customFormat="1" x14ac:dyDescent="0.25">
      <c r="AM272" s="77"/>
      <c r="AN272" s="77"/>
      <c r="AO272" s="77"/>
      <c r="AP272" s="77"/>
      <c r="AQ272" s="77"/>
    </row>
    <row r="273" spans="39:43" s="60" customFormat="1" x14ac:dyDescent="0.25">
      <c r="AM273" s="77"/>
      <c r="AN273" s="77"/>
      <c r="AO273" s="77"/>
      <c r="AP273" s="77"/>
      <c r="AQ273" s="77"/>
    </row>
    <row r="274" spans="39:43" s="60" customFormat="1" x14ac:dyDescent="0.25">
      <c r="AM274" s="77"/>
      <c r="AN274" s="77"/>
      <c r="AO274" s="77"/>
      <c r="AP274" s="77"/>
      <c r="AQ274" s="77"/>
    </row>
    <row r="275" spans="39:43" s="60" customFormat="1" x14ac:dyDescent="0.25">
      <c r="AM275" s="77"/>
      <c r="AN275" s="77"/>
      <c r="AO275" s="77"/>
      <c r="AP275" s="77"/>
      <c r="AQ275" s="77"/>
    </row>
    <row r="276" spans="39:43" s="60" customFormat="1" x14ac:dyDescent="0.25">
      <c r="AM276" s="77"/>
      <c r="AN276" s="77"/>
      <c r="AO276" s="77"/>
      <c r="AP276" s="77"/>
      <c r="AQ276" s="77"/>
    </row>
    <row r="277" spans="39:43" s="60" customFormat="1" x14ac:dyDescent="0.25">
      <c r="AM277" s="77"/>
      <c r="AN277" s="77"/>
      <c r="AO277" s="77"/>
      <c r="AP277" s="77"/>
      <c r="AQ277" s="77"/>
    </row>
    <row r="278" spans="39:43" s="60" customFormat="1" x14ac:dyDescent="0.25">
      <c r="AM278" s="77"/>
      <c r="AN278" s="77"/>
      <c r="AO278" s="77"/>
      <c r="AP278" s="77"/>
      <c r="AQ278" s="77"/>
    </row>
    <row r="279" spans="39:43" s="60" customFormat="1" x14ac:dyDescent="0.25">
      <c r="AM279" s="77"/>
      <c r="AN279" s="77"/>
      <c r="AO279" s="77"/>
      <c r="AP279" s="77"/>
      <c r="AQ279" s="77"/>
    </row>
    <row r="280" spans="39:43" s="60" customFormat="1" x14ac:dyDescent="0.25">
      <c r="AM280" s="77"/>
      <c r="AN280" s="77"/>
      <c r="AO280" s="77"/>
      <c r="AP280" s="77"/>
      <c r="AQ280" s="77"/>
    </row>
    <row r="281" spans="39:43" s="60" customFormat="1" x14ac:dyDescent="0.25">
      <c r="AM281" s="77"/>
      <c r="AN281" s="77"/>
      <c r="AO281" s="77"/>
      <c r="AP281" s="77"/>
      <c r="AQ281" s="77"/>
    </row>
    <row r="282" spans="39:43" s="60" customFormat="1" x14ac:dyDescent="0.25">
      <c r="AM282" s="77"/>
      <c r="AN282" s="77"/>
      <c r="AO282" s="77"/>
      <c r="AP282" s="77"/>
      <c r="AQ282" s="77"/>
    </row>
    <row r="283" spans="39:43" s="60" customFormat="1" x14ac:dyDescent="0.25">
      <c r="AM283" s="77"/>
      <c r="AN283" s="77"/>
      <c r="AO283" s="77"/>
      <c r="AP283" s="77"/>
      <c r="AQ283" s="77"/>
    </row>
    <row r="284" spans="39:43" s="60" customFormat="1" x14ac:dyDescent="0.25">
      <c r="AM284" s="77"/>
      <c r="AN284" s="77"/>
      <c r="AO284" s="77"/>
      <c r="AP284" s="77"/>
      <c r="AQ284" s="77"/>
    </row>
    <row r="285" spans="39:43" s="60" customFormat="1" x14ac:dyDescent="0.25">
      <c r="AM285" s="77"/>
      <c r="AN285" s="77"/>
      <c r="AO285" s="77"/>
      <c r="AP285" s="77"/>
      <c r="AQ285" s="77"/>
    </row>
    <row r="286" spans="39:43" s="60" customFormat="1" x14ac:dyDescent="0.25">
      <c r="AM286" s="77"/>
      <c r="AN286" s="77"/>
      <c r="AO286" s="77"/>
      <c r="AP286" s="77"/>
      <c r="AQ286" s="77"/>
    </row>
    <row r="287" spans="39:43" s="60" customFormat="1" x14ac:dyDescent="0.25">
      <c r="AM287" s="77"/>
      <c r="AN287" s="77"/>
      <c r="AO287" s="77"/>
      <c r="AP287" s="77"/>
      <c r="AQ287" s="77"/>
    </row>
    <row r="288" spans="39:43" s="60" customFormat="1" x14ac:dyDescent="0.25">
      <c r="AM288" s="77"/>
      <c r="AN288" s="77"/>
      <c r="AO288" s="77"/>
      <c r="AP288" s="77"/>
      <c r="AQ288" s="77"/>
    </row>
    <row r="289" spans="39:43" s="60" customFormat="1" x14ac:dyDescent="0.25">
      <c r="AM289" s="77"/>
      <c r="AN289" s="77"/>
      <c r="AO289" s="77"/>
      <c r="AP289" s="77"/>
      <c r="AQ289" s="77"/>
    </row>
    <row r="290" spans="39:43" s="60" customFormat="1" x14ac:dyDescent="0.25">
      <c r="AM290" s="77"/>
      <c r="AN290" s="77"/>
      <c r="AO290" s="77"/>
      <c r="AP290" s="77"/>
      <c r="AQ290" s="77"/>
    </row>
    <row r="291" spans="39:43" s="60" customFormat="1" x14ac:dyDescent="0.25">
      <c r="AM291" s="77"/>
      <c r="AN291" s="77"/>
      <c r="AO291" s="77"/>
      <c r="AP291" s="77"/>
      <c r="AQ291" s="77"/>
    </row>
    <row r="292" spans="39:43" s="60" customFormat="1" x14ac:dyDescent="0.25">
      <c r="AM292" s="77"/>
      <c r="AN292" s="77"/>
      <c r="AO292" s="77"/>
      <c r="AP292" s="77"/>
      <c r="AQ292" s="77"/>
    </row>
    <row r="293" spans="39:43" s="60" customFormat="1" x14ac:dyDescent="0.25">
      <c r="AM293" s="77"/>
      <c r="AN293" s="77"/>
      <c r="AO293" s="77"/>
      <c r="AP293" s="77"/>
      <c r="AQ293" s="77"/>
    </row>
    <row r="294" spans="39:43" s="60" customFormat="1" x14ac:dyDescent="0.25">
      <c r="AM294" s="77"/>
      <c r="AN294" s="77"/>
      <c r="AO294" s="77"/>
      <c r="AP294" s="77"/>
      <c r="AQ294" s="77"/>
    </row>
    <row r="295" spans="39:43" s="60" customFormat="1" x14ac:dyDescent="0.25">
      <c r="AM295" s="77"/>
      <c r="AN295" s="77"/>
      <c r="AO295" s="77"/>
      <c r="AP295" s="77"/>
      <c r="AQ295" s="77"/>
    </row>
    <row r="296" spans="39:43" s="60" customFormat="1" x14ac:dyDescent="0.25">
      <c r="AM296" s="77"/>
      <c r="AN296" s="77"/>
      <c r="AO296" s="77"/>
      <c r="AP296" s="77"/>
      <c r="AQ296" s="77"/>
    </row>
    <row r="297" spans="39:43" s="60" customFormat="1" x14ac:dyDescent="0.25">
      <c r="AM297" s="77"/>
      <c r="AN297" s="77"/>
      <c r="AO297" s="77"/>
      <c r="AP297" s="77"/>
      <c r="AQ297" s="77"/>
    </row>
    <row r="298" spans="39:43" s="60" customFormat="1" x14ac:dyDescent="0.25">
      <c r="AM298" s="77"/>
      <c r="AN298" s="77"/>
      <c r="AO298" s="77"/>
      <c r="AP298" s="77"/>
      <c r="AQ298" s="77"/>
    </row>
    <row r="299" spans="39:43" s="60" customFormat="1" x14ac:dyDescent="0.25">
      <c r="AM299" s="77"/>
      <c r="AN299" s="77"/>
      <c r="AO299" s="77"/>
      <c r="AP299" s="77"/>
      <c r="AQ299" s="77"/>
    </row>
    <row r="300" spans="39:43" s="60" customFormat="1" x14ac:dyDescent="0.25">
      <c r="AM300" s="77"/>
      <c r="AN300" s="77"/>
      <c r="AO300" s="77"/>
      <c r="AP300" s="77"/>
      <c r="AQ300" s="77"/>
    </row>
    <row r="301" spans="39:43" s="60" customFormat="1" x14ac:dyDescent="0.25">
      <c r="AM301" s="77"/>
      <c r="AN301" s="77"/>
      <c r="AO301" s="77"/>
      <c r="AP301" s="77"/>
      <c r="AQ301" s="77"/>
    </row>
    <row r="302" spans="39:43" s="60" customFormat="1" x14ac:dyDescent="0.25">
      <c r="AM302" s="77"/>
      <c r="AN302" s="77"/>
      <c r="AO302" s="77"/>
      <c r="AP302" s="77"/>
      <c r="AQ302" s="77"/>
    </row>
    <row r="303" spans="39:43" s="60" customFormat="1" x14ac:dyDescent="0.25">
      <c r="AM303" s="77"/>
      <c r="AN303" s="77"/>
      <c r="AO303" s="77"/>
      <c r="AP303" s="77"/>
      <c r="AQ303" s="77"/>
    </row>
    <row r="304" spans="39:43" s="60" customFormat="1" x14ac:dyDescent="0.25">
      <c r="AM304" s="77"/>
      <c r="AN304" s="77"/>
      <c r="AO304" s="77"/>
      <c r="AP304" s="77"/>
      <c r="AQ304" s="77"/>
    </row>
    <row r="305" spans="39:43" s="60" customFormat="1" x14ac:dyDescent="0.25">
      <c r="AM305" s="77"/>
      <c r="AN305" s="77"/>
      <c r="AO305" s="77"/>
      <c r="AP305" s="77"/>
      <c r="AQ305" s="77"/>
    </row>
    <row r="306" spans="39:43" s="60" customFormat="1" x14ac:dyDescent="0.25">
      <c r="AM306" s="77"/>
      <c r="AN306" s="77"/>
      <c r="AO306" s="77"/>
      <c r="AP306" s="77"/>
      <c r="AQ306" s="77"/>
    </row>
    <row r="307" spans="39:43" s="60" customFormat="1" x14ac:dyDescent="0.25">
      <c r="AM307" s="77"/>
      <c r="AN307" s="77"/>
      <c r="AO307" s="77"/>
      <c r="AP307" s="77"/>
      <c r="AQ307" s="77"/>
    </row>
    <row r="308" spans="39:43" s="60" customFormat="1" x14ac:dyDescent="0.25">
      <c r="AM308" s="77"/>
      <c r="AN308" s="77"/>
      <c r="AO308" s="77"/>
      <c r="AP308" s="77"/>
      <c r="AQ308" s="77"/>
    </row>
    <row r="309" spans="39:43" s="60" customFormat="1" x14ac:dyDescent="0.25">
      <c r="AM309" s="77"/>
      <c r="AN309" s="77"/>
      <c r="AO309" s="77"/>
      <c r="AP309" s="77"/>
      <c r="AQ309" s="77"/>
    </row>
    <row r="310" spans="39:43" s="60" customFormat="1" x14ac:dyDescent="0.25">
      <c r="AM310" s="77"/>
      <c r="AN310" s="77"/>
      <c r="AO310" s="77"/>
      <c r="AP310" s="77"/>
      <c r="AQ310" s="77"/>
    </row>
    <row r="311" spans="39:43" s="60" customFormat="1" x14ac:dyDescent="0.25">
      <c r="AM311" s="77"/>
      <c r="AN311" s="77"/>
      <c r="AO311" s="77"/>
      <c r="AP311" s="77"/>
      <c r="AQ311" s="77"/>
    </row>
    <row r="312" spans="39:43" s="60" customFormat="1" x14ac:dyDescent="0.25">
      <c r="AM312" s="77"/>
      <c r="AN312" s="77"/>
      <c r="AO312" s="77"/>
      <c r="AP312" s="77"/>
      <c r="AQ312" s="77"/>
    </row>
    <row r="313" spans="39:43" s="60" customFormat="1" x14ac:dyDescent="0.25">
      <c r="AM313" s="77"/>
      <c r="AN313" s="77"/>
      <c r="AO313" s="77"/>
      <c r="AP313" s="77"/>
      <c r="AQ313" s="77"/>
    </row>
    <row r="314" spans="39:43" s="60" customFormat="1" x14ac:dyDescent="0.25">
      <c r="AM314" s="77"/>
      <c r="AN314" s="77"/>
      <c r="AO314" s="77"/>
      <c r="AP314" s="77"/>
      <c r="AQ314" s="77"/>
    </row>
    <row r="315" spans="39:43" s="60" customFormat="1" x14ac:dyDescent="0.25">
      <c r="AM315" s="77"/>
      <c r="AN315" s="77"/>
      <c r="AO315" s="77"/>
      <c r="AP315" s="77"/>
      <c r="AQ315" s="77"/>
    </row>
    <row r="316" spans="39:43" s="60" customFormat="1" x14ac:dyDescent="0.25">
      <c r="AM316" s="77"/>
      <c r="AN316" s="77"/>
      <c r="AO316" s="77"/>
      <c r="AP316" s="77"/>
      <c r="AQ316" s="77"/>
    </row>
    <row r="317" spans="39:43" s="60" customFormat="1" x14ac:dyDescent="0.25">
      <c r="AM317" s="77"/>
      <c r="AN317" s="77"/>
      <c r="AO317" s="77"/>
      <c r="AP317" s="77"/>
      <c r="AQ317" s="77"/>
    </row>
    <row r="318" spans="39:43" s="60" customFormat="1" x14ac:dyDescent="0.25">
      <c r="AM318" s="77"/>
      <c r="AN318" s="77"/>
      <c r="AO318" s="77"/>
      <c r="AP318" s="77"/>
      <c r="AQ318" s="77"/>
    </row>
    <row r="319" spans="39:43" s="60" customFormat="1" x14ac:dyDescent="0.25">
      <c r="AM319" s="77"/>
      <c r="AN319" s="77"/>
      <c r="AO319" s="77"/>
      <c r="AP319" s="77"/>
      <c r="AQ319" s="77"/>
    </row>
    <row r="320" spans="39:43" s="60" customFormat="1" x14ac:dyDescent="0.25">
      <c r="AM320" s="77"/>
      <c r="AN320" s="77"/>
      <c r="AO320" s="77"/>
      <c r="AP320" s="77"/>
      <c r="AQ320" s="77"/>
    </row>
    <row r="321" spans="39:43" s="60" customFormat="1" x14ac:dyDescent="0.25">
      <c r="AM321" s="77"/>
      <c r="AN321" s="77"/>
      <c r="AO321" s="77"/>
      <c r="AP321" s="77"/>
      <c r="AQ321" s="77"/>
    </row>
    <row r="322" spans="39:43" s="60" customFormat="1" x14ac:dyDescent="0.25">
      <c r="AM322" s="77"/>
      <c r="AN322" s="77"/>
      <c r="AO322" s="77"/>
      <c r="AP322" s="77"/>
      <c r="AQ322" s="77"/>
    </row>
    <row r="323" spans="39:43" s="60" customFormat="1" x14ac:dyDescent="0.25">
      <c r="AM323" s="77"/>
      <c r="AN323" s="77"/>
      <c r="AO323" s="77"/>
      <c r="AP323" s="77"/>
      <c r="AQ323" s="77"/>
    </row>
    <row r="324" spans="39:43" s="60" customFormat="1" x14ac:dyDescent="0.25">
      <c r="AM324" s="77"/>
      <c r="AN324" s="77"/>
      <c r="AO324" s="77"/>
      <c r="AP324" s="77"/>
      <c r="AQ324" s="77"/>
    </row>
    <row r="325" spans="39:43" s="60" customFormat="1" x14ac:dyDescent="0.25">
      <c r="AM325" s="77"/>
      <c r="AN325" s="77"/>
      <c r="AO325" s="77"/>
      <c r="AP325" s="77"/>
      <c r="AQ325" s="77"/>
    </row>
    <row r="326" spans="39:43" s="60" customFormat="1" x14ac:dyDescent="0.25">
      <c r="AM326" s="77"/>
      <c r="AN326" s="77"/>
      <c r="AO326" s="77"/>
      <c r="AP326" s="77"/>
      <c r="AQ326" s="77"/>
    </row>
    <row r="327" spans="39:43" s="60" customFormat="1" x14ac:dyDescent="0.25">
      <c r="AM327" s="77"/>
      <c r="AN327" s="77"/>
      <c r="AO327" s="77"/>
      <c r="AP327" s="77"/>
      <c r="AQ327" s="77"/>
    </row>
    <row r="328" spans="39:43" s="60" customFormat="1" x14ac:dyDescent="0.25">
      <c r="AM328" s="77"/>
      <c r="AN328" s="77"/>
      <c r="AO328" s="77"/>
      <c r="AP328" s="77"/>
      <c r="AQ328" s="77"/>
    </row>
    <row r="329" spans="39:43" s="60" customFormat="1" x14ac:dyDescent="0.25">
      <c r="AM329" s="77"/>
      <c r="AN329" s="77"/>
      <c r="AO329" s="77"/>
      <c r="AP329" s="77"/>
      <c r="AQ329" s="77"/>
    </row>
    <row r="330" spans="39:43" s="60" customFormat="1" x14ac:dyDescent="0.25">
      <c r="AM330" s="77"/>
      <c r="AN330" s="77"/>
      <c r="AO330" s="77"/>
      <c r="AP330" s="77"/>
      <c r="AQ330" s="77"/>
    </row>
    <row r="331" spans="39:43" s="60" customFormat="1" x14ac:dyDescent="0.25">
      <c r="AM331" s="77"/>
      <c r="AN331" s="77"/>
      <c r="AO331" s="77"/>
      <c r="AP331" s="77"/>
      <c r="AQ331" s="77"/>
    </row>
    <row r="332" spans="39:43" s="60" customFormat="1" x14ac:dyDescent="0.25">
      <c r="AM332" s="77"/>
      <c r="AN332" s="77"/>
      <c r="AO332" s="77"/>
      <c r="AP332" s="77"/>
      <c r="AQ332" s="77"/>
    </row>
    <row r="333" spans="39:43" s="60" customFormat="1" x14ac:dyDescent="0.25">
      <c r="AM333" s="77"/>
      <c r="AN333" s="77"/>
      <c r="AO333" s="77"/>
      <c r="AP333" s="77"/>
      <c r="AQ333" s="77"/>
    </row>
    <row r="334" spans="39:43" s="60" customFormat="1" x14ac:dyDescent="0.25">
      <c r="AM334" s="77"/>
      <c r="AN334" s="77"/>
      <c r="AO334" s="77"/>
      <c r="AP334" s="77"/>
      <c r="AQ334" s="77"/>
    </row>
    <row r="335" spans="39:43" s="60" customFormat="1" x14ac:dyDescent="0.25">
      <c r="AM335" s="77"/>
      <c r="AN335" s="77"/>
      <c r="AO335" s="77"/>
      <c r="AP335" s="77"/>
      <c r="AQ335" s="77"/>
    </row>
    <row r="336" spans="39:43" s="60" customFormat="1" x14ac:dyDescent="0.25">
      <c r="AM336" s="77"/>
      <c r="AN336" s="77"/>
      <c r="AO336" s="77"/>
      <c r="AP336" s="77"/>
      <c r="AQ336" s="77"/>
    </row>
    <row r="337" spans="39:43" s="60" customFormat="1" x14ac:dyDescent="0.25">
      <c r="AM337" s="77"/>
      <c r="AN337" s="77"/>
      <c r="AO337" s="77"/>
      <c r="AP337" s="77"/>
      <c r="AQ337" s="77"/>
    </row>
    <row r="338" spans="39:43" s="60" customFormat="1" x14ac:dyDescent="0.25">
      <c r="AM338" s="77"/>
      <c r="AN338" s="77"/>
      <c r="AO338" s="77"/>
      <c r="AP338" s="77"/>
      <c r="AQ338" s="77"/>
    </row>
    <row r="339" spans="39:43" s="60" customFormat="1" x14ac:dyDescent="0.25">
      <c r="AM339" s="77"/>
      <c r="AN339" s="77"/>
      <c r="AO339" s="77"/>
      <c r="AP339" s="77"/>
      <c r="AQ339" s="77"/>
    </row>
    <row r="340" spans="39:43" s="60" customFormat="1" x14ac:dyDescent="0.25">
      <c r="AM340" s="77"/>
      <c r="AN340" s="77"/>
      <c r="AO340" s="77"/>
      <c r="AP340" s="77"/>
      <c r="AQ340" s="77"/>
    </row>
    <row r="341" spans="39:43" s="60" customFormat="1" x14ac:dyDescent="0.25">
      <c r="AM341" s="77"/>
      <c r="AN341" s="77"/>
      <c r="AO341" s="77"/>
      <c r="AP341" s="77"/>
      <c r="AQ341" s="77"/>
    </row>
    <row r="342" spans="39:43" s="60" customFormat="1" x14ac:dyDescent="0.25">
      <c r="AM342" s="77"/>
      <c r="AN342" s="77"/>
      <c r="AO342" s="77"/>
      <c r="AP342" s="77"/>
      <c r="AQ342" s="77"/>
    </row>
    <row r="343" spans="39:43" s="60" customFormat="1" x14ac:dyDescent="0.25">
      <c r="AM343" s="77"/>
      <c r="AN343" s="77"/>
      <c r="AO343" s="77"/>
      <c r="AP343" s="77"/>
      <c r="AQ343" s="77"/>
    </row>
    <row r="344" spans="39:43" s="60" customFormat="1" x14ac:dyDescent="0.25">
      <c r="AM344" s="77"/>
      <c r="AN344" s="77"/>
      <c r="AO344" s="77"/>
      <c r="AP344" s="77"/>
      <c r="AQ344" s="77"/>
    </row>
    <row r="345" spans="39:43" s="60" customFormat="1" x14ac:dyDescent="0.25">
      <c r="AM345" s="77"/>
      <c r="AN345" s="77"/>
      <c r="AO345" s="77"/>
      <c r="AP345" s="77"/>
      <c r="AQ345" s="77"/>
    </row>
    <row r="346" spans="39:43" s="60" customFormat="1" x14ac:dyDescent="0.25">
      <c r="AM346" s="77"/>
      <c r="AN346" s="77"/>
      <c r="AO346" s="77"/>
      <c r="AP346" s="77"/>
      <c r="AQ346" s="77"/>
    </row>
    <row r="347" spans="39:43" s="60" customFormat="1" x14ac:dyDescent="0.25">
      <c r="AM347" s="77"/>
      <c r="AN347" s="77"/>
      <c r="AO347" s="77"/>
      <c r="AP347" s="77"/>
      <c r="AQ347" s="77"/>
    </row>
    <row r="348" spans="39:43" s="60" customFormat="1" x14ac:dyDescent="0.25">
      <c r="AM348" s="77"/>
      <c r="AN348" s="77"/>
      <c r="AO348" s="77"/>
      <c r="AP348" s="77"/>
      <c r="AQ348" s="77"/>
    </row>
    <row r="349" spans="39:43" s="60" customFormat="1" x14ac:dyDescent="0.25">
      <c r="AM349" s="77"/>
      <c r="AN349" s="77"/>
      <c r="AO349" s="77"/>
      <c r="AP349" s="77"/>
      <c r="AQ349" s="77"/>
    </row>
    <row r="350" spans="39:43" s="60" customFormat="1" x14ac:dyDescent="0.25">
      <c r="AM350" s="77"/>
      <c r="AN350" s="77"/>
      <c r="AO350" s="77"/>
      <c r="AP350" s="77"/>
      <c r="AQ350" s="77"/>
    </row>
    <row r="351" spans="39:43" s="60" customFormat="1" x14ac:dyDescent="0.25">
      <c r="AM351" s="77"/>
      <c r="AN351" s="77"/>
      <c r="AO351" s="77"/>
      <c r="AP351" s="77"/>
      <c r="AQ351" s="77"/>
    </row>
    <row r="352" spans="39:43" s="60" customFormat="1" x14ac:dyDescent="0.25">
      <c r="AM352" s="77"/>
      <c r="AN352" s="77"/>
      <c r="AO352" s="77"/>
      <c r="AP352" s="77"/>
      <c r="AQ352" s="77"/>
    </row>
    <row r="353" spans="39:43" s="60" customFormat="1" x14ac:dyDescent="0.25">
      <c r="AM353" s="77"/>
      <c r="AN353" s="77"/>
      <c r="AO353" s="77"/>
      <c r="AP353" s="77"/>
      <c r="AQ353" s="77"/>
    </row>
    <row r="354" spans="39:43" s="60" customFormat="1" x14ac:dyDescent="0.25">
      <c r="AM354" s="77"/>
      <c r="AN354" s="77"/>
      <c r="AO354" s="77"/>
      <c r="AP354" s="77"/>
      <c r="AQ354" s="77"/>
    </row>
    <row r="355" spans="39:43" s="60" customFormat="1" x14ac:dyDescent="0.25">
      <c r="AM355" s="77"/>
      <c r="AN355" s="77"/>
      <c r="AO355" s="77"/>
      <c r="AP355" s="77"/>
      <c r="AQ355" s="77"/>
    </row>
    <row r="356" spans="39:43" s="60" customFormat="1" x14ac:dyDescent="0.25">
      <c r="AM356" s="77"/>
      <c r="AN356" s="77"/>
      <c r="AO356" s="77"/>
      <c r="AP356" s="77"/>
      <c r="AQ356" s="77"/>
    </row>
    <row r="357" spans="39:43" s="60" customFormat="1" x14ac:dyDescent="0.25">
      <c r="AM357" s="77"/>
      <c r="AN357" s="77"/>
      <c r="AO357" s="77"/>
      <c r="AP357" s="77"/>
      <c r="AQ357" s="77"/>
    </row>
    <row r="358" spans="39:43" s="60" customFormat="1" x14ac:dyDescent="0.25">
      <c r="AM358" s="77"/>
      <c r="AN358" s="77"/>
      <c r="AO358" s="77"/>
      <c r="AP358" s="77"/>
      <c r="AQ358" s="77"/>
    </row>
    <row r="359" spans="39:43" s="60" customFormat="1" x14ac:dyDescent="0.25">
      <c r="AM359" s="77"/>
      <c r="AN359" s="77"/>
      <c r="AO359" s="77"/>
      <c r="AP359" s="77"/>
      <c r="AQ359" s="77"/>
    </row>
    <row r="360" spans="39:43" s="60" customFormat="1" x14ac:dyDescent="0.25">
      <c r="AM360" s="77"/>
      <c r="AN360" s="77"/>
      <c r="AO360" s="77"/>
      <c r="AP360" s="77"/>
      <c r="AQ360" s="77"/>
    </row>
    <row r="361" spans="39:43" s="60" customFormat="1" x14ac:dyDescent="0.25">
      <c r="AM361" s="77"/>
      <c r="AN361" s="77"/>
      <c r="AO361" s="77"/>
      <c r="AP361" s="77"/>
      <c r="AQ361" s="77"/>
    </row>
    <row r="362" spans="39:43" s="60" customFormat="1" x14ac:dyDescent="0.25">
      <c r="AM362" s="77"/>
      <c r="AN362" s="77"/>
      <c r="AO362" s="77"/>
      <c r="AP362" s="77"/>
      <c r="AQ362" s="77"/>
    </row>
    <row r="363" spans="39:43" s="60" customFormat="1" x14ac:dyDescent="0.25">
      <c r="AM363" s="77"/>
      <c r="AN363" s="77"/>
      <c r="AO363" s="77"/>
      <c r="AP363" s="77"/>
      <c r="AQ363" s="77"/>
    </row>
    <row r="364" spans="39:43" s="60" customFormat="1" x14ac:dyDescent="0.25">
      <c r="AM364" s="77"/>
      <c r="AN364" s="77"/>
      <c r="AO364" s="77"/>
      <c r="AP364" s="77"/>
      <c r="AQ364" s="77"/>
    </row>
    <row r="365" spans="39:43" s="60" customFormat="1" x14ac:dyDescent="0.25">
      <c r="AM365" s="77"/>
      <c r="AN365" s="77"/>
      <c r="AO365" s="77"/>
      <c r="AP365" s="77"/>
      <c r="AQ365" s="77"/>
    </row>
    <row r="366" spans="39:43" s="60" customFormat="1" x14ac:dyDescent="0.25">
      <c r="AM366" s="77"/>
      <c r="AN366" s="77"/>
      <c r="AO366" s="77"/>
      <c r="AP366" s="77"/>
      <c r="AQ366" s="77"/>
    </row>
    <row r="367" spans="39:43" s="60" customFormat="1" x14ac:dyDescent="0.25">
      <c r="AM367" s="77"/>
      <c r="AN367" s="77"/>
      <c r="AO367" s="77"/>
      <c r="AP367" s="77"/>
      <c r="AQ367" s="77"/>
    </row>
    <row r="368" spans="39:43" s="60" customFormat="1" x14ac:dyDescent="0.25">
      <c r="AM368" s="77"/>
      <c r="AN368" s="77"/>
      <c r="AO368" s="77"/>
      <c r="AP368" s="77"/>
      <c r="AQ368" s="77"/>
    </row>
    <row r="369" spans="39:43" s="60" customFormat="1" x14ac:dyDescent="0.25">
      <c r="AM369" s="77"/>
      <c r="AN369" s="77"/>
      <c r="AO369" s="77"/>
      <c r="AP369" s="77"/>
      <c r="AQ369" s="77"/>
    </row>
    <row r="370" spans="39:43" s="60" customFormat="1" x14ac:dyDescent="0.25">
      <c r="AM370" s="77"/>
      <c r="AN370" s="77"/>
      <c r="AO370" s="77"/>
      <c r="AP370" s="77"/>
      <c r="AQ370" s="77"/>
    </row>
    <row r="371" spans="39:43" s="60" customFormat="1" x14ac:dyDescent="0.25">
      <c r="AM371" s="77"/>
      <c r="AN371" s="77"/>
      <c r="AO371" s="77"/>
      <c r="AP371" s="77"/>
      <c r="AQ371" s="77"/>
    </row>
    <row r="372" spans="39:43" s="60" customFormat="1" x14ac:dyDescent="0.25">
      <c r="AM372" s="77"/>
      <c r="AN372" s="77"/>
      <c r="AO372" s="77"/>
      <c r="AP372" s="77"/>
      <c r="AQ372" s="77"/>
    </row>
    <row r="373" spans="39:43" s="60" customFormat="1" x14ac:dyDescent="0.25">
      <c r="AM373" s="77"/>
      <c r="AN373" s="77"/>
      <c r="AO373" s="77"/>
      <c r="AP373" s="77"/>
      <c r="AQ373" s="77"/>
    </row>
    <row r="374" spans="39:43" s="60" customFormat="1" x14ac:dyDescent="0.25">
      <c r="AM374" s="77"/>
      <c r="AN374" s="77"/>
      <c r="AO374" s="77"/>
      <c r="AP374" s="77"/>
      <c r="AQ374" s="77"/>
    </row>
    <row r="375" spans="39:43" s="60" customFormat="1" x14ac:dyDescent="0.25">
      <c r="AM375" s="77"/>
      <c r="AN375" s="77"/>
      <c r="AO375" s="77"/>
      <c r="AP375" s="77"/>
      <c r="AQ375" s="77"/>
    </row>
    <row r="376" spans="39:43" s="60" customFormat="1" x14ac:dyDescent="0.25">
      <c r="AM376" s="77"/>
      <c r="AN376" s="77"/>
      <c r="AO376" s="77"/>
      <c r="AP376" s="77"/>
      <c r="AQ376" s="77"/>
    </row>
    <row r="377" spans="39:43" s="60" customFormat="1" x14ac:dyDescent="0.25">
      <c r="AM377" s="77"/>
      <c r="AN377" s="77"/>
      <c r="AO377" s="77"/>
      <c r="AP377" s="77"/>
      <c r="AQ377" s="77"/>
    </row>
    <row r="378" spans="39:43" s="60" customFormat="1" x14ac:dyDescent="0.25">
      <c r="AM378" s="77"/>
      <c r="AN378" s="77"/>
      <c r="AO378" s="77"/>
      <c r="AP378" s="77"/>
      <c r="AQ378" s="77"/>
    </row>
    <row r="379" spans="39:43" s="60" customFormat="1" x14ac:dyDescent="0.25">
      <c r="AM379" s="77"/>
      <c r="AN379" s="77"/>
      <c r="AO379" s="77"/>
      <c r="AP379" s="77"/>
      <c r="AQ379" s="77"/>
    </row>
    <row r="380" spans="39:43" s="60" customFormat="1" x14ac:dyDescent="0.25">
      <c r="AM380" s="77"/>
      <c r="AN380" s="77"/>
      <c r="AO380" s="77"/>
      <c r="AP380" s="77"/>
      <c r="AQ380" s="77"/>
    </row>
    <row r="381" spans="39:43" s="60" customFormat="1" x14ac:dyDescent="0.25">
      <c r="AM381" s="77"/>
      <c r="AN381" s="77"/>
      <c r="AO381" s="77"/>
      <c r="AP381" s="77"/>
      <c r="AQ381" s="77"/>
    </row>
    <row r="382" spans="39:43" s="60" customFormat="1" x14ac:dyDescent="0.25">
      <c r="AM382" s="77"/>
      <c r="AN382" s="77"/>
      <c r="AO382" s="77"/>
      <c r="AP382" s="77"/>
      <c r="AQ382" s="77"/>
    </row>
    <row r="383" spans="39:43" s="60" customFormat="1" x14ac:dyDescent="0.25">
      <c r="AM383" s="77"/>
      <c r="AN383" s="77"/>
      <c r="AO383" s="77"/>
      <c r="AP383" s="77"/>
      <c r="AQ383" s="77"/>
    </row>
    <row r="384" spans="39:43" s="60" customFormat="1" x14ac:dyDescent="0.25">
      <c r="AM384" s="77"/>
      <c r="AN384" s="77"/>
      <c r="AO384" s="77"/>
      <c r="AP384" s="77"/>
      <c r="AQ384" s="77"/>
    </row>
    <row r="385" spans="39:43" s="60" customFormat="1" x14ac:dyDescent="0.25">
      <c r="AM385" s="77"/>
      <c r="AN385" s="77"/>
      <c r="AO385" s="77"/>
      <c r="AP385" s="77"/>
      <c r="AQ385" s="77"/>
    </row>
    <row r="386" spans="39:43" s="60" customFormat="1" x14ac:dyDescent="0.25">
      <c r="AM386" s="77"/>
      <c r="AN386" s="77"/>
      <c r="AO386" s="77"/>
      <c r="AP386" s="77"/>
      <c r="AQ386" s="77"/>
    </row>
    <row r="387" spans="39:43" s="60" customFormat="1" x14ac:dyDescent="0.25">
      <c r="AM387" s="77"/>
      <c r="AN387" s="77"/>
      <c r="AO387" s="77"/>
      <c r="AP387" s="77"/>
      <c r="AQ387" s="77"/>
    </row>
    <row r="388" spans="39:43" s="60" customFormat="1" x14ac:dyDescent="0.25">
      <c r="AM388" s="77"/>
      <c r="AN388" s="77"/>
      <c r="AO388" s="77"/>
      <c r="AP388" s="77"/>
      <c r="AQ388" s="77"/>
    </row>
    <row r="389" spans="39:43" s="60" customFormat="1" x14ac:dyDescent="0.25">
      <c r="AM389" s="77"/>
      <c r="AN389" s="77"/>
      <c r="AO389" s="77"/>
      <c r="AP389" s="77"/>
      <c r="AQ389" s="77"/>
    </row>
    <row r="390" spans="39:43" s="60" customFormat="1" x14ac:dyDescent="0.25">
      <c r="AM390" s="77"/>
      <c r="AN390" s="77"/>
      <c r="AO390" s="77"/>
      <c r="AP390" s="77"/>
      <c r="AQ390" s="77"/>
    </row>
    <row r="391" spans="39:43" s="60" customFormat="1" x14ac:dyDescent="0.25">
      <c r="AM391" s="77"/>
      <c r="AN391" s="77"/>
      <c r="AO391" s="77"/>
      <c r="AP391" s="77"/>
      <c r="AQ391" s="77"/>
    </row>
    <row r="392" spans="39:43" s="60" customFormat="1" x14ac:dyDescent="0.25">
      <c r="AM392" s="77"/>
      <c r="AN392" s="77"/>
      <c r="AO392" s="77"/>
      <c r="AP392" s="77"/>
      <c r="AQ392" s="77"/>
    </row>
    <row r="393" spans="39:43" s="60" customFormat="1" x14ac:dyDescent="0.25">
      <c r="AM393" s="77"/>
      <c r="AN393" s="77"/>
      <c r="AO393" s="77"/>
      <c r="AP393" s="77"/>
      <c r="AQ393" s="77"/>
    </row>
    <row r="394" spans="39:43" s="60" customFormat="1" x14ac:dyDescent="0.25">
      <c r="AM394" s="77"/>
      <c r="AN394" s="77"/>
      <c r="AO394" s="77"/>
      <c r="AP394" s="77"/>
      <c r="AQ394" s="77"/>
    </row>
    <row r="395" spans="39:43" s="60" customFormat="1" x14ac:dyDescent="0.25">
      <c r="AM395" s="77"/>
      <c r="AN395" s="77"/>
      <c r="AO395" s="77"/>
      <c r="AP395" s="77"/>
      <c r="AQ395" s="77"/>
    </row>
    <row r="396" spans="39:43" s="60" customFormat="1" x14ac:dyDescent="0.25">
      <c r="AM396" s="77"/>
      <c r="AN396" s="77"/>
      <c r="AO396" s="77"/>
      <c r="AP396" s="77"/>
      <c r="AQ396" s="77"/>
    </row>
    <row r="397" spans="39:43" s="60" customFormat="1" x14ac:dyDescent="0.25">
      <c r="AM397" s="77"/>
      <c r="AN397" s="77"/>
      <c r="AO397" s="77"/>
      <c r="AP397" s="77"/>
      <c r="AQ397" s="77"/>
    </row>
    <row r="398" spans="39:43" s="60" customFormat="1" x14ac:dyDescent="0.25">
      <c r="AM398" s="77"/>
      <c r="AN398" s="77"/>
      <c r="AO398" s="77"/>
      <c r="AP398" s="77"/>
      <c r="AQ398" s="77"/>
    </row>
    <row r="399" spans="39:43" s="60" customFormat="1" x14ac:dyDescent="0.25">
      <c r="AM399" s="77"/>
      <c r="AN399" s="77"/>
      <c r="AO399" s="77"/>
      <c r="AP399" s="77"/>
      <c r="AQ399" s="77"/>
    </row>
    <row r="400" spans="39:43" s="60" customFormat="1" x14ac:dyDescent="0.25">
      <c r="AM400" s="77"/>
      <c r="AN400" s="77"/>
      <c r="AO400" s="77"/>
      <c r="AP400" s="77"/>
      <c r="AQ400" s="77"/>
    </row>
    <row r="401" spans="39:43" s="60" customFormat="1" x14ac:dyDescent="0.25">
      <c r="AM401" s="77"/>
      <c r="AN401" s="77"/>
      <c r="AO401" s="77"/>
      <c r="AP401" s="77"/>
      <c r="AQ401" s="77"/>
    </row>
    <row r="402" spans="39:43" s="60" customFormat="1" x14ac:dyDescent="0.25">
      <c r="AM402" s="77"/>
      <c r="AN402" s="77"/>
      <c r="AO402" s="77"/>
      <c r="AP402" s="77"/>
      <c r="AQ402" s="77"/>
    </row>
    <row r="403" spans="39:43" s="60" customFormat="1" x14ac:dyDescent="0.25">
      <c r="AM403" s="77"/>
      <c r="AN403" s="77"/>
      <c r="AO403" s="77"/>
      <c r="AP403" s="77"/>
      <c r="AQ403" s="77"/>
    </row>
    <row r="404" spans="39:43" s="60" customFormat="1" x14ac:dyDescent="0.25">
      <c r="AM404" s="77"/>
      <c r="AN404" s="77"/>
      <c r="AO404" s="77"/>
      <c r="AP404" s="77"/>
      <c r="AQ404" s="77"/>
    </row>
    <row r="405" spans="39:43" s="60" customFormat="1" x14ac:dyDescent="0.25">
      <c r="AM405" s="77"/>
      <c r="AN405" s="77"/>
      <c r="AO405" s="77"/>
      <c r="AP405" s="77"/>
      <c r="AQ405" s="77"/>
    </row>
    <row r="406" spans="39:43" s="60" customFormat="1" x14ac:dyDescent="0.25">
      <c r="AM406" s="77"/>
      <c r="AN406" s="77"/>
      <c r="AO406" s="77"/>
      <c r="AP406" s="77"/>
      <c r="AQ406" s="77"/>
    </row>
    <row r="407" spans="39:43" s="60" customFormat="1" x14ac:dyDescent="0.25">
      <c r="AM407" s="77"/>
      <c r="AN407" s="77"/>
      <c r="AO407" s="77"/>
      <c r="AP407" s="77"/>
      <c r="AQ407" s="77"/>
    </row>
    <row r="408" spans="39:43" s="60" customFormat="1" x14ac:dyDescent="0.25">
      <c r="AM408" s="77"/>
      <c r="AN408" s="77"/>
      <c r="AO408" s="77"/>
      <c r="AP408" s="77"/>
      <c r="AQ408" s="77"/>
    </row>
    <row r="409" spans="39:43" s="60" customFormat="1" x14ac:dyDescent="0.25">
      <c r="AM409" s="77"/>
      <c r="AN409" s="77"/>
      <c r="AO409" s="77"/>
      <c r="AP409" s="77"/>
      <c r="AQ409" s="77"/>
    </row>
    <row r="410" spans="39:43" s="60" customFormat="1" x14ac:dyDescent="0.25">
      <c r="AM410" s="77"/>
      <c r="AN410" s="77"/>
      <c r="AO410" s="77"/>
      <c r="AP410" s="77"/>
      <c r="AQ410" s="77"/>
    </row>
    <row r="411" spans="39:43" s="60" customFormat="1" x14ac:dyDescent="0.25">
      <c r="AM411" s="77"/>
      <c r="AN411" s="77"/>
      <c r="AO411" s="77"/>
      <c r="AP411" s="77"/>
      <c r="AQ411" s="77"/>
    </row>
    <row r="412" spans="39:43" s="60" customFormat="1" x14ac:dyDescent="0.25">
      <c r="AM412" s="77"/>
      <c r="AN412" s="77"/>
      <c r="AO412" s="77"/>
      <c r="AP412" s="77"/>
      <c r="AQ412" s="77"/>
    </row>
    <row r="413" spans="39:43" s="60" customFormat="1" x14ac:dyDescent="0.25">
      <c r="AM413" s="77"/>
      <c r="AN413" s="77"/>
      <c r="AO413" s="77"/>
      <c r="AP413" s="77"/>
      <c r="AQ413" s="77"/>
    </row>
    <row r="414" spans="39:43" s="60" customFormat="1" x14ac:dyDescent="0.25">
      <c r="AM414" s="77"/>
      <c r="AN414" s="77"/>
      <c r="AO414" s="77"/>
      <c r="AP414" s="77"/>
      <c r="AQ414" s="77"/>
    </row>
    <row r="415" spans="39:43" s="60" customFormat="1" x14ac:dyDescent="0.25">
      <c r="AM415" s="77"/>
      <c r="AN415" s="77"/>
      <c r="AO415" s="77"/>
      <c r="AP415" s="77"/>
      <c r="AQ415" s="77"/>
    </row>
    <row r="416" spans="39:43" s="60" customFormat="1" x14ac:dyDescent="0.25">
      <c r="AM416" s="77"/>
      <c r="AN416" s="77"/>
      <c r="AO416" s="77"/>
      <c r="AP416" s="77"/>
      <c r="AQ416" s="77"/>
    </row>
    <row r="417" spans="39:43" s="60" customFormat="1" x14ac:dyDescent="0.25">
      <c r="AM417" s="77"/>
      <c r="AN417" s="77"/>
      <c r="AO417" s="77"/>
      <c r="AP417" s="77"/>
      <c r="AQ417" s="77"/>
    </row>
    <row r="418" spans="39:43" s="60" customFormat="1" x14ac:dyDescent="0.25">
      <c r="AM418" s="77"/>
      <c r="AN418" s="77"/>
      <c r="AO418" s="77"/>
      <c r="AP418" s="77"/>
      <c r="AQ418" s="77"/>
    </row>
    <row r="419" spans="39:43" s="60" customFormat="1" x14ac:dyDescent="0.25">
      <c r="AM419" s="77"/>
      <c r="AN419" s="77"/>
      <c r="AO419" s="77"/>
      <c r="AP419" s="77"/>
      <c r="AQ419" s="77"/>
    </row>
    <row r="420" spans="39:43" s="60" customFormat="1" x14ac:dyDescent="0.25">
      <c r="AM420" s="77"/>
      <c r="AN420" s="77"/>
      <c r="AO420" s="77"/>
      <c r="AP420" s="77"/>
      <c r="AQ420" s="77"/>
    </row>
    <row r="421" spans="39:43" s="60" customFormat="1" x14ac:dyDescent="0.25">
      <c r="AM421" s="77"/>
      <c r="AN421" s="77"/>
      <c r="AO421" s="77"/>
      <c r="AP421" s="77"/>
      <c r="AQ421" s="77"/>
    </row>
    <row r="422" spans="39:43" s="60" customFormat="1" x14ac:dyDescent="0.25">
      <c r="AM422" s="77"/>
      <c r="AN422" s="77"/>
      <c r="AO422" s="77"/>
      <c r="AP422" s="77"/>
      <c r="AQ422" s="77"/>
    </row>
    <row r="423" spans="39:43" s="60" customFormat="1" x14ac:dyDescent="0.25">
      <c r="AM423" s="77"/>
      <c r="AN423" s="77"/>
      <c r="AO423" s="77"/>
      <c r="AP423" s="77"/>
      <c r="AQ423" s="77"/>
    </row>
    <row r="424" spans="39:43" s="60" customFormat="1" x14ac:dyDescent="0.25">
      <c r="AM424" s="77"/>
      <c r="AN424" s="77"/>
      <c r="AO424" s="77"/>
      <c r="AP424" s="77"/>
      <c r="AQ424" s="77"/>
    </row>
    <row r="425" spans="39:43" s="60" customFormat="1" x14ac:dyDescent="0.25">
      <c r="AM425" s="77"/>
      <c r="AN425" s="77"/>
      <c r="AO425" s="77"/>
      <c r="AP425" s="77"/>
      <c r="AQ425" s="77"/>
    </row>
    <row r="426" spans="39:43" s="60" customFormat="1" x14ac:dyDescent="0.25">
      <c r="AM426" s="77"/>
      <c r="AN426" s="77"/>
      <c r="AO426" s="77"/>
      <c r="AP426" s="77"/>
      <c r="AQ426" s="77"/>
    </row>
    <row r="427" spans="39:43" s="60" customFormat="1" x14ac:dyDescent="0.25">
      <c r="AM427" s="77"/>
      <c r="AN427" s="77"/>
      <c r="AO427" s="77"/>
      <c r="AP427" s="77"/>
      <c r="AQ427" s="77"/>
    </row>
    <row r="428" spans="39:43" s="60" customFormat="1" x14ac:dyDescent="0.25">
      <c r="AM428" s="77"/>
      <c r="AN428" s="77"/>
      <c r="AO428" s="77"/>
      <c r="AP428" s="77"/>
      <c r="AQ428" s="77"/>
    </row>
    <row r="429" spans="39:43" s="60" customFormat="1" x14ac:dyDescent="0.25">
      <c r="AM429" s="77"/>
      <c r="AN429" s="77"/>
      <c r="AO429" s="77"/>
      <c r="AP429" s="77"/>
      <c r="AQ429" s="77"/>
    </row>
    <row r="430" spans="39:43" s="60" customFormat="1" x14ac:dyDescent="0.25">
      <c r="AM430" s="77"/>
      <c r="AN430" s="77"/>
      <c r="AO430" s="77"/>
      <c r="AP430" s="77"/>
      <c r="AQ430" s="77"/>
    </row>
    <row r="431" spans="39:43" s="60" customFormat="1" x14ac:dyDescent="0.25">
      <c r="AM431" s="77"/>
      <c r="AN431" s="77"/>
      <c r="AO431" s="77"/>
      <c r="AP431" s="77"/>
      <c r="AQ431" s="77"/>
    </row>
    <row r="432" spans="39:43" s="60" customFormat="1" x14ac:dyDescent="0.25">
      <c r="AM432" s="77"/>
      <c r="AN432" s="77"/>
      <c r="AO432" s="77"/>
      <c r="AP432" s="77"/>
      <c r="AQ432" s="77"/>
    </row>
    <row r="433" spans="39:43" s="60" customFormat="1" x14ac:dyDescent="0.25">
      <c r="AM433" s="77"/>
      <c r="AN433" s="77"/>
      <c r="AO433" s="77"/>
      <c r="AP433" s="77"/>
      <c r="AQ433" s="77"/>
    </row>
    <row r="434" spans="39:43" s="60" customFormat="1" x14ac:dyDescent="0.25">
      <c r="AM434" s="77"/>
      <c r="AN434" s="77"/>
      <c r="AO434" s="77"/>
      <c r="AP434" s="77"/>
      <c r="AQ434" s="77"/>
    </row>
    <row r="435" spans="39:43" s="60" customFormat="1" x14ac:dyDescent="0.25">
      <c r="AM435" s="77"/>
      <c r="AN435" s="77"/>
      <c r="AO435" s="77"/>
      <c r="AP435" s="77"/>
      <c r="AQ435" s="77"/>
    </row>
    <row r="436" spans="39:43" s="60" customFormat="1" x14ac:dyDescent="0.25">
      <c r="AM436" s="77"/>
      <c r="AN436" s="77"/>
      <c r="AO436" s="77"/>
      <c r="AP436" s="77"/>
      <c r="AQ436" s="77"/>
    </row>
    <row r="437" spans="39:43" s="60" customFormat="1" x14ac:dyDescent="0.25">
      <c r="AM437" s="77"/>
      <c r="AN437" s="77"/>
      <c r="AO437" s="77"/>
      <c r="AP437" s="77"/>
      <c r="AQ437" s="77"/>
    </row>
    <row r="438" spans="39:43" s="60" customFormat="1" x14ac:dyDescent="0.25">
      <c r="AM438" s="77"/>
      <c r="AN438" s="77"/>
      <c r="AO438" s="77"/>
      <c r="AP438" s="77"/>
      <c r="AQ438" s="77"/>
    </row>
    <row r="439" spans="39:43" s="60" customFormat="1" x14ac:dyDescent="0.25">
      <c r="AM439" s="77"/>
      <c r="AN439" s="77"/>
      <c r="AO439" s="77"/>
      <c r="AP439" s="77"/>
      <c r="AQ439" s="77"/>
    </row>
    <row r="440" spans="39:43" s="60" customFormat="1" x14ac:dyDescent="0.25">
      <c r="AM440" s="77"/>
      <c r="AN440" s="77"/>
      <c r="AO440" s="77"/>
      <c r="AP440" s="77"/>
      <c r="AQ440" s="77"/>
    </row>
    <row r="441" spans="39:43" s="60" customFormat="1" x14ac:dyDescent="0.25">
      <c r="AM441" s="77"/>
      <c r="AN441" s="77"/>
      <c r="AO441" s="77"/>
      <c r="AP441" s="77"/>
      <c r="AQ441" s="77"/>
    </row>
    <row r="442" spans="39:43" s="60" customFormat="1" x14ac:dyDescent="0.25">
      <c r="AM442" s="77"/>
      <c r="AN442" s="77"/>
      <c r="AO442" s="77"/>
      <c r="AP442" s="77"/>
      <c r="AQ442" s="77"/>
    </row>
    <row r="443" spans="39:43" s="60" customFormat="1" x14ac:dyDescent="0.25">
      <c r="AM443" s="77"/>
      <c r="AN443" s="77"/>
      <c r="AO443" s="77"/>
      <c r="AP443" s="77"/>
      <c r="AQ443" s="77"/>
    </row>
    <row r="444" spans="39:43" s="60" customFormat="1" x14ac:dyDescent="0.25">
      <c r="AM444" s="77"/>
      <c r="AN444" s="77"/>
      <c r="AO444" s="77"/>
      <c r="AP444" s="77"/>
      <c r="AQ444" s="77"/>
    </row>
    <row r="445" spans="39:43" s="60" customFormat="1" x14ac:dyDescent="0.25">
      <c r="AM445" s="77"/>
      <c r="AN445" s="77"/>
      <c r="AO445" s="77"/>
      <c r="AP445" s="77"/>
      <c r="AQ445" s="77"/>
    </row>
    <row r="446" spans="39:43" s="60" customFormat="1" x14ac:dyDescent="0.25">
      <c r="AM446" s="77"/>
      <c r="AN446" s="77"/>
      <c r="AO446" s="77"/>
      <c r="AP446" s="77"/>
      <c r="AQ446" s="77"/>
    </row>
    <row r="447" spans="39:43" s="60" customFormat="1" x14ac:dyDescent="0.25">
      <c r="AM447" s="77"/>
      <c r="AN447" s="77"/>
      <c r="AO447" s="77"/>
      <c r="AP447" s="77"/>
      <c r="AQ447" s="77"/>
    </row>
    <row r="448" spans="39:43" s="60" customFormat="1" x14ac:dyDescent="0.25">
      <c r="AM448" s="77"/>
      <c r="AN448" s="77"/>
      <c r="AO448" s="77"/>
      <c r="AP448" s="77"/>
      <c r="AQ448" s="77"/>
    </row>
    <row r="449" spans="39:43" s="60" customFormat="1" x14ac:dyDescent="0.25">
      <c r="AM449" s="77"/>
      <c r="AN449" s="77"/>
      <c r="AO449" s="77"/>
      <c r="AP449" s="77"/>
      <c r="AQ449" s="77"/>
    </row>
    <row r="450" spans="39:43" s="60" customFormat="1" x14ac:dyDescent="0.25">
      <c r="AM450" s="77"/>
      <c r="AN450" s="77"/>
      <c r="AO450" s="77"/>
      <c r="AP450" s="77"/>
      <c r="AQ450" s="77"/>
    </row>
    <row r="451" spans="39:43" s="60" customFormat="1" x14ac:dyDescent="0.25">
      <c r="AM451" s="77"/>
      <c r="AN451" s="77"/>
      <c r="AO451" s="77"/>
      <c r="AP451" s="77"/>
      <c r="AQ451" s="77"/>
    </row>
    <row r="452" spans="39:43" s="60" customFormat="1" x14ac:dyDescent="0.25">
      <c r="AM452" s="77"/>
      <c r="AN452" s="77"/>
      <c r="AO452" s="77"/>
      <c r="AP452" s="77"/>
      <c r="AQ452" s="77"/>
    </row>
    <row r="453" spans="39:43" s="60" customFormat="1" x14ac:dyDescent="0.25">
      <c r="AM453" s="77"/>
      <c r="AN453" s="77"/>
      <c r="AO453" s="77"/>
      <c r="AP453" s="77"/>
      <c r="AQ453" s="77"/>
    </row>
    <row r="454" spans="39:43" s="60" customFormat="1" x14ac:dyDescent="0.25">
      <c r="AM454" s="77"/>
      <c r="AN454" s="77"/>
      <c r="AO454" s="77"/>
      <c r="AP454" s="77"/>
      <c r="AQ454" s="77"/>
    </row>
    <row r="455" spans="39:43" s="60" customFormat="1" x14ac:dyDescent="0.25">
      <c r="AM455" s="77"/>
      <c r="AN455" s="77"/>
      <c r="AO455" s="77"/>
      <c r="AP455" s="77"/>
      <c r="AQ455" s="77"/>
    </row>
    <row r="456" spans="39:43" s="60" customFormat="1" x14ac:dyDescent="0.25">
      <c r="AM456" s="77"/>
      <c r="AN456" s="77"/>
      <c r="AO456" s="77"/>
      <c r="AP456" s="77"/>
      <c r="AQ456" s="77"/>
    </row>
    <row r="457" spans="39:43" s="60" customFormat="1" x14ac:dyDescent="0.25">
      <c r="AM457" s="77"/>
      <c r="AN457" s="77"/>
      <c r="AO457" s="77"/>
      <c r="AP457" s="77"/>
      <c r="AQ457" s="77"/>
    </row>
    <row r="458" spans="39:43" s="60" customFormat="1" x14ac:dyDescent="0.25">
      <c r="AM458" s="77"/>
      <c r="AN458" s="77"/>
      <c r="AO458" s="77"/>
      <c r="AP458" s="77"/>
      <c r="AQ458" s="77"/>
    </row>
    <row r="459" spans="39:43" s="60" customFormat="1" x14ac:dyDescent="0.25">
      <c r="AM459" s="77"/>
      <c r="AN459" s="77"/>
      <c r="AO459" s="77"/>
      <c r="AP459" s="77"/>
      <c r="AQ459" s="77"/>
    </row>
    <row r="460" spans="39:43" s="60" customFormat="1" x14ac:dyDescent="0.25">
      <c r="AM460" s="77"/>
      <c r="AN460" s="77"/>
      <c r="AO460" s="77"/>
      <c r="AP460" s="77"/>
      <c r="AQ460" s="77"/>
    </row>
    <row r="461" spans="39:43" s="60" customFormat="1" x14ac:dyDescent="0.25">
      <c r="AM461" s="77"/>
      <c r="AN461" s="77"/>
      <c r="AO461" s="77"/>
      <c r="AP461" s="77"/>
      <c r="AQ461" s="77"/>
    </row>
    <row r="462" spans="39:43" s="60" customFormat="1" x14ac:dyDescent="0.25">
      <c r="AM462" s="77"/>
      <c r="AN462" s="77"/>
      <c r="AO462" s="77"/>
      <c r="AP462" s="77"/>
      <c r="AQ462" s="77"/>
    </row>
    <row r="463" spans="39:43" s="60" customFormat="1" x14ac:dyDescent="0.25">
      <c r="AM463" s="77"/>
      <c r="AN463" s="77"/>
      <c r="AO463" s="77"/>
      <c r="AP463" s="77"/>
      <c r="AQ463" s="77"/>
    </row>
    <row r="464" spans="39:43" s="60" customFormat="1" x14ac:dyDescent="0.25">
      <c r="AM464" s="77"/>
      <c r="AN464" s="77"/>
      <c r="AO464" s="77"/>
      <c r="AP464" s="77"/>
      <c r="AQ464" s="77"/>
    </row>
    <row r="465" spans="39:43" s="60" customFormat="1" x14ac:dyDescent="0.25">
      <c r="AM465" s="77"/>
      <c r="AN465" s="77"/>
      <c r="AO465" s="77"/>
      <c r="AP465" s="77"/>
      <c r="AQ465" s="77"/>
    </row>
    <row r="466" spans="39:43" s="60" customFormat="1" x14ac:dyDescent="0.25">
      <c r="AM466" s="77"/>
      <c r="AN466" s="77"/>
      <c r="AO466" s="77"/>
      <c r="AP466" s="77"/>
      <c r="AQ466" s="77"/>
    </row>
    <row r="467" spans="39:43" s="60" customFormat="1" x14ac:dyDescent="0.25">
      <c r="AM467" s="77"/>
      <c r="AN467" s="77"/>
      <c r="AO467" s="77"/>
      <c r="AP467" s="77"/>
      <c r="AQ467" s="77"/>
    </row>
    <row r="468" spans="39:43" s="60" customFormat="1" x14ac:dyDescent="0.25">
      <c r="AM468" s="77"/>
      <c r="AN468" s="77"/>
      <c r="AO468" s="77"/>
      <c r="AP468" s="77"/>
      <c r="AQ468" s="77"/>
    </row>
    <row r="469" spans="39:43" s="60" customFormat="1" x14ac:dyDescent="0.25">
      <c r="AM469" s="77"/>
      <c r="AN469" s="77"/>
      <c r="AO469" s="77"/>
      <c r="AP469" s="77"/>
      <c r="AQ469" s="77"/>
    </row>
    <row r="470" spans="39:43" s="60" customFormat="1" x14ac:dyDescent="0.25">
      <c r="AM470" s="77"/>
      <c r="AN470" s="77"/>
      <c r="AO470" s="77"/>
      <c r="AP470" s="77"/>
      <c r="AQ470" s="77"/>
    </row>
    <row r="471" spans="39:43" s="60" customFormat="1" x14ac:dyDescent="0.25">
      <c r="AM471" s="77"/>
      <c r="AN471" s="77"/>
      <c r="AO471" s="77"/>
      <c r="AP471" s="77"/>
      <c r="AQ471" s="77"/>
    </row>
    <row r="472" spans="39:43" s="60" customFormat="1" x14ac:dyDescent="0.25">
      <c r="AM472" s="77"/>
      <c r="AN472" s="77"/>
      <c r="AO472" s="77"/>
      <c r="AP472" s="77"/>
      <c r="AQ472" s="77"/>
    </row>
    <row r="473" spans="39:43" s="60" customFormat="1" x14ac:dyDescent="0.25">
      <c r="AM473" s="77"/>
      <c r="AN473" s="77"/>
      <c r="AO473" s="77"/>
      <c r="AP473" s="77"/>
      <c r="AQ473" s="77"/>
    </row>
    <row r="474" spans="39:43" s="60" customFormat="1" x14ac:dyDescent="0.25">
      <c r="AM474" s="77"/>
      <c r="AN474" s="77"/>
      <c r="AO474" s="77"/>
      <c r="AP474" s="77"/>
      <c r="AQ474" s="77"/>
    </row>
    <row r="475" spans="39:43" s="60" customFormat="1" x14ac:dyDescent="0.25">
      <c r="AM475" s="77"/>
      <c r="AN475" s="77"/>
      <c r="AO475" s="77"/>
      <c r="AP475" s="77"/>
      <c r="AQ475" s="77"/>
    </row>
    <row r="476" spans="39:43" s="60" customFormat="1" x14ac:dyDescent="0.25">
      <c r="AM476" s="77"/>
      <c r="AN476" s="77"/>
      <c r="AO476" s="77"/>
      <c r="AP476" s="77"/>
      <c r="AQ476" s="77"/>
    </row>
    <row r="477" spans="39:43" s="60" customFormat="1" x14ac:dyDescent="0.25">
      <c r="AM477" s="77"/>
      <c r="AN477" s="77"/>
      <c r="AO477" s="77"/>
      <c r="AP477" s="77"/>
      <c r="AQ477" s="77"/>
    </row>
    <row r="478" spans="39:43" s="60" customFormat="1" x14ac:dyDescent="0.25">
      <c r="AM478" s="77"/>
      <c r="AN478" s="77"/>
      <c r="AO478" s="77"/>
      <c r="AP478" s="77"/>
      <c r="AQ478" s="77"/>
    </row>
    <row r="479" spans="39:43" s="60" customFormat="1" x14ac:dyDescent="0.25">
      <c r="AM479" s="77"/>
      <c r="AN479" s="77"/>
      <c r="AO479" s="77"/>
      <c r="AP479" s="77"/>
      <c r="AQ479" s="77"/>
    </row>
    <row r="480" spans="39:43" s="60" customFormat="1" x14ac:dyDescent="0.25">
      <c r="AM480" s="77"/>
      <c r="AN480" s="77"/>
      <c r="AO480" s="77"/>
      <c r="AP480" s="77"/>
      <c r="AQ480" s="77"/>
    </row>
    <row r="481" spans="39:43" s="60" customFormat="1" x14ac:dyDescent="0.25">
      <c r="AM481" s="77"/>
      <c r="AN481" s="77"/>
      <c r="AO481" s="77"/>
      <c r="AP481" s="77"/>
      <c r="AQ481" s="77"/>
    </row>
    <row r="482" spans="39:43" s="60" customFormat="1" x14ac:dyDescent="0.25">
      <c r="AM482" s="77"/>
      <c r="AN482" s="77"/>
      <c r="AO482" s="77"/>
      <c r="AP482" s="77"/>
      <c r="AQ482" s="77"/>
    </row>
    <row r="483" spans="39:43" s="60" customFormat="1" x14ac:dyDescent="0.25">
      <c r="AM483" s="77"/>
      <c r="AN483" s="77"/>
      <c r="AO483" s="77"/>
      <c r="AP483" s="77"/>
      <c r="AQ483" s="77"/>
    </row>
    <row r="484" spans="39:43" s="60" customFormat="1" x14ac:dyDescent="0.25">
      <c r="AM484" s="77"/>
      <c r="AN484" s="77"/>
      <c r="AO484" s="77"/>
      <c r="AP484" s="77"/>
      <c r="AQ484" s="77"/>
    </row>
    <row r="485" spans="39:43" s="60" customFormat="1" x14ac:dyDescent="0.25">
      <c r="AM485" s="77"/>
      <c r="AN485" s="77"/>
      <c r="AO485" s="77"/>
      <c r="AP485" s="77"/>
      <c r="AQ485" s="77"/>
    </row>
    <row r="486" spans="39:43" s="60" customFormat="1" x14ac:dyDescent="0.25">
      <c r="AM486" s="77"/>
      <c r="AN486" s="77"/>
      <c r="AO486" s="77"/>
      <c r="AP486" s="77"/>
      <c r="AQ486" s="77"/>
    </row>
    <row r="487" spans="39:43" s="60" customFormat="1" x14ac:dyDescent="0.25">
      <c r="AM487" s="77"/>
      <c r="AN487" s="77"/>
      <c r="AO487" s="77"/>
      <c r="AP487" s="77"/>
      <c r="AQ487" s="77"/>
    </row>
    <row r="488" spans="39:43" s="60" customFormat="1" x14ac:dyDescent="0.25">
      <c r="AM488" s="77"/>
      <c r="AN488" s="77"/>
      <c r="AO488" s="77"/>
      <c r="AP488" s="77"/>
      <c r="AQ488" s="77"/>
    </row>
    <row r="489" spans="39:43" s="60" customFormat="1" x14ac:dyDescent="0.25">
      <c r="AM489" s="77"/>
      <c r="AN489" s="77"/>
      <c r="AO489" s="77"/>
      <c r="AP489" s="77"/>
      <c r="AQ489" s="77"/>
    </row>
    <row r="490" spans="39:43" s="60" customFormat="1" x14ac:dyDescent="0.25">
      <c r="AM490" s="77"/>
      <c r="AN490" s="77"/>
      <c r="AO490" s="77"/>
      <c r="AP490" s="77"/>
      <c r="AQ490" s="77"/>
    </row>
    <row r="491" spans="39:43" s="60" customFormat="1" x14ac:dyDescent="0.25">
      <c r="AM491" s="77"/>
      <c r="AN491" s="77"/>
      <c r="AO491" s="77"/>
      <c r="AP491" s="77"/>
      <c r="AQ491" s="77"/>
    </row>
    <row r="492" spans="39:43" s="60" customFormat="1" x14ac:dyDescent="0.25">
      <c r="AM492" s="77"/>
      <c r="AN492" s="77"/>
      <c r="AO492" s="77"/>
      <c r="AP492" s="77"/>
      <c r="AQ492" s="77"/>
    </row>
    <row r="493" spans="39:43" s="60" customFormat="1" x14ac:dyDescent="0.25">
      <c r="AM493" s="77"/>
      <c r="AN493" s="77"/>
      <c r="AO493" s="77"/>
      <c r="AP493" s="77"/>
      <c r="AQ493" s="77"/>
    </row>
    <row r="494" spans="39:43" s="60" customFormat="1" x14ac:dyDescent="0.25">
      <c r="AM494" s="77"/>
      <c r="AN494" s="77"/>
      <c r="AO494" s="77"/>
      <c r="AP494" s="77"/>
      <c r="AQ494" s="77"/>
    </row>
    <row r="495" spans="39:43" s="60" customFormat="1" x14ac:dyDescent="0.25">
      <c r="AM495" s="77"/>
      <c r="AN495" s="77"/>
      <c r="AO495" s="77"/>
      <c r="AP495" s="77"/>
      <c r="AQ495" s="77"/>
    </row>
    <row r="496" spans="39:43" s="60" customFormat="1" x14ac:dyDescent="0.25">
      <c r="AM496" s="77"/>
      <c r="AN496" s="77"/>
      <c r="AO496" s="77"/>
      <c r="AP496" s="77"/>
      <c r="AQ496" s="77"/>
    </row>
    <row r="497" spans="39:43" s="60" customFormat="1" x14ac:dyDescent="0.25">
      <c r="AM497" s="77"/>
      <c r="AN497" s="77"/>
      <c r="AO497" s="77"/>
      <c r="AP497" s="77"/>
      <c r="AQ497" s="77"/>
    </row>
    <row r="498" spans="39:43" s="60" customFormat="1" x14ac:dyDescent="0.25">
      <c r="AM498" s="77"/>
      <c r="AN498" s="77"/>
      <c r="AO498" s="77"/>
      <c r="AP498" s="77"/>
      <c r="AQ498" s="77"/>
    </row>
    <row r="499" spans="39:43" s="60" customFormat="1" x14ac:dyDescent="0.25">
      <c r="AM499" s="77"/>
      <c r="AN499" s="77"/>
      <c r="AO499" s="77"/>
      <c r="AP499" s="77"/>
      <c r="AQ499" s="77"/>
    </row>
    <row r="500" spans="39:43" s="60" customFormat="1" x14ac:dyDescent="0.25">
      <c r="AM500" s="77"/>
      <c r="AN500" s="77"/>
      <c r="AO500" s="77"/>
      <c r="AP500" s="77"/>
      <c r="AQ500" s="77"/>
    </row>
    <row r="501" spans="39:43" s="60" customFormat="1" x14ac:dyDescent="0.25">
      <c r="AM501" s="77"/>
      <c r="AN501" s="77"/>
      <c r="AO501" s="77"/>
      <c r="AP501" s="77"/>
      <c r="AQ501" s="77"/>
    </row>
    <row r="502" spans="39:43" s="60" customFormat="1" x14ac:dyDescent="0.25">
      <c r="AM502" s="77"/>
      <c r="AN502" s="77"/>
      <c r="AO502" s="77"/>
      <c r="AP502" s="77"/>
      <c r="AQ502" s="77"/>
    </row>
    <row r="503" spans="39:43" s="60" customFormat="1" x14ac:dyDescent="0.25">
      <c r="AM503" s="77"/>
      <c r="AN503" s="77"/>
      <c r="AO503" s="77"/>
      <c r="AP503" s="77"/>
      <c r="AQ503" s="77"/>
    </row>
    <row r="504" spans="39:43" s="60" customFormat="1" x14ac:dyDescent="0.25">
      <c r="AM504" s="77"/>
      <c r="AN504" s="77"/>
      <c r="AO504" s="77"/>
      <c r="AP504" s="77"/>
      <c r="AQ504" s="77"/>
    </row>
    <row r="505" spans="39:43" s="60" customFormat="1" x14ac:dyDescent="0.25">
      <c r="AM505" s="77"/>
      <c r="AN505" s="77"/>
      <c r="AO505" s="77"/>
      <c r="AP505" s="77"/>
      <c r="AQ505" s="77"/>
    </row>
    <row r="506" spans="39:43" s="60" customFormat="1" x14ac:dyDescent="0.25">
      <c r="AM506" s="77"/>
      <c r="AN506" s="77"/>
      <c r="AO506" s="77"/>
      <c r="AP506" s="77"/>
      <c r="AQ506" s="77"/>
    </row>
    <row r="507" spans="39:43" s="60" customFormat="1" x14ac:dyDescent="0.25">
      <c r="AM507" s="77"/>
      <c r="AN507" s="77"/>
      <c r="AO507" s="77"/>
      <c r="AP507" s="77"/>
      <c r="AQ507" s="77"/>
    </row>
    <row r="508" spans="39:43" s="60" customFormat="1" x14ac:dyDescent="0.25">
      <c r="AM508" s="77"/>
      <c r="AN508" s="77"/>
      <c r="AO508" s="77"/>
      <c r="AP508" s="77"/>
      <c r="AQ508" s="77"/>
    </row>
    <row r="509" spans="39:43" s="60" customFormat="1" x14ac:dyDescent="0.25">
      <c r="AM509" s="77"/>
      <c r="AN509" s="77"/>
      <c r="AO509" s="77"/>
      <c r="AP509" s="77"/>
      <c r="AQ509" s="77"/>
    </row>
    <row r="510" spans="39:43" s="60" customFormat="1" x14ac:dyDescent="0.25">
      <c r="AM510" s="77"/>
      <c r="AN510" s="77"/>
      <c r="AO510" s="77"/>
      <c r="AP510" s="77"/>
      <c r="AQ510" s="77"/>
    </row>
    <row r="511" spans="39:43" s="60" customFormat="1" x14ac:dyDescent="0.25">
      <c r="AM511" s="77"/>
      <c r="AN511" s="77"/>
      <c r="AO511" s="77"/>
      <c r="AP511" s="77"/>
      <c r="AQ511" s="77"/>
    </row>
    <row r="512" spans="39:43" s="60" customFormat="1" x14ac:dyDescent="0.25">
      <c r="AM512" s="77"/>
      <c r="AN512" s="77"/>
      <c r="AO512" s="77"/>
      <c r="AP512" s="77"/>
      <c r="AQ512" s="77"/>
    </row>
    <row r="513" spans="39:43" s="60" customFormat="1" x14ac:dyDescent="0.25">
      <c r="AM513" s="77"/>
      <c r="AN513" s="77"/>
      <c r="AO513" s="77"/>
      <c r="AP513" s="77"/>
      <c r="AQ513" s="77"/>
    </row>
    <row r="514" spans="39:43" s="60" customFormat="1" x14ac:dyDescent="0.25">
      <c r="AM514" s="77"/>
      <c r="AN514" s="77"/>
      <c r="AO514" s="77"/>
      <c r="AP514" s="77"/>
      <c r="AQ514" s="77"/>
    </row>
    <row r="515" spans="39:43" s="60" customFormat="1" x14ac:dyDescent="0.25">
      <c r="AM515" s="77"/>
      <c r="AN515" s="77"/>
      <c r="AO515" s="77"/>
      <c r="AP515" s="77"/>
      <c r="AQ515" s="77"/>
    </row>
    <row r="516" spans="39:43" s="60" customFormat="1" x14ac:dyDescent="0.25">
      <c r="AM516" s="77"/>
      <c r="AN516" s="77"/>
      <c r="AO516" s="77"/>
      <c r="AP516" s="77"/>
      <c r="AQ516" s="77"/>
    </row>
    <row r="517" spans="39:43" s="60" customFormat="1" x14ac:dyDescent="0.25">
      <c r="AM517" s="77"/>
      <c r="AN517" s="77"/>
      <c r="AO517" s="77"/>
      <c r="AP517" s="77"/>
      <c r="AQ517" s="77"/>
    </row>
    <row r="518" spans="39:43" s="60" customFormat="1" x14ac:dyDescent="0.25">
      <c r="AM518" s="77"/>
      <c r="AN518" s="77"/>
      <c r="AO518" s="77"/>
      <c r="AP518" s="77"/>
      <c r="AQ518" s="77"/>
    </row>
    <row r="519" spans="39:43" s="60" customFormat="1" x14ac:dyDescent="0.25">
      <c r="AM519" s="77"/>
      <c r="AN519" s="77"/>
      <c r="AO519" s="77"/>
      <c r="AP519" s="77"/>
      <c r="AQ519" s="77"/>
    </row>
    <row r="520" spans="39:43" s="60" customFormat="1" x14ac:dyDescent="0.25">
      <c r="AM520" s="77"/>
      <c r="AN520" s="77"/>
      <c r="AO520" s="77"/>
      <c r="AP520" s="77"/>
      <c r="AQ520" s="77"/>
    </row>
    <row r="521" spans="39:43" s="60" customFormat="1" x14ac:dyDescent="0.25">
      <c r="AM521" s="77"/>
      <c r="AN521" s="77"/>
      <c r="AO521" s="77"/>
      <c r="AP521" s="77"/>
      <c r="AQ521" s="77"/>
    </row>
    <row r="522" spans="39:43" s="60" customFormat="1" x14ac:dyDescent="0.25">
      <c r="AM522" s="77"/>
      <c r="AN522" s="77"/>
      <c r="AO522" s="77"/>
      <c r="AP522" s="77"/>
      <c r="AQ522" s="77"/>
    </row>
    <row r="523" spans="39:43" s="60" customFormat="1" x14ac:dyDescent="0.25">
      <c r="AM523" s="77"/>
      <c r="AN523" s="77"/>
      <c r="AO523" s="77"/>
      <c r="AP523" s="77"/>
      <c r="AQ523" s="77"/>
    </row>
    <row r="524" spans="39:43" s="60" customFormat="1" x14ac:dyDescent="0.25">
      <c r="AM524" s="77"/>
      <c r="AN524" s="77"/>
      <c r="AO524" s="77"/>
      <c r="AP524" s="77"/>
      <c r="AQ524" s="77"/>
    </row>
    <row r="525" spans="39:43" s="60" customFormat="1" x14ac:dyDescent="0.25">
      <c r="AM525" s="77"/>
      <c r="AN525" s="77"/>
      <c r="AO525" s="77"/>
      <c r="AP525" s="77"/>
      <c r="AQ525" s="77"/>
    </row>
    <row r="526" spans="39:43" s="60" customFormat="1" x14ac:dyDescent="0.25">
      <c r="AM526" s="77"/>
      <c r="AN526" s="77"/>
      <c r="AO526" s="77"/>
      <c r="AP526" s="77"/>
      <c r="AQ526" s="77"/>
    </row>
    <row r="527" spans="39:43" s="60" customFormat="1" x14ac:dyDescent="0.25">
      <c r="AM527" s="77"/>
      <c r="AN527" s="77"/>
      <c r="AO527" s="77"/>
      <c r="AP527" s="77"/>
      <c r="AQ527" s="77"/>
    </row>
    <row r="528" spans="39:43" s="60" customFormat="1" x14ac:dyDescent="0.25">
      <c r="AM528" s="77"/>
      <c r="AN528" s="77"/>
      <c r="AO528" s="77"/>
      <c r="AP528" s="77"/>
      <c r="AQ528" s="77"/>
    </row>
    <row r="529" spans="39:43" s="60" customFormat="1" x14ac:dyDescent="0.25">
      <c r="AM529" s="77"/>
      <c r="AN529" s="77"/>
      <c r="AO529" s="77"/>
      <c r="AP529" s="77"/>
      <c r="AQ529" s="77"/>
    </row>
    <row r="530" spans="39:43" s="60" customFormat="1" x14ac:dyDescent="0.25">
      <c r="AM530" s="77"/>
      <c r="AN530" s="77"/>
      <c r="AO530" s="77"/>
      <c r="AP530" s="77"/>
      <c r="AQ530" s="77"/>
    </row>
    <row r="531" spans="39:43" s="60" customFormat="1" x14ac:dyDescent="0.25">
      <c r="AM531" s="77"/>
      <c r="AN531" s="77"/>
      <c r="AO531" s="77"/>
      <c r="AP531" s="77"/>
      <c r="AQ531" s="77"/>
    </row>
    <row r="532" spans="39:43" s="60" customFormat="1" x14ac:dyDescent="0.25">
      <c r="AM532" s="77"/>
      <c r="AN532" s="77"/>
      <c r="AO532" s="77"/>
      <c r="AP532" s="77"/>
      <c r="AQ532" s="77"/>
    </row>
    <row r="533" spans="39:43" s="60" customFormat="1" x14ac:dyDescent="0.25">
      <c r="AM533" s="77"/>
      <c r="AN533" s="77"/>
      <c r="AO533" s="77"/>
      <c r="AP533" s="77"/>
      <c r="AQ533" s="77"/>
    </row>
    <row r="534" spans="39:43" s="60" customFormat="1" x14ac:dyDescent="0.25">
      <c r="AM534" s="77"/>
      <c r="AN534" s="77"/>
      <c r="AO534" s="77"/>
      <c r="AP534" s="77"/>
      <c r="AQ534" s="77"/>
    </row>
    <row r="535" spans="39:43" s="60" customFormat="1" x14ac:dyDescent="0.25">
      <c r="AM535" s="77"/>
      <c r="AN535" s="77"/>
      <c r="AO535" s="77"/>
      <c r="AP535" s="77"/>
      <c r="AQ535" s="77"/>
    </row>
    <row r="536" spans="39:43" s="60" customFormat="1" x14ac:dyDescent="0.25">
      <c r="AM536" s="77"/>
      <c r="AN536" s="77"/>
      <c r="AO536" s="77"/>
      <c r="AP536" s="77"/>
      <c r="AQ536" s="77"/>
    </row>
    <row r="537" spans="39:43" s="60" customFormat="1" x14ac:dyDescent="0.25">
      <c r="AM537" s="77"/>
      <c r="AN537" s="77"/>
      <c r="AO537" s="77"/>
      <c r="AP537" s="77"/>
      <c r="AQ537" s="77"/>
    </row>
    <row r="538" spans="39:43" s="60" customFormat="1" x14ac:dyDescent="0.25">
      <c r="AM538" s="77"/>
      <c r="AN538" s="77"/>
      <c r="AO538" s="77"/>
      <c r="AP538" s="77"/>
      <c r="AQ538" s="77"/>
    </row>
    <row r="539" spans="39:43" s="60" customFormat="1" x14ac:dyDescent="0.25">
      <c r="AM539" s="77"/>
      <c r="AN539" s="77"/>
      <c r="AO539" s="77"/>
      <c r="AP539" s="77"/>
      <c r="AQ539" s="77"/>
    </row>
    <row r="540" spans="39:43" s="60" customFormat="1" x14ac:dyDescent="0.25">
      <c r="AM540" s="77"/>
      <c r="AN540" s="77"/>
      <c r="AO540" s="77"/>
      <c r="AP540" s="77"/>
      <c r="AQ540" s="77"/>
    </row>
    <row r="541" spans="39:43" s="60" customFormat="1" x14ac:dyDescent="0.25">
      <c r="AM541" s="77"/>
      <c r="AN541" s="77"/>
      <c r="AO541" s="77"/>
      <c r="AP541" s="77"/>
      <c r="AQ541" s="77"/>
    </row>
    <row r="542" spans="39:43" s="60" customFormat="1" x14ac:dyDescent="0.25">
      <c r="AM542" s="77"/>
      <c r="AN542" s="77"/>
      <c r="AO542" s="77"/>
      <c r="AP542" s="77"/>
      <c r="AQ542" s="77"/>
    </row>
    <row r="543" spans="39:43" s="60" customFormat="1" x14ac:dyDescent="0.25">
      <c r="AM543" s="77"/>
      <c r="AN543" s="77"/>
      <c r="AO543" s="77"/>
      <c r="AP543" s="77"/>
      <c r="AQ543" s="77"/>
    </row>
    <row r="544" spans="39:43" s="60" customFormat="1" x14ac:dyDescent="0.25">
      <c r="AM544" s="77"/>
      <c r="AN544" s="77"/>
      <c r="AO544" s="77"/>
      <c r="AP544" s="77"/>
      <c r="AQ544" s="77"/>
    </row>
    <row r="545" spans="39:43" s="60" customFormat="1" x14ac:dyDescent="0.25">
      <c r="AM545" s="77"/>
      <c r="AN545" s="77"/>
      <c r="AO545" s="77"/>
      <c r="AP545" s="77"/>
      <c r="AQ545" s="77"/>
    </row>
    <row r="546" spans="39:43" s="60" customFormat="1" x14ac:dyDescent="0.25">
      <c r="AM546" s="77"/>
      <c r="AN546" s="77"/>
      <c r="AO546" s="77"/>
      <c r="AP546" s="77"/>
      <c r="AQ546" s="77"/>
    </row>
    <row r="547" spans="39:43" s="60" customFormat="1" x14ac:dyDescent="0.25">
      <c r="AM547" s="77"/>
      <c r="AN547" s="77"/>
      <c r="AO547" s="77"/>
      <c r="AP547" s="77"/>
      <c r="AQ547" s="77"/>
    </row>
    <row r="548" spans="39:43" s="60" customFormat="1" x14ac:dyDescent="0.25">
      <c r="AM548" s="77"/>
      <c r="AN548" s="77"/>
      <c r="AO548" s="77"/>
      <c r="AP548" s="77"/>
      <c r="AQ548" s="77"/>
    </row>
    <row r="549" spans="39:43" s="60" customFormat="1" x14ac:dyDescent="0.25">
      <c r="AM549" s="77"/>
      <c r="AN549" s="77"/>
      <c r="AO549" s="77"/>
      <c r="AP549" s="77"/>
      <c r="AQ549" s="77"/>
    </row>
    <row r="550" spans="39:43" s="60" customFormat="1" x14ac:dyDescent="0.25">
      <c r="AM550" s="77"/>
      <c r="AN550" s="77"/>
      <c r="AO550" s="77"/>
      <c r="AP550" s="77"/>
      <c r="AQ550" s="77"/>
    </row>
    <row r="551" spans="39:43" s="60" customFormat="1" x14ac:dyDescent="0.25">
      <c r="AM551" s="77"/>
      <c r="AN551" s="77"/>
      <c r="AO551" s="77"/>
      <c r="AP551" s="77"/>
      <c r="AQ551" s="77"/>
    </row>
    <row r="552" spans="39:43" s="60" customFormat="1" x14ac:dyDescent="0.25">
      <c r="AM552" s="77"/>
      <c r="AN552" s="77"/>
      <c r="AO552" s="77"/>
      <c r="AP552" s="77"/>
      <c r="AQ552" s="77"/>
    </row>
    <row r="553" spans="39:43" s="60" customFormat="1" x14ac:dyDescent="0.25">
      <c r="AM553" s="77"/>
      <c r="AN553" s="77"/>
      <c r="AO553" s="77"/>
      <c r="AP553" s="77"/>
      <c r="AQ553" s="77"/>
    </row>
    <row r="554" spans="39:43" s="60" customFormat="1" x14ac:dyDescent="0.25">
      <c r="AM554" s="77"/>
      <c r="AN554" s="77"/>
      <c r="AO554" s="77"/>
      <c r="AP554" s="77"/>
      <c r="AQ554" s="77"/>
    </row>
    <row r="555" spans="39:43" s="60" customFormat="1" x14ac:dyDescent="0.25">
      <c r="AM555" s="77"/>
      <c r="AN555" s="77"/>
      <c r="AO555" s="77"/>
      <c r="AP555" s="77"/>
      <c r="AQ555" s="77"/>
    </row>
    <row r="556" spans="39:43" s="60" customFormat="1" x14ac:dyDescent="0.25">
      <c r="AM556" s="77"/>
      <c r="AN556" s="77"/>
      <c r="AO556" s="77"/>
      <c r="AP556" s="77"/>
      <c r="AQ556" s="77"/>
    </row>
    <row r="557" spans="39:43" s="60" customFormat="1" x14ac:dyDescent="0.25">
      <c r="AM557" s="77"/>
      <c r="AN557" s="77"/>
      <c r="AO557" s="77"/>
      <c r="AP557" s="77"/>
      <c r="AQ557" s="77"/>
    </row>
    <row r="558" spans="39:43" s="60" customFormat="1" x14ac:dyDescent="0.25">
      <c r="AM558" s="77"/>
      <c r="AN558" s="77"/>
      <c r="AO558" s="77"/>
      <c r="AP558" s="77"/>
      <c r="AQ558" s="77"/>
    </row>
    <row r="559" spans="39:43" s="60" customFormat="1" x14ac:dyDescent="0.25">
      <c r="AM559" s="77"/>
      <c r="AN559" s="77"/>
      <c r="AO559" s="77"/>
      <c r="AP559" s="77"/>
      <c r="AQ559" s="77"/>
    </row>
    <row r="560" spans="39:43" s="60" customFormat="1" x14ac:dyDescent="0.25">
      <c r="AM560" s="77"/>
      <c r="AN560" s="77"/>
      <c r="AO560" s="77"/>
      <c r="AP560" s="77"/>
      <c r="AQ560" s="77"/>
    </row>
    <row r="561" spans="39:43" s="60" customFormat="1" x14ac:dyDescent="0.25">
      <c r="AM561" s="77"/>
      <c r="AN561" s="77"/>
      <c r="AO561" s="77"/>
      <c r="AP561" s="77"/>
      <c r="AQ561" s="77"/>
    </row>
    <row r="562" spans="39:43" s="60" customFormat="1" x14ac:dyDescent="0.25">
      <c r="AM562" s="77"/>
      <c r="AN562" s="77"/>
      <c r="AO562" s="77"/>
      <c r="AP562" s="77"/>
      <c r="AQ562" s="77"/>
    </row>
    <row r="563" spans="39:43" s="60" customFormat="1" x14ac:dyDescent="0.25">
      <c r="AM563" s="77"/>
      <c r="AN563" s="77"/>
      <c r="AO563" s="77"/>
      <c r="AP563" s="77"/>
      <c r="AQ563" s="77"/>
    </row>
    <row r="564" spans="39:43" s="60" customFormat="1" x14ac:dyDescent="0.25">
      <c r="AM564" s="77"/>
      <c r="AN564" s="77"/>
      <c r="AO564" s="77"/>
      <c r="AP564" s="77"/>
      <c r="AQ564" s="77"/>
    </row>
    <row r="565" spans="39:43" s="60" customFormat="1" x14ac:dyDescent="0.25">
      <c r="AM565" s="77"/>
      <c r="AN565" s="77"/>
      <c r="AO565" s="77"/>
      <c r="AP565" s="77"/>
      <c r="AQ565" s="77"/>
    </row>
    <row r="566" spans="39:43" s="60" customFormat="1" x14ac:dyDescent="0.25">
      <c r="AM566" s="77"/>
      <c r="AN566" s="77"/>
      <c r="AO566" s="77"/>
      <c r="AP566" s="77"/>
      <c r="AQ566" s="77"/>
    </row>
    <row r="567" spans="39:43" s="60" customFormat="1" x14ac:dyDescent="0.25">
      <c r="AM567" s="77"/>
      <c r="AN567" s="77"/>
      <c r="AO567" s="77"/>
      <c r="AP567" s="77"/>
      <c r="AQ567" s="77"/>
    </row>
    <row r="568" spans="39:43" s="60" customFormat="1" x14ac:dyDescent="0.25">
      <c r="AM568" s="77"/>
      <c r="AN568" s="77"/>
      <c r="AO568" s="77"/>
      <c r="AP568" s="77"/>
      <c r="AQ568" s="77"/>
    </row>
    <row r="569" spans="39:43" s="60" customFormat="1" x14ac:dyDescent="0.25">
      <c r="AM569" s="77"/>
      <c r="AN569" s="77"/>
      <c r="AO569" s="77"/>
      <c r="AP569" s="77"/>
      <c r="AQ569" s="77"/>
    </row>
    <row r="570" spans="39:43" s="60" customFormat="1" x14ac:dyDescent="0.25">
      <c r="AM570" s="77"/>
      <c r="AN570" s="77"/>
      <c r="AO570" s="77"/>
      <c r="AP570" s="77"/>
      <c r="AQ570" s="77"/>
    </row>
    <row r="571" spans="39:43" s="60" customFormat="1" x14ac:dyDescent="0.25">
      <c r="AM571" s="77"/>
      <c r="AN571" s="77"/>
      <c r="AO571" s="77"/>
      <c r="AP571" s="77"/>
      <c r="AQ571" s="77"/>
    </row>
    <row r="572" spans="39:43" s="60" customFormat="1" x14ac:dyDescent="0.25">
      <c r="AM572" s="77"/>
      <c r="AN572" s="77"/>
      <c r="AO572" s="77"/>
      <c r="AP572" s="77"/>
      <c r="AQ572" s="77"/>
    </row>
    <row r="573" spans="39:43" s="60" customFormat="1" x14ac:dyDescent="0.25">
      <c r="AM573" s="77"/>
      <c r="AN573" s="77"/>
      <c r="AO573" s="77"/>
      <c r="AP573" s="77"/>
      <c r="AQ573" s="77"/>
    </row>
    <row r="574" spans="39:43" s="60" customFormat="1" x14ac:dyDescent="0.25">
      <c r="AM574" s="77"/>
      <c r="AN574" s="77"/>
      <c r="AO574" s="77"/>
      <c r="AP574" s="77"/>
      <c r="AQ574" s="77"/>
    </row>
    <row r="575" spans="39:43" s="60" customFormat="1" x14ac:dyDescent="0.25">
      <c r="AM575" s="77"/>
      <c r="AN575" s="77"/>
      <c r="AO575" s="77"/>
      <c r="AP575" s="77"/>
      <c r="AQ575" s="77"/>
    </row>
    <row r="576" spans="39:43" s="60" customFormat="1" x14ac:dyDescent="0.25">
      <c r="AM576" s="77"/>
      <c r="AN576" s="77"/>
      <c r="AO576" s="77"/>
      <c r="AP576" s="77"/>
      <c r="AQ576" s="77"/>
    </row>
    <row r="577" spans="39:43" s="60" customFormat="1" x14ac:dyDescent="0.25">
      <c r="AM577" s="77"/>
      <c r="AN577" s="77"/>
      <c r="AO577" s="77"/>
      <c r="AP577" s="77"/>
      <c r="AQ577" s="77"/>
    </row>
    <row r="578" spans="39:43" s="60" customFormat="1" x14ac:dyDescent="0.25">
      <c r="AM578" s="77"/>
      <c r="AN578" s="77"/>
      <c r="AO578" s="77"/>
      <c r="AP578" s="77"/>
      <c r="AQ578" s="77"/>
    </row>
    <row r="579" spans="39:43" s="60" customFormat="1" x14ac:dyDescent="0.25">
      <c r="AM579" s="77"/>
      <c r="AN579" s="77"/>
      <c r="AO579" s="77"/>
      <c r="AP579" s="77"/>
      <c r="AQ579" s="77"/>
    </row>
    <row r="580" spans="39:43" s="60" customFormat="1" x14ac:dyDescent="0.25">
      <c r="AM580" s="77"/>
      <c r="AN580" s="77"/>
      <c r="AO580" s="77"/>
      <c r="AP580" s="77"/>
      <c r="AQ580" s="77"/>
    </row>
    <row r="581" spans="39:43" s="60" customFormat="1" x14ac:dyDescent="0.25">
      <c r="AM581" s="77"/>
      <c r="AN581" s="77"/>
      <c r="AO581" s="77"/>
      <c r="AP581" s="77"/>
      <c r="AQ581" s="77"/>
    </row>
    <row r="582" spans="39:43" s="60" customFormat="1" x14ac:dyDescent="0.25">
      <c r="AM582" s="77"/>
      <c r="AN582" s="77"/>
      <c r="AO582" s="77"/>
      <c r="AP582" s="77"/>
      <c r="AQ582" s="77"/>
    </row>
    <row r="583" spans="39:43" s="60" customFormat="1" x14ac:dyDescent="0.25">
      <c r="AM583" s="77"/>
      <c r="AN583" s="77"/>
      <c r="AO583" s="77"/>
      <c r="AP583" s="77"/>
      <c r="AQ583" s="77"/>
    </row>
    <row r="584" spans="39:43" s="60" customFormat="1" x14ac:dyDescent="0.25">
      <c r="AM584" s="77"/>
      <c r="AN584" s="77"/>
      <c r="AO584" s="77"/>
      <c r="AP584" s="77"/>
      <c r="AQ584" s="77"/>
    </row>
    <row r="585" spans="39:43" s="60" customFormat="1" x14ac:dyDescent="0.25">
      <c r="AM585" s="77"/>
      <c r="AN585" s="77"/>
      <c r="AO585" s="77"/>
      <c r="AP585" s="77"/>
      <c r="AQ585" s="77"/>
    </row>
    <row r="586" spans="39:43" s="60" customFormat="1" x14ac:dyDescent="0.25">
      <c r="AM586" s="77"/>
      <c r="AN586" s="77"/>
      <c r="AO586" s="77"/>
      <c r="AP586" s="77"/>
      <c r="AQ586" s="77"/>
    </row>
    <row r="587" spans="39:43" s="60" customFormat="1" x14ac:dyDescent="0.25">
      <c r="AM587" s="77"/>
      <c r="AN587" s="77"/>
      <c r="AO587" s="77"/>
      <c r="AP587" s="77"/>
      <c r="AQ587" s="77"/>
    </row>
    <row r="588" spans="39:43" s="60" customFormat="1" x14ac:dyDescent="0.25">
      <c r="AM588" s="77"/>
      <c r="AN588" s="77"/>
      <c r="AO588" s="77"/>
      <c r="AP588" s="77"/>
      <c r="AQ588" s="77"/>
    </row>
    <row r="589" spans="39:43" s="60" customFormat="1" x14ac:dyDescent="0.25">
      <c r="AM589" s="77"/>
      <c r="AN589" s="77"/>
      <c r="AO589" s="77"/>
      <c r="AP589" s="77"/>
      <c r="AQ589" s="77"/>
    </row>
    <row r="590" spans="39:43" s="60" customFormat="1" x14ac:dyDescent="0.25">
      <c r="AM590" s="77"/>
      <c r="AN590" s="77"/>
      <c r="AO590" s="77"/>
      <c r="AP590" s="77"/>
      <c r="AQ590" s="77"/>
    </row>
    <row r="591" spans="39:43" s="60" customFormat="1" x14ac:dyDescent="0.25">
      <c r="AM591" s="77"/>
      <c r="AN591" s="77"/>
      <c r="AO591" s="77"/>
      <c r="AP591" s="77"/>
      <c r="AQ591" s="77"/>
    </row>
    <row r="592" spans="39:43" s="60" customFormat="1" x14ac:dyDescent="0.25">
      <c r="AM592" s="77"/>
      <c r="AN592" s="77"/>
      <c r="AO592" s="77"/>
      <c r="AP592" s="77"/>
      <c r="AQ592" s="77"/>
    </row>
    <row r="593" spans="39:43" s="60" customFormat="1" x14ac:dyDescent="0.25">
      <c r="AM593" s="77"/>
      <c r="AN593" s="77"/>
      <c r="AO593" s="77"/>
      <c r="AP593" s="77"/>
      <c r="AQ593" s="77"/>
    </row>
    <row r="594" spans="39:43" s="60" customFormat="1" x14ac:dyDescent="0.25">
      <c r="AM594" s="77"/>
      <c r="AN594" s="77"/>
      <c r="AO594" s="77"/>
      <c r="AP594" s="77"/>
      <c r="AQ594" s="77"/>
    </row>
    <row r="595" spans="39:43" s="60" customFormat="1" x14ac:dyDescent="0.25">
      <c r="AM595" s="77"/>
      <c r="AN595" s="77"/>
      <c r="AO595" s="77"/>
      <c r="AP595" s="77"/>
      <c r="AQ595" s="77"/>
    </row>
    <row r="596" spans="39:43" s="60" customFormat="1" x14ac:dyDescent="0.25">
      <c r="AM596" s="77"/>
      <c r="AN596" s="77"/>
      <c r="AO596" s="77"/>
      <c r="AP596" s="77"/>
      <c r="AQ596" s="77"/>
    </row>
    <row r="597" spans="39:43" s="60" customFormat="1" x14ac:dyDescent="0.25">
      <c r="AM597" s="77"/>
      <c r="AN597" s="77"/>
      <c r="AO597" s="77"/>
      <c r="AP597" s="77"/>
      <c r="AQ597" s="77"/>
    </row>
    <row r="598" spans="39:43" s="60" customFormat="1" x14ac:dyDescent="0.25">
      <c r="AM598" s="77"/>
      <c r="AN598" s="77"/>
      <c r="AO598" s="77"/>
      <c r="AP598" s="77"/>
      <c r="AQ598" s="77"/>
    </row>
    <row r="599" spans="39:43" s="60" customFormat="1" x14ac:dyDescent="0.25">
      <c r="AM599" s="77"/>
      <c r="AN599" s="77"/>
      <c r="AO599" s="77"/>
      <c r="AP599" s="77"/>
      <c r="AQ599" s="77"/>
    </row>
    <row r="600" spans="39:43" s="60" customFormat="1" x14ac:dyDescent="0.25">
      <c r="AM600" s="77"/>
      <c r="AN600" s="77"/>
      <c r="AO600" s="77"/>
      <c r="AP600" s="77"/>
      <c r="AQ600" s="77"/>
    </row>
    <row r="601" spans="39:43" s="60" customFormat="1" x14ac:dyDescent="0.25">
      <c r="AM601" s="77"/>
      <c r="AN601" s="77"/>
      <c r="AO601" s="77"/>
      <c r="AP601" s="77"/>
      <c r="AQ601" s="77"/>
    </row>
    <row r="602" spans="39:43" s="60" customFormat="1" x14ac:dyDescent="0.25">
      <c r="AM602" s="77"/>
      <c r="AN602" s="77"/>
      <c r="AO602" s="77"/>
      <c r="AP602" s="77"/>
      <c r="AQ602" s="77"/>
    </row>
    <row r="603" spans="39:43" s="60" customFormat="1" x14ac:dyDescent="0.25">
      <c r="AM603" s="77"/>
      <c r="AN603" s="77"/>
      <c r="AO603" s="77"/>
      <c r="AP603" s="77"/>
      <c r="AQ603" s="77"/>
    </row>
    <row r="604" spans="39:43" s="60" customFormat="1" x14ac:dyDescent="0.25">
      <c r="AM604" s="77"/>
      <c r="AN604" s="77"/>
      <c r="AO604" s="77"/>
      <c r="AP604" s="77"/>
      <c r="AQ604" s="77"/>
    </row>
    <row r="605" spans="39:43" s="60" customFormat="1" x14ac:dyDescent="0.25">
      <c r="AM605" s="77"/>
      <c r="AN605" s="77"/>
      <c r="AO605" s="77"/>
      <c r="AP605" s="77"/>
      <c r="AQ605" s="77"/>
    </row>
    <row r="606" spans="39:43" s="60" customFormat="1" x14ac:dyDescent="0.25">
      <c r="AM606" s="77"/>
      <c r="AN606" s="77"/>
      <c r="AO606" s="77"/>
      <c r="AP606" s="77"/>
      <c r="AQ606" s="77"/>
    </row>
    <row r="607" spans="39:43" s="60" customFormat="1" x14ac:dyDescent="0.25">
      <c r="AM607" s="77"/>
      <c r="AN607" s="77"/>
      <c r="AO607" s="77"/>
      <c r="AP607" s="77"/>
      <c r="AQ607" s="77"/>
    </row>
    <row r="608" spans="39:43" s="60" customFormat="1" x14ac:dyDescent="0.25">
      <c r="AM608" s="77"/>
      <c r="AN608" s="77"/>
      <c r="AO608" s="77"/>
      <c r="AP608" s="77"/>
      <c r="AQ608" s="77"/>
    </row>
    <row r="609" spans="39:43" s="60" customFormat="1" x14ac:dyDescent="0.25">
      <c r="AM609" s="77"/>
      <c r="AN609" s="77"/>
      <c r="AO609" s="77"/>
      <c r="AP609" s="77"/>
      <c r="AQ609" s="77"/>
    </row>
    <row r="610" spans="39:43" s="60" customFormat="1" x14ac:dyDescent="0.25">
      <c r="AM610" s="77"/>
      <c r="AN610" s="77"/>
      <c r="AO610" s="77"/>
      <c r="AP610" s="77"/>
      <c r="AQ610" s="77"/>
    </row>
    <row r="611" spans="39:43" s="60" customFormat="1" x14ac:dyDescent="0.25">
      <c r="AM611" s="77"/>
      <c r="AN611" s="77"/>
      <c r="AO611" s="77"/>
      <c r="AP611" s="77"/>
      <c r="AQ611" s="77"/>
    </row>
    <row r="612" spans="39:43" s="60" customFormat="1" x14ac:dyDescent="0.25">
      <c r="AM612" s="77"/>
      <c r="AN612" s="77"/>
      <c r="AO612" s="77"/>
      <c r="AP612" s="77"/>
      <c r="AQ612" s="77"/>
    </row>
    <row r="613" spans="39:43" s="60" customFormat="1" x14ac:dyDescent="0.25">
      <c r="AM613" s="77"/>
      <c r="AN613" s="77"/>
      <c r="AO613" s="77"/>
      <c r="AP613" s="77"/>
      <c r="AQ613" s="77"/>
    </row>
    <row r="614" spans="39:43" s="60" customFormat="1" x14ac:dyDescent="0.25">
      <c r="AM614" s="77"/>
      <c r="AN614" s="77"/>
      <c r="AO614" s="77"/>
      <c r="AP614" s="77"/>
      <c r="AQ614" s="77"/>
    </row>
    <row r="615" spans="39:43" s="60" customFormat="1" x14ac:dyDescent="0.25">
      <c r="AM615" s="77"/>
      <c r="AN615" s="77"/>
      <c r="AO615" s="77"/>
      <c r="AP615" s="77"/>
      <c r="AQ615" s="77"/>
    </row>
    <row r="616" spans="39:43" s="60" customFormat="1" x14ac:dyDescent="0.25">
      <c r="AM616" s="77"/>
      <c r="AN616" s="77"/>
      <c r="AO616" s="77"/>
      <c r="AP616" s="77"/>
      <c r="AQ616" s="77"/>
    </row>
    <row r="617" spans="39:43" s="60" customFormat="1" x14ac:dyDescent="0.25">
      <c r="AM617" s="77"/>
      <c r="AN617" s="77"/>
      <c r="AO617" s="77"/>
      <c r="AP617" s="77"/>
      <c r="AQ617" s="77"/>
    </row>
    <row r="618" spans="39:43" s="60" customFormat="1" x14ac:dyDescent="0.25">
      <c r="AM618" s="77"/>
      <c r="AN618" s="77"/>
      <c r="AO618" s="77"/>
      <c r="AP618" s="77"/>
      <c r="AQ618" s="77"/>
    </row>
    <row r="619" spans="39:43" s="60" customFormat="1" x14ac:dyDescent="0.25">
      <c r="AM619" s="77"/>
      <c r="AN619" s="77"/>
      <c r="AO619" s="77"/>
      <c r="AP619" s="77"/>
      <c r="AQ619" s="77"/>
    </row>
    <row r="620" spans="39:43" s="60" customFormat="1" x14ac:dyDescent="0.25">
      <c r="AM620" s="77"/>
      <c r="AN620" s="77"/>
      <c r="AO620" s="77"/>
      <c r="AP620" s="77"/>
      <c r="AQ620" s="77"/>
    </row>
    <row r="621" spans="39:43" s="60" customFormat="1" x14ac:dyDescent="0.25">
      <c r="AM621" s="77"/>
      <c r="AN621" s="77"/>
      <c r="AO621" s="77"/>
      <c r="AP621" s="77"/>
      <c r="AQ621" s="77"/>
    </row>
    <row r="622" spans="39:43" s="60" customFormat="1" x14ac:dyDescent="0.25">
      <c r="AM622" s="77"/>
      <c r="AN622" s="77"/>
      <c r="AO622" s="77"/>
      <c r="AP622" s="77"/>
      <c r="AQ622" s="77"/>
    </row>
    <row r="623" spans="39:43" s="60" customFormat="1" x14ac:dyDescent="0.25">
      <c r="AM623" s="77"/>
      <c r="AN623" s="77"/>
      <c r="AO623" s="77"/>
      <c r="AP623" s="77"/>
      <c r="AQ623" s="77"/>
    </row>
    <row r="624" spans="39:43" s="60" customFormat="1" x14ac:dyDescent="0.25">
      <c r="AM624" s="77"/>
      <c r="AN624" s="77"/>
      <c r="AO624" s="77"/>
      <c r="AP624" s="77"/>
      <c r="AQ624" s="77"/>
    </row>
    <row r="625" spans="39:43" s="60" customFormat="1" x14ac:dyDescent="0.25">
      <c r="AM625" s="77"/>
      <c r="AN625" s="77"/>
      <c r="AO625" s="77"/>
      <c r="AP625" s="77"/>
      <c r="AQ625" s="77"/>
    </row>
    <row r="626" spans="39:43" s="60" customFormat="1" x14ac:dyDescent="0.25">
      <c r="AM626" s="77"/>
      <c r="AN626" s="77"/>
      <c r="AO626" s="77"/>
      <c r="AP626" s="77"/>
      <c r="AQ626" s="77"/>
    </row>
    <row r="627" spans="39:43" s="60" customFormat="1" x14ac:dyDescent="0.25">
      <c r="AM627" s="77"/>
      <c r="AN627" s="77"/>
      <c r="AO627" s="77"/>
      <c r="AP627" s="77"/>
      <c r="AQ627" s="77"/>
    </row>
    <row r="628" spans="39:43" s="60" customFormat="1" x14ac:dyDescent="0.25">
      <c r="AM628" s="77"/>
      <c r="AN628" s="77"/>
      <c r="AO628" s="77"/>
      <c r="AP628" s="77"/>
      <c r="AQ628" s="77"/>
    </row>
    <row r="629" spans="39:43" s="60" customFormat="1" x14ac:dyDescent="0.25">
      <c r="AM629" s="77"/>
      <c r="AN629" s="77"/>
      <c r="AO629" s="77"/>
      <c r="AP629" s="77"/>
      <c r="AQ629" s="77"/>
    </row>
    <row r="630" spans="39:43" s="60" customFormat="1" x14ac:dyDescent="0.25">
      <c r="AM630" s="77"/>
      <c r="AN630" s="77"/>
      <c r="AO630" s="77"/>
      <c r="AP630" s="77"/>
      <c r="AQ630" s="77"/>
    </row>
    <row r="631" spans="39:43" s="60" customFormat="1" x14ac:dyDescent="0.25">
      <c r="AM631" s="77"/>
      <c r="AN631" s="77"/>
      <c r="AO631" s="77"/>
      <c r="AP631" s="77"/>
      <c r="AQ631" s="77"/>
    </row>
    <row r="632" spans="39:43" s="60" customFormat="1" x14ac:dyDescent="0.25">
      <c r="AM632" s="77"/>
      <c r="AN632" s="77"/>
      <c r="AO632" s="77"/>
      <c r="AP632" s="77"/>
      <c r="AQ632" s="77"/>
    </row>
    <row r="633" spans="39:43" s="60" customFormat="1" x14ac:dyDescent="0.25">
      <c r="AM633" s="77"/>
      <c r="AN633" s="77"/>
      <c r="AO633" s="77"/>
      <c r="AP633" s="77"/>
      <c r="AQ633" s="77"/>
    </row>
    <row r="634" spans="39:43" s="60" customFormat="1" x14ac:dyDescent="0.25">
      <c r="AM634" s="77"/>
      <c r="AN634" s="77"/>
      <c r="AO634" s="77"/>
      <c r="AP634" s="77"/>
      <c r="AQ634" s="77"/>
    </row>
    <row r="635" spans="39:43" s="60" customFormat="1" x14ac:dyDescent="0.25">
      <c r="AM635" s="77"/>
      <c r="AN635" s="77"/>
      <c r="AO635" s="77"/>
      <c r="AP635" s="77"/>
      <c r="AQ635" s="77"/>
    </row>
    <row r="636" spans="39:43" s="60" customFormat="1" x14ac:dyDescent="0.25">
      <c r="AM636" s="77"/>
      <c r="AN636" s="77"/>
      <c r="AO636" s="77"/>
      <c r="AP636" s="77"/>
      <c r="AQ636" s="77"/>
    </row>
    <row r="637" spans="39:43" s="60" customFormat="1" x14ac:dyDescent="0.25">
      <c r="AM637" s="77"/>
      <c r="AN637" s="77"/>
      <c r="AO637" s="77"/>
      <c r="AP637" s="77"/>
      <c r="AQ637" s="77"/>
    </row>
    <row r="638" spans="39:43" s="60" customFormat="1" x14ac:dyDescent="0.25">
      <c r="AM638" s="77"/>
      <c r="AN638" s="77"/>
      <c r="AO638" s="77"/>
      <c r="AP638" s="77"/>
      <c r="AQ638" s="77"/>
    </row>
    <row r="639" spans="39:43" s="60" customFormat="1" x14ac:dyDescent="0.25">
      <c r="AM639" s="77"/>
      <c r="AN639" s="77"/>
      <c r="AO639" s="77"/>
      <c r="AP639" s="77"/>
      <c r="AQ639" s="77"/>
    </row>
    <row r="640" spans="39:43" s="60" customFormat="1" x14ac:dyDescent="0.25">
      <c r="AM640" s="77"/>
      <c r="AN640" s="77"/>
      <c r="AO640" s="77"/>
      <c r="AP640" s="77"/>
      <c r="AQ640" s="77"/>
    </row>
    <row r="641" spans="39:43" s="60" customFormat="1" x14ac:dyDescent="0.25">
      <c r="AM641" s="77"/>
      <c r="AN641" s="77"/>
      <c r="AO641" s="77"/>
      <c r="AP641" s="77"/>
      <c r="AQ641" s="77"/>
    </row>
    <row r="642" spans="39:43" s="60" customFormat="1" x14ac:dyDescent="0.25">
      <c r="AM642" s="77"/>
      <c r="AN642" s="77"/>
      <c r="AO642" s="77"/>
      <c r="AP642" s="77"/>
      <c r="AQ642" s="77"/>
    </row>
    <row r="643" spans="39:43" s="60" customFormat="1" x14ac:dyDescent="0.25">
      <c r="AM643" s="77"/>
      <c r="AN643" s="77"/>
      <c r="AO643" s="77"/>
      <c r="AP643" s="77"/>
      <c r="AQ643" s="77"/>
    </row>
    <row r="644" spans="39:43" s="60" customFormat="1" x14ac:dyDescent="0.25">
      <c r="AM644" s="77"/>
      <c r="AN644" s="77"/>
      <c r="AO644" s="77"/>
      <c r="AP644" s="77"/>
      <c r="AQ644" s="77"/>
    </row>
    <row r="645" spans="39:43" s="60" customFormat="1" x14ac:dyDescent="0.25">
      <c r="AM645" s="77"/>
      <c r="AN645" s="77"/>
      <c r="AO645" s="77"/>
      <c r="AP645" s="77"/>
      <c r="AQ645" s="77"/>
    </row>
    <row r="646" spans="39:43" s="60" customFormat="1" x14ac:dyDescent="0.25">
      <c r="AM646" s="77"/>
      <c r="AN646" s="77"/>
      <c r="AO646" s="77"/>
      <c r="AP646" s="77"/>
      <c r="AQ646" s="77"/>
    </row>
    <row r="647" spans="39:43" s="60" customFormat="1" x14ac:dyDescent="0.25">
      <c r="AM647" s="77"/>
      <c r="AN647" s="77"/>
      <c r="AO647" s="77"/>
      <c r="AP647" s="77"/>
      <c r="AQ647" s="77"/>
    </row>
    <row r="648" spans="39:43" s="60" customFormat="1" x14ac:dyDescent="0.25">
      <c r="AM648" s="77"/>
      <c r="AN648" s="77"/>
      <c r="AO648" s="77"/>
      <c r="AP648" s="77"/>
      <c r="AQ648" s="77"/>
    </row>
    <row r="649" spans="39:43" s="60" customFormat="1" x14ac:dyDescent="0.25">
      <c r="AM649" s="77"/>
      <c r="AN649" s="77"/>
      <c r="AO649" s="77"/>
      <c r="AP649" s="77"/>
      <c r="AQ649" s="77"/>
    </row>
    <row r="650" spans="39:43" s="60" customFormat="1" x14ac:dyDescent="0.25">
      <c r="AM650" s="77"/>
      <c r="AN650" s="77"/>
      <c r="AO650" s="77"/>
      <c r="AP650" s="77"/>
      <c r="AQ650" s="77"/>
    </row>
    <row r="651" spans="39:43" s="60" customFormat="1" x14ac:dyDescent="0.25">
      <c r="AM651" s="77"/>
      <c r="AN651" s="77"/>
      <c r="AO651" s="77"/>
      <c r="AP651" s="77"/>
      <c r="AQ651" s="77"/>
    </row>
    <row r="652" spans="39:43" s="60" customFormat="1" x14ac:dyDescent="0.25">
      <c r="AM652" s="77"/>
      <c r="AN652" s="77"/>
      <c r="AO652" s="77"/>
      <c r="AP652" s="77"/>
      <c r="AQ652" s="77"/>
    </row>
    <row r="653" spans="39:43" s="60" customFormat="1" x14ac:dyDescent="0.25">
      <c r="AM653" s="77"/>
      <c r="AN653" s="77"/>
      <c r="AO653" s="77"/>
      <c r="AP653" s="77"/>
      <c r="AQ653" s="77"/>
    </row>
    <row r="654" spans="39:43" s="60" customFormat="1" x14ac:dyDescent="0.25">
      <c r="AM654" s="77"/>
      <c r="AN654" s="77"/>
      <c r="AO654" s="77"/>
      <c r="AP654" s="77"/>
      <c r="AQ654" s="77"/>
    </row>
    <row r="655" spans="39:43" s="60" customFormat="1" x14ac:dyDescent="0.25">
      <c r="AM655" s="77"/>
      <c r="AN655" s="77"/>
      <c r="AO655" s="77"/>
      <c r="AP655" s="77"/>
      <c r="AQ655" s="77"/>
    </row>
    <row r="656" spans="39:43" s="60" customFormat="1" x14ac:dyDescent="0.25">
      <c r="AM656" s="77"/>
      <c r="AN656" s="77"/>
      <c r="AO656" s="77"/>
      <c r="AP656" s="77"/>
      <c r="AQ656" s="77"/>
    </row>
    <row r="657" spans="39:43" s="60" customFormat="1" x14ac:dyDescent="0.25">
      <c r="AM657" s="77"/>
      <c r="AN657" s="77"/>
      <c r="AO657" s="77"/>
      <c r="AP657" s="77"/>
      <c r="AQ657" s="77"/>
    </row>
    <row r="658" spans="39:43" s="60" customFormat="1" x14ac:dyDescent="0.25">
      <c r="AM658" s="77"/>
      <c r="AN658" s="77"/>
      <c r="AO658" s="77"/>
      <c r="AP658" s="77"/>
      <c r="AQ658" s="77"/>
    </row>
    <row r="659" spans="39:43" s="60" customFormat="1" x14ac:dyDescent="0.25">
      <c r="AM659" s="77"/>
      <c r="AN659" s="77"/>
      <c r="AO659" s="77"/>
      <c r="AP659" s="77"/>
      <c r="AQ659" s="77"/>
    </row>
    <row r="660" spans="39:43" s="60" customFormat="1" x14ac:dyDescent="0.25">
      <c r="AM660" s="77"/>
      <c r="AN660" s="77"/>
      <c r="AO660" s="77"/>
      <c r="AP660" s="77"/>
      <c r="AQ660" s="77"/>
    </row>
    <row r="661" spans="39:43" s="60" customFormat="1" x14ac:dyDescent="0.25">
      <c r="AM661" s="77"/>
      <c r="AN661" s="77"/>
      <c r="AO661" s="77"/>
      <c r="AP661" s="77"/>
      <c r="AQ661" s="77"/>
    </row>
    <row r="662" spans="39:43" s="60" customFormat="1" x14ac:dyDescent="0.25">
      <c r="AM662" s="77"/>
      <c r="AN662" s="77"/>
      <c r="AO662" s="77"/>
      <c r="AP662" s="77"/>
      <c r="AQ662" s="77"/>
    </row>
    <row r="663" spans="39:43" s="60" customFormat="1" x14ac:dyDescent="0.25">
      <c r="AM663" s="77"/>
      <c r="AN663" s="77"/>
      <c r="AO663" s="77"/>
      <c r="AP663" s="77"/>
      <c r="AQ663" s="77"/>
    </row>
    <row r="664" spans="39:43" s="60" customFormat="1" x14ac:dyDescent="0.25">
      <c r="AM664" s="77"/>
      <c r="AN664" s="77"/>
      <c r="AO664" s="77"/>
      <c r="AP664" s="77"/>
      <c r="AQ664" s="77"/>
    </row>
    <row r="665" spans="39:43" s="60" customFormat="1" x14ac:dyDescent="0.25">
      <c r="AM665" s="77"/>
      <c r="AN665" s="77"/>
      <c r="AO665" s="77"/>
      <c r="AP665" s="77"/>
      <c r="AQ665" s="77"/>
    </row>
    <row r="666" spans="39:43" s="60" customFormat="1" x14ac:dyDescent="0.25">
      <c r="AM666" s="77"/>
      <c r="AN666" s="77"/>
      <c r="AO666" s="77"/>
      <c r="AP666" s="77"/>
      <c r="AQ666" s="77"/>
    </row>
    <row r="667" spans="39:43" s="60" customFormat="1" x14ac:dyDescent="0.25">
      <c r="AM667" s="77"/>
      <c r="AN667" s="77"/>
      <c r="AO667" s="77"/>
      <c r="AP667" s="77"/>
      <c r="AQ667" s="77"/>
    </row>
    <row r="668" spans="39:43" s="60" customFormat="1" x14ac:dyDescent="0.25">
      <c r="AM668" s="77"/>
      <c r="AN668" s="77"/>
      <c r="AO668" s="77"/>
      <c r="AP668" s="77"/>
      <c r="AQ668" s="77"/>
    </row>
    <row r="669" spans="39:43" s="60" customFormat="1" x14ac:dyDescent="0.25">
      <c r="AM669" s="77"/>
      <c r="AN669" s="77"/>
      <c r="AO669" s="77"/>
      <c r="AP669" s="77"/>
      <c r="AQ669" s="77"/>
    </row>
    <row r="670" spans="39:43" s="60" customFormat="1" x14ac:dyDescent="0.25">
      <c r="AM670" s="77"/>
      <c r="AN670" s="77"/>
      <c r="AO670" s="77"/>
      <c r="AP670" s="77"/>
      <c r="AQ670" s="77"/>
    </row>
    <row r="671" spans="39:43" s="60" customFormat="1" x14ac:dyDescent="0.25">
      <c r="AM671" s="77"/>
      <c r="AN671" s="77"/>
      <c r="AO671" s="77"/>
      <c r="AP671" s="77"/>
      <c r="AQ671" s="77"/>
    </row>
    <row r="672" spans="39:43" s="60" customFormat="1" x14ac:dyDescent="0.25">
      <c r="AM672" s="77"/>
      <c r="AN672" s="77"/>
      <c r="AO672" s="77"/>
      <c r="AP672" s="77"/>
      <c r="AQ672" s="77"/>
    </row>
    <row r="673" spans="39:43" s="60" customFormat="1" x14ac:dyDescent="0.25">
      <c r="AM673" s="77"/>
      <c r="AN673" s="77"/>
      <c r="AO673" s="77"/>
      <c r="AP673" s="77"/>
      <c r="AQ673" s="77"/>
    </row>
    <row r="674" spans="39:43" s="60" customFormat="1" x14ac:dyDescent="0.25">
      <c r="AM674" s="77"/>
      <c r="AN674" s="77"/>
      <c r="AO674" s="77"/>
      <c r="AP674" s="77"/>
      <c r="AQ674" s="77"/>
    </row>
    <row r="675" spans="39:43" s="60" customFormat="1" x14ac:dyDescent="0.25">
      <c r="AM675" s="77"/>
      <c r="AN675" s="77"/>
      <c r="AO675" s="77"/>
      <c r="AP675" s="77"/>
      <c r="AQ675" s="77"/>
    </row>
    <row r="676" spans="39:43" s="60" customFormat="1" x14ac:dyDescent="0.25">
      <c r="AM676" s="77"/>
      <c r="AN676" s="77"/>
      <c r="AO676" s="77"/>
      <c r="AP676" s="77"/>
      <c r="AQ676" s="77"/>
    </row>
    <row r="677" spans="39:43" s="60" customFormat="1" x14ac:dyDescent="0.25">
      <c r="AM677" s="77"/>
      <c r="AN677" s="77"/>
      <c r="AO677" s="77"/>
      <c r="AP677" s="77"/>
      <c r="AQ677" s="77"/>
    </row>
    <row r="678" spans="39:43" s="60" customFormat="1" x14ac:dyDescent="0.25">
      <c r="AM678" s="77"/>
      <c r="AN678" s="77"/>
      <c r="AO678" s="77"/>
      <c r="AP678" s="77"/>
      <c r="AQ678" s="77"/>
    </row>
    <row r="679" spans="39:43" s="60" customFormat="1" x14ac:dyDescent="0.25">
      <c r="AM679" s="77"/>
      <c r="AN679" s="77"/>
      <c r="AO679" s="77"/>
      <c r="AP679" s="77"/>
      <c r="AQ679" s="77"/>
    </row>
    <row r="680" spans="39:43" s="60" customFormat="1" x14ac:dyDescent="0.25">
      <c r="AM680" s="77"/>
      <c r="AN680" s="77"/>
      <c r="AO680" s="77"/>
      <c r="AP680" s="77"/>
      <c r="AQ680" s="77"/>
    </row>
    <row r="681" spans="39:43" s="60" customFormat="1" x14ac:dyDescent="0.25">
      <c r="AM681" s="77"/>
      <c r="AN681" s="77"/>
      <c r="AO681" s="77"/>
      <c r="AP681" s="77"/>
      <c r="AQ681" s="77"/>
    </row>
    <row r="682" spans="39:43" s="60" customFormat="1" x14ac:dyDescent="0.25">
      <c r="AM682" s="77"/>
      <c r="AN682" s="77"/>
      <c r="AO682" s="77"/>
      <c r="AP682" s="77"/>
      <c r="AQ682" s="77"/>
    </row>
    <row r="683" spans="39:43" s="60" customFormat="1" x14ac:dyDescent="0.25">
      <c r="AM683" s="77"/>
      <c r="AN683" s="77"/>
      <c r="AO683" s="77"/>
      <c r="AP683" s="77"/>
      <c r="AQ683" s="77"/>
    </row>
    <row r="684" spans="39:43" s="60" customFormat="1" x14ac:dyDescent="0.25">
      <c r="AM684" s="77"/>
      <c r="AN684" s="77"/>
      <c r="AO684" s="77"/>
      <c r="AP684" s="77"/>
      <c r="AQ684" s="77"/>
    </row>
    <row r="685" spans="39:43" s="60" customFormat="1" x14ac:dyDescent="0.25">
      <c r="AM685" s="77"/>
      <c r="AN685" s="77"/>
      <c r="AO685" s="77"/>
      <c r="AP685" s="77"/>
      <c r="AQ685" s="77"/>
    </row>
    <row r="686" spans="39:43" s="60" customFormat="1" x14ac:dyDescent="0.25">
      <c r="AM686" s="77"/>
      <c r="AN686" s="77"/>
      <c r="AO686" s="77"/>
      <c r="AP686" s="77"/>
      <c r="AQ686" s="77"/>
    </row>
    <row r="687" spans="39:43" s="60" customFormat="1" x14ac:dyDescent="0.25">
      <c r="AM687" s="77"/>
      <c r="AN687" s="77"/>
      <c r="AO687" s="77"/>
      <c r="AP687" s="77"/>
      <c r="AQ687" s="77"/>
    </row>
    <row r="688" spans="39:43" s="60" customFormat="1" x14ac:dyDescent="0.25">
      <c r="AM688" s="77"/>
      <c r="AN688" s="77"/>
      <c r="AO688" s="77"/>
      <c r="AP688" s="77"/>
      <c r="AQ688" s="77"/>
    </row>
    <row r="689" spans="39:43" s="60" customFormat="1" x14ac:dyDescent="0.25">
      <c r="AM689" s="77"/>
      <c r="AN689" s="77"/>
      <c r="AO689" s="77"/>
      <c r="AP689" s="77"/>
      <c r="AQ689" s="77"/>
    </row>
    <row r="690" spans="39:43" s="60" customFormat="1" x14ac:dyDescent="0.25">
      <c r="AM690" s="77"/>
      <c r="AN690" s="77"/>
      <c r="AO690" s="77"/>
      <c r="AP690" s="77"/>
      <c r="AQ690" s="77"/>
    </row>
    <row r="691" spans="39:43" s="60" customFormat="1" x14ac:dyDescent="0.25">
      <c r="AM691" s="77"/>
      <c r="AN691" s="77"/>
      <c r="AO691" s="77"/>
      <c r="AP691" s="77"/>
      <c r="AQ691" s="77"/>
    </row>
    <row r="692" spans="39:43" s="60" customFormat="1" x14ac:dyDescent="0.25">
      <c r="AM692" s="77"/>
      <c r="AN692" s="77"/>
      <c r="AO692" s="77"/>
      <c r="AP692" s="77"/>
      <c r="AQ692" s="77"/>
    </row>
    <row r="693" spans="39:43" s="60" customFormat="1" x14ac:dyDescent="0.25">
      <c r="AM693" s="77"/>
      <c r="AN693" s="77"/>
      <c r="AO693" s="77"/>
      <c r="AP693" s="77"/>
      <c r="AQ693" s="77"/>
    </row>
    <row r="694" spans="39:43" s="60" customFormat="1" x14ac:dyDescent="0.25">
      <c r="AM694" s="77"/>
      <c r="AN694" s="77"/>
      <c r="AO694" s="77"/>
      <c r="AP694" s="77"/>
      <c r="AQ694" s="77"/>
    </row>
    <row r="695" spans="39:43" s="60" customFormat="1" x14ac:dyDescent="0.25">
      <c r="AM695" s="77"/>
      <c r="AN695" s="77"/>
      <c r="AO695" s="77"/>
      <c r="AP695" s="77"/>
      <c r="AQ695" s="77"/>
    </row>
    <row r="696" spans="39:43" s="60" customFormat="1" x14ac:dyDescent="0.25">
      <c r="AM696" s="77"/>
      <c r="AN696" s="77"/>
      <c r="AO696" s="77"/>
      <c r="AP696" s="77"/>
      <c r="AQ696" s="77"/>
    </row>
    <row r="697" spans="39:43" s="60" customFormat="1" x14ac:dyDescent="0.25">
      <c r="AM697" s="77"/>
      <c r="AN697" s="77"/>
      <c r="AO697" s="77"/>
      <c r="AP697" s="77"/>
      <c r="AQ697" s="77"/>
    </row>
    <row r="698" spans="39:43" s="60" customFormat="1" x14ac:dyDescent="0.25">
      <c r="AM698" s="77"/>
      <c r="AN698" s="77"/>
      <c r="AO698" s="77"/>
      <c r="AP698" s="77"/>
      <c r="AQ698" s="77"/>
    </row>
    <row r="699" spans="39:43" s="60" customFormat="1" x14ac:dyDescent="0.25">
      <c r="AM699" s="77"/>
      <c r="AN699" s="77"/>
      <c r="AO699" s="77"/>
      <c r="AP699" s="77"/>
      <c r="AQ699" s="77"/>
    </row>
    <row r="700" spans="39:43" s="60" customFormat="1" x14ac:dyDescent="0.25">
      <c r="AM700" s="77"/>
      <c r="AN700" s="77"/>
      <c r="AO700" s="77"/>
      <c r="AP700" s="77"/>
      <c r="AQ700" s="77"/>
    </row>
    <row r="701" spans="39:43" s="60" customFormat="1" x14ac:dyDescent="0.25">
      <c r="AM701" s="77"/>
      <c r="AN701" s="77"/>
      <c r="AO701" s="77"/>
      <c r="AP701" s="77"/>
      <c r="AQ701" s="77"/>
    </row>
    <row r="702" spans="39:43" s="60" customFormat="1" x14ac:dyDescent="0.25">
      <c r="AM702" s="77"/>
      <c r="AN702" s="77"/>
      <c r="AO702" s="77"/>
      <c r="AP702" s="77"/>
      <c r="AQ702" s="77"/>
    </row>
    <row r="703" spans="39:43" s="60" customFormat="1" x14ac:dyDescent="0.25">
      <c r="AM703" s="77"/>
      <c r="AN703" s="77"/>
      <c r="AO703" s="77"/>
      <c r="AP703" s="77"/>
      <c r="AQ703" s="77"/>
    </row>
    <row r="704" spans="39:43" s="60" customFormat="1" x14ac:dyDescent="0.25">
      <c r="AM704" s="77"/>
      <c r="AN704" s="77"/>
      <c r="AO704" s="77"/>
      <c r="AP704" s="77"/>
      <c r="AQ704" s="77"/>
    </row>
    <row r="705" spans="39:43" s="60" customFormat="1" x14ac:dyDescent="0.25">
      <c r="AM705" s="77"/>
      <c r="AN705" s="77"/>
      <c r="AO705" s="77"/>
      <c r="AP705" s="77"/>
      <c r="AQ705" s="77"/>
    </row>
    <row r="706" spans="39:43" s="60" customFormat="1" x14ac:dyDescent="0.25">
      <c r="AM706" s="77"/>
      <c r="AN706" s="77"/>
      <c r="AO706" s="77"/>
      <c r="AP706" s="77"/>
      <c r="AQ706" s="77"/>
    </row>
    <row r="707" spans="39:43" s="60" customFormat="1" x14ac:dyDescent="0.25">
      <c r="AM707" s="77"/>
      <c r="AN707" s="77"/>
      <c r="AO707" s="77"/>
      <c r="AP707" s="77"/>
      <c r="AQ707" s="77"/>
    </row>
    <row r="708" spans="39:43" s="60" customFormat="1" x14ac:dyDescent="0.25">
      <c r="AM708" s="77"/>
      <c r="AN708" s="77"/>
      <c r="AO708" s="77"/>
      <c r="AP708" s="77"/>
      <c r="AQ708" s="77"/>
    </row>
    <row r="709" spans="39:43" s="60" customFormat="1" x14ac:dyDescent="0.25">
      <c r="AM709" s="77"/>
      <c r="AN709" s="77"/>
      <c r="AO709" s="77"/>
      <c r="AP709" s="77"/>
      <c r="AQ709" s="77"/>
    </row>
    <row r="710" spans="39:43" s="60" customFormat="1" x14ac:dyDescent="0.25">
      <c r="AM710" s="77"/>
      <c r="AN710" s="77"/>
      <c r="AO710" s="77"/>
      <c r="AP710" s="77"/>
      <c r="AQ710" s="77"/>
    </row>
    <row r="711" spans="39:43" s="60" customFormat="1" x14ac:dyDescent="0.25">
      <c r="AM711" s="77"/>
      <c r="AN711" s="77"/>
      <c r="AO711" s="77"/>
      <c r="AP711" s="77"/>
      <c r="AQ711" s="77"/>
    </row>
    <row r="712" spans="39:43" s="60" customFormat="1" x14ac:dyDescent="0.25">
      <c r="AM712" s="77"/>
      <c r="AN712" s="77"/>
      <c r="AO712" s="77"/>
      <c r="AP712" s="77"/>
      <c r="AQ712" s="77"/>
    </row>
    <row r="713" spans="39:43" s="60" customFormat="1" x14ac:dyDescent="0.25">
      <c r="AM713" s="77"/>
      <c r="AN713" s="77"/>
      <c r="AO713" s="77"/>
      <c r="AP713" s="77"/>
      <c r="AQ713" s="77"/>
    </row>
    <row r="714" spans="39:43" s="60" customFormat="1" x14ac:dyDescent="0.25">
      <c r="AM714" s="77"/>
      <c r="AN714" s="77"/>
      <c r="AO714" s="77"/>
      <c r="AP714" s="77"/>
      <c r="AQ714" s="77"/>
    </row>
    <row r="715" spans="39:43" s="60" customFormat="1" x14ac:dyDescent="0.25">
      <c r="AM715" s="77"/>
      <c r="AN715" s="77"/>
      <c r="AO715" s="77"/>
      <c r="AP715" s="77"/>
      <c r="AQ715" s="77"/>
    </row>
    <row r="716" spans="39:43" s="60" customFormat="1" x14ac:dyDescent="0.25">
      <c r="AM716" s="77"/>
      <c r="AN716" s="77"/>
      <c r="AO716" s="77"/>
      <c r="AP716" s="77"/>
      <c r="AQ716" s="77"/>
    </row>
    <row r="717" spans="39:43" s="60" customFormat="1" x14ac:dyDescent="0.25">
      <c r="AM717" s="77"/>
      <c r="AN717" s="77"/>
      <c r="AO717" s="77"/>
      <c r="AP717" s="77"/>
      <c r="AQ717" s="77"/>
    </row>
    <row r="718" spans="39:43" s="60" customFormat="1" x14ac:dyDescent="0.25">
      <c r="AM718" s="77"/>
      <c r="AN718" s="77"/>
      <c r="AO718" s="77"/>
      <c r="AP718" s="77"/>
      <c r="AQ718" s="77"/>
    </row>
    <row r="719" spans="39:43" s="60" customFormat="1" x14ac:dyDescent="0.25">
      <c r="AM719" s="77"/>
      <c r="AN719" s="77"/>
      <c r="AO719" s="77"/>
      <c r="AP719" s="77"/>
      <c r="AQ719" s="77"/>
    </row>
    <row r="720" spans="39:43" s="60" customFormat="1" x14ac:dyDescent="0.25">
      <c r="AM720" s="77"/>
      <c r="AN720" s="77"/>
      <c r="AO720" s="77"/>
      <c r="AP720" s="77"/>
      <c r="AQ720" s="77"/>
    </row>
    <row r="721" spans="39:43" s="60" customFormat="1" x14ac:dyDescent="0.25">
      <c r="AM721" s="77"/>
      <c r="AN721" s="77"/>
      <c r="AO721" s="77"/>
      <c r="AP721" s="77"/>
      <c r="AQ721" s="77"/>
    </row>
    <row r="722" spans="39:43" s="60" customFormat="1" x14ac:dyDescent="0.25">
      <c r="AM722" s="77"/>
      <c r="AN722" s="77"/>
      <c r="AO722" s="77"/>
      <c r="AP722" s="77"/>
      <c r="AQ722" s="77"/>
    </row>
    <row r="723" spans="39:43" s="60" customFormat="1" x14ac:dyDescent="0.25">
      <c r="AM723" s="77"/>
      <c r="AN723" s="77"/>
      <c r="AO723" s="77"/>
      <c r="AP723" s="77"/>
      <c r="AQ723" s="77"/>
    </row>
    <row r="724" spans="39:43" s="60" customFormat="1" x14ac:dyDescent="0.25">
      <c r="AM724" s="77"/>
      <c r="AN724" s="77"/>
      <c r="AO724" s="77"/>
      <c r="AP724" s="77"/>
      <c r="AQ724" s="77"/>
    </row>
    <row r="725" spans="39:43" s="60" customFormat="1" x14ac:dyDescent="0.25">
      <c r="AM725" s="77"/>
      <c r="AN725" s="77"/>
      <c r="AO725" s="77"/>
      <c r="AP725" s="77"/>
      <c r="AQ725" s="77"/>
    </row>
    <row r="726" spans="39:43" s="60" customFormat="1" x14ac:dyDescent="0.25">
      <c r="AM726" s="77"/>
      <c r="AN726" s="77"/>
      <c r="AO726" s="77"/>
      <c r="AP726" s="77"/>
      <c r="AQ726" s="77"/>
    </row>
    <row r="727" spans="39:43" s="60" customFormat="1" x14ac:dyDescent="0.25">
      <c r="AM727" s="77"/>
      <c r="AN727" s="77"/>
      <c r="AO727" s="77"/>
      <c r="AP727" s="77"/>
      <c r="AQ727" s="77"/>
    </row>
    <row r="728" spans="39:43" s="60" customFormat="1" x14ac:dyDescent="0.25">
      <c r="AM728" s="77"/>
      <c r="AN728" s="77"/>
      <c r="AO728" s="77"/>
      <c r="AP728" s="77"/>
      <c r="AQ728" s="77"/>
    </row>
    <row r="729" spans="39:43" s="60" customFormat="1" x14ac:dyDescent="0.25">
      <c r="AM729" s="77"/>
      <c r="AN729" s="77"/>
      <c r="AO729" s="77"/>
      <c r="AP729" s="77"/>
      <c r="AQ729" s="77"/>
    </row>
    <row r="730" spans="39:43" s="60" customFormat="1" x14ac:dyDescent="0.25">
      <c r="AM730" s="77"/>
      <c r="AN730" s="77"/>
      <c r="AO730" s="77"/>
      <c r="AP730" s="77"/>
      <c r="AQ730" s="77"/>
    </row>
    <row r="731" spans="39:43" s="60" customFormat="1" x14ac:dyDescent="0.25">
      <c r="AM731" s="77"/>
      <c r="AN731" s="77"/>
      <c r="AO731" s="77"/>
      <c r="AP731" s="77"/>
      <c r="AQ731" s="77"/>
    </row>
    <row r="732" spans="39:43" s="60" customFormat="1" x14ac:dyDescent="0.25">
      <c r="AM732" s="77"/>
      <c r="AN732" s="77"/>
      <c r="AO732" s="77"/>
      <c r="AP732" s="77"/>
      <c r="AQ732" s="77"/>
    </row>
    <row r="733" spans="39:43" s="60" customFormat="1" x14ac:dyDescent="0.25">
      <c r="AM733" s="77"/>
      <c r="AN733" s="77"/>
      <c r="AO733" s="77"/>
      <c r="AP733" s="77"/>
      <c r="AQ733" s="77"/>
    </row>
    <row r="734" spans="39:43" s="60" customFormat="1" x14ac:dyDescent="0.25">
      <c r="AM734" s="77"/>
      <c r="AN734" s="77"/>
      <c r="AO734" s="77"/>
      <c r="AP734" s="77"/>
      <c r="AQ734" s="77"/>
    </row>
    <row r="735" spans="39:43" s="60" customFormat="1" x14ac:dyDescent="0.25">
      <c r="AM735" s="77"/>
      <c r="AN735" s="77"/>
      <c r="AO735" s="77"/>
      <c r="AP735" s="77"/>
      <c r="AQ735" s="77"/>
    </row>
    <row r="736" spans="39:43" s="60" customFormat="1" x14ac:dyDescent="0.25">
      <c r="AM736" s="77"/>
      <c r="AN736" s="77"/>
      <c r="AO736" s="77"/>
      <c r="AP736" s="77"/>
      <c r="AQ736" s="77"/>
    </row>
    <row r="737" spans="39:43" s="60" customFormat="1" x14ac:dyDescent="0.25">
      <c r="AM737" s="77"/>
      <c r="AN737" s="77"/>
      <c r="AO737" s="77"/>
      <c r="AP737" s="77"/>
      <c r="AQ737" s="77"/>
    </row>
    <row r="738" spans="39:43" s="60" customFormat="1" x14ac:dyDescent="0.25">
      <c r="AM738" s="77"/>
      <c r="AN738" s="77"/>
      <c r="AO738" s="77"/>
      <c r="AP738" s="77"/>
      <c r="AQ738" s="77"/>
    </row>
    <row r="739" spans="39:43" s="60" customFormat="1" x14ac:dyDescent="0.25">
      <c r="AM739" s="77"/>
      <c r="AN739" s="77"/>
      <c r="AO739" s="77"/>
      <c r="AP739" s="77"/>
      <c r="AQ739" s="77"/>
    </row>
    <row r="740" spans="39:43" s="60" customFormat="1" x14ac:dyDescent="0.25">
      <c r="AM740" s="77"/>
      <c r="AN740" s="77"/>
      <c r="AO740" s="77"/>
      <c r="AP740" s="77"/>
      <c r="AQ740" s="77"/>
    </row>
    <row r="741" spans="39:43" s="60" customFormat="1" x14ac:dyDescent="0.25">
      <c r="AM741" s="77"/>
      <c r="AN741" s="77"/>
      <c r="AO741" s="77"/>
      <c r="AP741" s="77"/>
      <c r="AQ741" s="77"/>
    </row>
    <row r="742" spans="39:43" s="60" customFormat="1" x14ac:dyDescent="0.25">
      <c r="AM742" s="77"/>
      <c r="AN742" s="77"/>
      <c r="AO742" s="77"/>
      <c r="AP742" s="77"/>
      <c r="AQ742" s="77"/>
    </row>
    <row r="743" spans="39:43" s="60" customFormat="1" x14ac:dyDescent="0.25">
      <c r="AM743" s="77"/>
      <c r="AN743" s="77"/>
      <c r="AO743" s="77"/>
      <c r="AP743" s="77"/>
      <c r="AQ743" s="77"/>
    </row>
    <row r="744" spans="39:43" s="60" customFormat="1" x14ac:dyDescent="0.25">
      <c r="AM744" s="77"/>
      <c r="AN744" s="77"/>
      <c r="AO744" s="77"/>
      <c r="AP744" s="77"/>
      <c r="AQ744" s="77"/>
    </row>
    <row r="745" spans="39:43" s="60" customFormat="1" x14ac:dyDescent="0.25">
      <c r="AM745" s="77"/>
      <c r="AN745" s="77"/>
      <c r="AO745" s="77"/>
      <c r="AP745" s="77"/>
      <c r="AQ745" s="77"/>
    </row>
    <row r="746" spans="39:43" s="60" customFormat="1" x14ac:dyDescent="0.25">
      <c r="AM746" s="77"/>
      <c r="AN746" s="77"/>
      <c r="AO746" s="77"/>
      <c r="AP746" s="77"/>
      <c r="AQ746" s="77"/>
    </row>
    <row r="747" spans="39:43" s="60" customFormat="1" x14ac:dyDescent="0.25">
      <c r="AM747" s="77"/>
      <c r="AN747" s="77"/>
      <c r="AO747" s="77"/>
      <c r="AP747" s="77"/>
      <c r="AQ747" s="77"/>
    </row>
    <row r="748" spans="39:43" s="60" customFormat="1" x14ac:dyDescent="0.25">
      <c r="AM748" s="77"/>
      <c r="AN748" s="77"/>
      <c r="AO748" s="77"/>
      <c r="AP748" s="77"/>
      <c r="AQ748" s="77"/>
    </row>
    <row r="749" spans="39:43" s="60" customFormat="1" x14ac:dyDescent="0.25">
      <c r="AM749" s="77"/>
      <c r="AN749" s="77"/>
      <c r="AO749" s="77"/>
      <c r="AP749" s="77"/>
      <c r="AQ749" s="77"/>
    </row>
    <row r="750" spans="39:43" s="60" customFormat="1" x14ac:dyDescent="0.25">
      <c r="AM750" s="77"/>
      <c r="AN750" s="77"/>
      <c r="AO750" s="77"/>
      <c r="AP750" s="77"/>
      <c r="AQ750" s="77"/>
    </row>
    <row r="751" spans="39:43" s="60" customFormat="1" x14ac:dyDescent="0.25">
      <c r="AM751" s="77"/>
      <c r="AN751" s="77"/>
      <c r="AO751" s="77"/>
      <c r="AP751" s="77"/>
      <c r="AQ751" s="77"/>
    </row>
    <row r="752" spans="39:43" s="60" customFormat="1" x14ac:dyDescent="0.25">
      <c r="AM752" s="77"/>
      <c r="AN752" s="77"/>
      <c r="AO752" s="77"/>
      <c r="AP752" s="77"/>
      <c r="AQ752" s="77"/>
    </row>
    <row r="753" spans="39:43" s="60" customFormat="1" x14ac:dyDescent="0.25">
      <c r="AM753" s="77"/>
      <c r="AN753" s="77"/>
      <c r="AO753" s="77"/>
      <c r="AP753" s="77"/>
      <c r="AQ753" s="77"/>
    </row>
    <row r="754" spans="39:43" s="60" customFormat="1" x14ac:dyDescent="0.25">
      <c r="AM754" s="77"/>
      <c r="AN754" s="77"/>
      <c r="AO754" s="77"/>
      <c r="AP754" s="77"/>
      <c r="AQ754" s="77"/>
    </row>
    <row r="755" spans="39:43" s="60" customFormat="1" x14ac:dyDescent="0.25">
      <c r="AM755" s="77"/>
      <c r="AN755" s="77"/>
      <c r="AO755" s="77"/>
      <c r="AP755" s="77"/>
      <c r="AQ755" s="77"/>
    </row>
    <row r="756" spans="39:43" s="60" customFormat="1" x14ac:dyDescent="0.25">
      <c r="AM756" s="77"/>
      <c r="AN756" s="77"/>
      <c r="AO756" s="77"/>
      <c r="AP756" s="77"/>
      <c r="AQ756" s="77"/>
    </row>
    <row r="757" spans="39:43" s="60" customFormat="1" x14ac:dyDescent="0.25">
      <c r="AM757" s="77"/>
      <c r="AN757" s="77"/>
      <c r="AO757" s="77"/>
      <c r="AP757" s="77"/>
      <c r="AQ757" s="77"/>
    </row>
    <row r="758" spans="39:43" s="60" customFormat="1" x14ac:dyDescent="0.25">
      <c r="AM758" s="77"/>
      <c r="AN758" s="77"/>
      <c r="AO758" s="77"/>
      <c r="AP758" s="77"/>
      <c r="AQ758" s="77"/>
    </row>
    <row r="759" spans="39:43" s="60" customFormat="1" x14ac:dyDescent="0.25">
      <c r="AM759" s="77"/>
      <c r="AN759" s="77"/>
      <c r="AO759" s="77"/>
      <c r="AP759" s="77"/>
      <c r="AQ759" s="77"/>
    </row>
    <row r="760" spans="39:43" s="60" customFormat="1" x14ac:dyDescent="0.25">
      <c r="AM760" s="77"/>
      <c r="AN760" s="77"/>
      <c r="AO760" s="77"/>
      <c r="AP760" s="77"/>
      <c r="AQ760" s="77"/>
    </row>
    <row r="761" spans="39:43" s="60" customFormat="1" x14ac:dyDescent="0.25">
      <c r="AM761" s="77"/>
      <c r="AN761" s="77"/>
      <c r="AO761" s="77"/>
      <c r="AP761" s="77"/>
      <c r="AQ761" s="77"/>
    </row>
    <row r="762" spans="39:43" s="60" customFormat="1" x14ac:dyDescent="0.25">
      <c r="AM762" s="77"/>
      <c r="AN762" s="77"/>
      <c r="AO762" s="77"/>
      <c r="AP762" s="77"/>
      <c r="AQ762" s="77"/>
    </row>
    <row r="763" spans="39:43" s="60" customFormat="1" x14ac:dyDescent="0.25">
      <c r="AM763" s="77"/>
      <c r="AN763" s="77"/>
      <c r="AO763" s="77"/>
      <c r="AP763" s="77"/>
      <c r="AQ763" s="77"/>
    </row>
    <row r="764" spans="39:43" s="60" customFormat="1" x14ac:dyDescent="0.25">
      <c r="AM764" s="77"/>
      <c r="AN764" s="77"/>
      <c r="AO764" s="77"/>
      <c r="AP764" s="77"/>
      <c r="AQ764" s="77"/>
    </row>
    <row r="765" spans="39:43" s="60" customFormat="1" x14ac:dyDescent="0.25">
      <c r="AM765" s="77"/>
      <c r="AN765" s="77"/>
      <c r="AO765" s="77"/>
      <c r="AP765" s="77"/>
      <c r="AQ765" s="77"/>
    </row>
    <row r="766" spans="39:43" s="60" customFormat="1" x14ac:dyDescent="0.25">
      <c r="AM766" s="77"/>
      <c r="AN766" s="77"/>
      <c r="AO766" s="77"/>
      <c r="AP766" s="77"/>
      <c r="AQ766" s="77"/>
    </row>
    <row r="767" spans="39:43" s="60" customFormat="1" x14ac:dyDescent="0.25">
      <c r="AM767" s="77"/>
      <c r="AN767" s="77"/>
      <c r="AO767" s="77"/>
      <c r="AP767" s="77"/>
      <c r="AQ767" s="77"/>
    </row>
    <row r="768" spans="39:43" s="60" customFormat="1" x14ac:dyDescent="0.25">
      <c r="AM768" s="77"/>
      <c r="AN768" s="77"/>
      <c r="AO768" s="77"/>
      <c r="AP768" s="77"/>
      <c r="AQ768" s="77"/>
    </row>
    <row r="769" spans="39:43" s="60" customFormat="1" x14ac:dyDescent="0.25">
      <c r="AM769" s="77"/>
      <c r="AN769" s="77"/>
      <c r="AO769" s="77"/>
      <c r="AP769" s="77"/>
      <c r="AQ769" s="77"/>
    </row>
    <row r="770" spans="39:43" s="60" customFormat="1" x14ac:dyDescent="0.25">
      <c r="AM770" s="77"/>
      <c r="AN770" s="77"/>
      <c r="AO770" s="77"/>
      <c r="AP770" s="77"/>
      <c r="AQ770" s="77"/>
    </row>
    <row r="771" spans="39:43" s="60" customFormat="1" x14ac:dyDescent="0.25">
      <c r="AM771" s="77"/>
      <c r="AN771" s="77"/>
      <c r="AO771" s="77"/>
      <c r="AP771" s="77"/>
      <c r="AQ771" s="77"/>
    </row>
    <row r="772" spans="39:43" s="60" customFormat="1" x14ac:dyDescent="0.25">
      <c r="AM772" s="77"/>
      <c r="AN772" s="77"/>
      <c r="AO772" s="77"/>
      <c r="AP772" s="77"/>
      <c r="AQ772" s="77"/>
    </row>
    <row r="773" spans="39:43" s="60" customFormat="1" x14ac:dyDescent="0.25">
      <c r="AM773" s="77"/>
      <c r="AN773" s="77"/>
      <c r="AO773" s="77"/>
      <c r="AP773" s="77"/>
      <c r="AQ773" s="77"/>
    </row>
    <row r="774" spans="39:43" s="60" customFormat="1" x14ac:dyDescent="0.25">
      <c r="AM774" s="77"/>
      <c r="AN774" s="77"/>
      <c r="AO774" s="77"/>
      <c r="AP774" s="77"/>
      <c r="AQ774" s="77"/>
    </row>
    <row r="775" spans="39:43" s="60" customFormat="1" x14ac:dyDescent="0.25">
      <c r="AM775" s="77"/>
      <c r="AN775" s="77"/>
      <c r="AO775" s="77"/>
      <c r="AP775" s="77"/>
      <c r="AQ775" s="77"/>
    </row>
    <row r="776" spans="39:43" s="60" customFormat="1" x14ac:dyDescent="0.25">
      <c r="AM776" s="77"/>
      <c r="AN776" s="77"/>
      <c r="AO776" s="77"/>
      <c r="AP776" s="77"/>
      <c r="AQ776" s="77"/>
    </row>
    <row r="777" spans="39:43" s="60" customFormat="1" x14ac:dyDescent="0.25">
      <c r="AM777" s="77"/>
      <c r="AN777" s="77"/>
      <c r="AO777" s="77"/>
      <c r="AP777" s="77"/>
      <c r="AQ777" s="77"/>
    </row>
    <row r="778" spans="39:43" s="60" customFormat="1" x14ac:dyDescent="0.25">
      <c r="AM778" s="77"/>
      <c r="AN778" s="77"/>
      <c r="AO778" s="77"/>
      <c r="AP778" s="77"/>
      <c r="AQ778" s="77"/>
    </row>
    <row r="779" spans="39:43" s="60" customFormat="1" x14ac:dyDescent="0.25">
      <c r="AM779" s="77"/>
      <c r="AN779" s="77"/>
      <c r="AO779" s="77"/>
      <c r="AP779" s="77"/>
      <c r="AQ779" s="77"/>
    </row>
    <row r="780" spans="39:43" s="60" customFormat="1" x14ac:dyDescent="0.25">
      <c r="AM780" s="77"/>
      <c r="AN780" s="77"/>
      <c r="AO780" s="77"/>
      <c r="AP780" s="77"/>
      <c r="AQ780" s="77"/>
    </row>
    <row r="781" spans="39:43" s="60" customFormat="1" x14ac:dyDescent="0.25">
      <c r="AM781" s="77"/>
      <c r="AN781" s="77"/>
      <c r="AO781" s="77"/>
      <c r="AP781" s="77"/>
      <c r="AQ781" s="77"/>
    </row>
    <row r="782" spans="39:43" s="60" customFormat="1" x14ac:dyDescent="0.25">
      <c r="AM782" s="77"/>
      <c r="AN782" s="77"/>
      <c r="AO782" s="77"/>
      <c r="AP782" s="77"/>
      <c r="AQ782" s="77"/>
    </row>
    <row r="783" spans="39:43" s="60" customFormat="1" x14ac:dyDescent="0.25">
      <c r="AM783" s="77"/>
      <c r="AN783" s="77"/>
      <c r="AO783" s="77"/>
      <c r="AP783" s="77"/>
      <c r="AQ783" s="77"/>
    </row>
    <row r="784" spans="39:43" s="60" customFormat="1" x14ac:dyDescent="0.25">
      <c r="AM784" s="77"/>
      <c r="AN784" s="77"/>
      <c r="AO784" s="77"/>
      <c r="AP784" s="77"/>
      <c r="AQ784" s="77"/>
    </row>
    <row r="785" spans="39:43" s="60" customFormat="1" x14ac:dyDescent="0.25">
      <c r="AM785" s="77"/>
      <c r="AN785" s="77"/>
      <c r="AO785" s="77"/>
      <c r="AP785" s="77"/>
      <c r="AQ785" s="77"/>
    </row>
    <row r="786" spans="39:43" s="60" customFormat="1" x14ac:dyDescent="0.25">
      <c r="AM786" s="77"/>
      <c r="AN786" s="77"/>
      <c r="AO786" s="77"/>
      <c r="AP786" s="77"/>
      <c r="AQ786" s="77"/>
    </row>
    <row r="787" spans="39:43" s="60" customFormat="1" x14ac:dyDescent="0.25">
      <c r="AM787" s="77"/>
      <c r="AN787" s="77"/>
      <c r="AO787" s="77"/>
      <c r="AP787" s="77"/>
      <c r="AQ787" s="77"/>
    </row>
    <row r="788" spans="39:43" s="60" customFormat="1" x14ac:dyDescent="0.25">
      <c r="AM788" s="77"/>
      <c r="AN788" s="77"/>
      <c r="AO788" s="77"/>
      <c r="AP788" s="77"/>
      <c r="AQ788" s="77"/>
    </row>
    <row r="789" spans="39:43" s="60" customFormat="1" x14ac:dyDescent="0.25">
      <c r="AM789" s="77"/>
      <c r="AN789" s="77"/>
      <c r="AO789" s="77"/>
      <c r="AP789" s="77"/>
      <c r="AQ789" s="77"/>
    </row>
    <row r="790" spans="39:43" s="60" customFormat="1" x14ac:dyDescent="0.25">
      <c r="AM790" s="77"/>
      <c r="AN790" s="77"/>
      <c r="AO790" s="77"/>
      <c r="AP790" s="77"/>
      <c r="AQ790" s="77"/>
    </row>
    <row r="791" spans="39:43" s="60" customFormat="1" x14ac:dyDescent="0.25">
      <c r="AM791" s="77"/>
      <c r="AN791" s="77"/>
      <c r="AO791" s="77"/>
      <c r="AP791" s="77"/>
      <c r="AQ791" s="77"/>
    </row>
    <row r="792" spans="39:43" s="60" customFormat="1" x14ac:dyDescent="0.25">
      <c r="AM792" s="77"/>
      <c r="AN792" s="77"/>
      <c r="AO792" s="77"/>
      <c r="AP792" s="77"/>
      <c r="AQ792" s="77"/>
    </row>
    <row r="793" spans="39:43" s="60" customFormat="1" x14ac:dyDescent="0.25">
      <c r="AM793" s="77"/>
      <c r="AN793" s="77"/>
      <c r="AO793" s="77"/>
      <c r="AP793" s="77"/>
      <c r="AQ793" s="77"/>
    </row>
    <row r="794" spans="39:43" s="60" customFormat="1" x14ac:dyDescent="0.25">
      <c r="AM794" s="77"/>
      <c r="AN794" s="77"/>
      <c r="AO794" s="77"/>
      <c r="AP794" s="77"/>
      <c r="AQ794" s="77"/>
    </row>
    <row r="795" spans="39:43" s="60" customFormat="1" x14ac:dyDescent="0.25">
      <c r="AM795" s="77"/>
      <c r="AN795" s="77"/>
      <c r="AO795" s="77"/>
      <c r="AP795" s="77"/>
      <c r="AQ795" s="77"/>
    </row>
    <row r="796" spans="39:43" s="60" customFormat="1" x14ac:dyDescent="0.25">
      <c r="AM796" s="77"/>
      <c r="AN796" s="77"/>
      <c r="AO796" s="77"/>
      <c r="AP796" s="77"/>
      <c r="AQ796" s="77"/>
    </row>
    <row r="797" spans="39:43" s="60" customFormat="1" x14ac:dyDescent="0.25">
      <c r="AM797" s="77"/>
      <c r="AN797" s="77"/>
      <c r="AO797" s="77"/>
      <c r="AP797" s="77"/>
      <c r="AQ797" s="77"/>
    </row>
    <row r="798" spans="39:43" s="60" customFormat="1" x14ac:dyDescent="0.25">
      <c r="AM798" s="77"/>
      <c r="AN798" s="77"/>
      <c r="AO798" s="77"/>
      <c r="AP798" s="77"/>
      <c r="AQ798" s="77"/>
    </row>
    <row r="799" spans="39:43" s="60" customFormat="1" x14ac:dyDescent="0.25">
      <c r="AM799" s="77"/>
      <c r="AN799" s="77"/>
      <c r="AO799" s="77"/>
      <c r="AP799" s="77"/>
      <c r="AQ799" s="77"/>
    </row>
    <row r="800" spans="39:43" s="60" customFormat="1" x14ac:dyDescent="0.25">
      <c r="AM800" s="77"/>
      <c r="AN800" s="77"/>
      <c r="AO800" s="77"/>
      <c r="AP800" s="77"/>
      <c r="AQ800" s="77"/>
    </row>
    <row r="801" spans="39:43" s="60" customFormat="1" x14ac:dyDescent="0.25">
      <c r="AM801" s="77"/>
      <c r="AN801" s="77"/>
      <c r="AO801" s="77"/>
      <c r="AP801" s="77"/>
      <c r="AQ801" s="77"/>
    </row>
    <row r="802" spans="39:43" s="60" customFormat="1" x14ac:dyDescent="0.25">
      <c r="AM802" s="77"/>
      <c r="AN802" s="77"/>
      <c r="AO802" s="77"/>
      <c r="AP802" s="77"/>
      <c r="AQ802" s="77"/>
    </row>
    <row r="803" spans="39:43" s="60" customFormat="1" x14ac:dyDescent="0.25">
      <c r="AM803" s="77"/>
      <c r="AN803" s="77"/>
      <c r="AO803" s="77"/>
      <c r="AP803" s="77"/>
      <c r="AQ803" s="77"/>
    </row>
    <row r="804" spans="39:43" s="60" customFormat="1" x14ac:dyDescent="0.25">
      <c r="AM804" s="77"/>
      <c r="AN804" s="77"/>
      <c r="AO804" s="77"/>
      <c r="AP804" s="77"/>
      <c r="AQ804" s="77"/>
    </row>
    <row r="805" spans="39:43" s="60" customFormat="1" x14ac:dyDescent="0.25">
      <c r="AM805" s="77"/>
      <c r="AN805" s="77"/>
      <c r="AO805" s="77"/>
      <c r="AP805" s="77"/>
      <c r="AQ805" s="77"/>
    </row>
    <row r="806" spans="39:43" s="60" customFormat="1" x14ac:dyDescent="0.25">
      <c r="AM806" s="77"/>
      <c r="AN806" s="77"/>
      <c r="AO806" s="77"/>
      <c r="AP806" s="77"/>
      <c r="AQ806" s="77"/>
    </row>
    <row r="807" spans="39:43" s="60" customFormat="1" x14ac:dyDescent="0.25">
      <c r="AM807" s="77"/>
      <c r="AN807" s="77"/>
      <c r="AO807" s="77"/>
      <c r="AP807" s="77"/>
      <c r="AQ807" s="77"/>
    </row>
    <row r="808" spans="39:43" s="60" customFormat="1" x14ac:dyDescent="0.25">
      <c r="AM808" s="77"/>
      <c r="AN808" s="77"/>
      <c r="AO808" s="77"/>
      <c r="AP808" s="77"/>
      <c r="AQ808" s="77"/>
    </row>
    <row r="809" spans="39:43" s="60" customFormat="1" x14ac:dyDescent="0.25">
      <c r="AM809" s="77"/>
      <c r="AN809" s="77"/>
      <c r="AO809" s="77"/>
      <c r="AP809" s="77"/>
      <c r="AQ809" s="77"/>
    </row>
    <row r="810" spans="39:43" s="60" customFormat="1" x14ac:dyDescent="0.25">
      <c r="AM810" s="77"/>
      <c r="AN810" s="77"/>
      <c r="AO810" s="77"/>
      <c r="AP810" s="77"/>
      <c r="AQ810" s="77"/>
    </row>
    <row r="811" spans="39:43" s="60" customFormat="1" x14ac:dyDescent="0.25">
      <c r="AM811" s="77"/>
      <c r="AN811" s="77"/>
      <c r="AO811" s="77"/>
      <c r="AP811" s="77"/>
      <c r="AQ811" s="77"/>
    </row>
    <row r="812" spans="39:43" s="60" customFormat="1" x14ac:dyDescent="0.25">
      <c r="AM812" s="77"/>
      <c r="AN812" s="77"/>
      <c r="AO812" s="77"/>
      <c r="AP812" s="77"/>
      <c r="AQ812" s="77"/>
    </row>
    <row r="813" spans="39:43" s="60" customFormat="1" x14ac:dyDescent="0.25">
      <c r="AM813" s="77"/>
      <c r="AN813" s="77"/>
      <c r="AO813" s="77"/>
      <c r="AP813" s="77"/>
      <c r="AQ813" s="77"/>
    </row>
    <row r="814" spans="39:43" s="60" customFormat="1" x14ac:dyDescent="0.25">
      <c r="AM814" s="77"/>
      <c r="AN814" s="77"/>
      <c r="AO814" s="77"/>
      <c r="AP814" s="77"/>
      <c r="AQ814" s="77"/>
    </row>
    <row r="815" spans="39:43" s="60" customFormat="1" x14ac:dyDescent="0.25">
      <c r="AM815" s="77"/>
      <c r="AN815" s="77"/>
      <c r="AO815" s="77"/>
      <c r="AP815" s="77"/>
      <c r="AQ815" s="77"/>
    </row>
    <row r="816" spans="39:43" s="60" customFormat="1" x14ac:dyDescent="0.25">
      <c r="AM816" s="77"/>
      <c r="AN816" s="77"/>
      <c r="AO816" s="77"/>
      <c r="AP816" s="77"/>
      <c r="AQ816" s="77"/>
    </row>
    <row r="817" spans="39:43" s="60" customFormat="1" x14ac:dyDescent="0.25">
      <c r="AM817" s="77"/>
      <c r="AN817" s="77"/>
      <c r="AO817" s="77"/>
      <c r="AP817" s="77"/>
      <c r="AQ817" s="77"/>
    </row>
    <row r="818" spans="39:43" s="60" customFormat="1" x14ac:dyDescent="0.25">
      <c r="AM818" s="77"/>
      <c r="AN818" s="77"/>
      <c r="AO818" s="77"/>
      <c r="AP818" s="77"/>
      <c r="AQ818" s="77"/>
    </row>
    <row r="819" spans="39:43" s="60" customFormat="1" x14ac:dyDescent="0.25">
      <c r="AM819" s="77"/>
      <c r="AN819" s="77"/>
      <c r="AO819" s="77"/>
      <c r="AP819" s="77"/>
      <c r="AQ819" s="77"/>
    </row>
    <row r="820" spans="39:43" s="60" customFormat="1" x14ac:dyDescent="0.25">
      <c r="AM820" s="77"/>
      <c r="AN820" s="77"/>
      <c r="AO820" s="77"/>
      <c r="AP820" s="77"/>
      <c r="AQ820" s="77"/>
    </row>
    <row r="821" spans="39:43" s="60" customFormat="1" x14ac:dyDescent="0.25">
      <c r="AM821" s="77"/>
      <c r="AN821" s="77"/>
      <c r="AO821" s="77"/>
      <c r="AP821" s="77"/>
      <c r="AQ821" s="77"/>
    </row>
    <row r="822" spans="39:43" s="60" customFormat="1" x14ac:dyDescent="0.25">
      <c r="AM822" s="77"/>
      <c r="AN822" s="77"/>
      <c r="AO822" s="77"/>
      <c r="AP822" s="77"/>
      <c r="AQ822" s="77"/>
    </row>
    <row r="823" spans="39:43" s="60" customFormat="1" x14ac:dyDescent="0.25">
      <c r="AM823" s="77"/>
      <c r="AN823" s="77"/>
      <c r="AO823" s="77"/>
      <c r="AP823" s="77"/>
      <c r="AQ823" s="77"/>
    </row>
    <row r="824" spans="39:43" s="60" customFormat="1" x14ac:dyDescent="0.25">
      <c r="AM824" s="77"/>
      <c r="AN824" s="77"/>
      <c r="AO824" s="77"/>
      <c r="AP824" s="77"/>
      <c r="AQ824" s="77"/>
    </row>
    <row r="825" spans="39:43" s="60" customFormat="1" x14ac:dyDescent="0.25">
      <c r="AM825" s="77"/>
      <c r="AN825" s="77"/>
      <c r="AO825" s="77"/>
      <c r="AP825" s="77"/>
      <c r="AQ825" s="77"/>
    </row>
    <row r="826" spans="39:43" s="60" customFormat="1" x14ac:dyDescent="0.25">
      <c r="AM826" s="77"/>
      <c r="AN826" s="77"/>
      <c r="AO826" s="77"/>
      <c r="AP826" s="77"/>
      <c r="AQ826" s="77"/>
    </row>
    <row r="827" spans="39:43" s="60" customFormat="1" x14ac:dyDescent="0.25">
      <c r="AM827" s="77"/>
      <c r="AN827" s="77"/>
      <c r="AO827" s="77"/>
      <c r="AP827" s="77"/>
      <c r="AQ827" s="77"/>
    </row>
    <row r="828" spans="39:43" s="60" customFormat="1" x14ac:dyDescent="0.25">
      <c r="AM828" s="77"/>
      <c r="AN828" s="77"/>
      <c r="AO828" s="77"/>
      <c r="AP828" s="77"/>
      <c r="AQ828" s="77"/>
    </row>
    <row r="829" spans="39:43" s="60" customFormat="1" x14ac:dyDescent="0.25">
      <c r="AM829" s="77"/>
      <c r="AN829" s="77"/>
      <c r="AO829" s="77"/>
      <c r="AP829" s="77"/>
      <c r="AQ829" s="77"/>
    </row>
    <row r="830" spans="39:43" s="60" customFormat="1" x14ac:dyDescent="0.25">
      <c r="AM830" s="77"/>
      <c r="AN830" s="77"/>
      <c r="AO830" s="77"/>
      <c r="AP830" s="77"/>
      <c r="AQ830" s="77"/>
    </row>
    <row r="831" spans="39:43" s="60" customFormat="1" x14ac:dyDescent="0.25">
      <c r="AM831" s="77"/>
      <c r="AN831" s="77"/>
      <c r="AO831" s="77"/>
      <c r="AP831" s="77"/>
      <c r="AQ831" s="77"/>
    </row>
    <row r="832" spans="39:43" s="60" customFormat="1" x14ac:dyDescent="0.25">
      <c r="AM832" s="77"/>
      <c r="AN832" s="77"/>
      <c r="AO832" s="77"/>
      <c r="AP832" s="77"/>
      <c r="AQ832" s="77"/>
    </row>
    <row r="833" spans="39:43" s="60" customFormat="1" x14ac:dyDescent="0.25">
      <c r="AM833" s="77"/>
      <c r="AN833" s="77"/>
      <c r="AO833" s="77"/>
      <c r="AP833" s="77"/>
      <c r="AQ833" s="77"/>
    </row>
    <row r="834" spans="39:43" s="60" customFormat="1" x14ac:dyDescent="0.25">
      <c r="AM834" s="77"/>
      <c r="AN834" s="77"/>
      <c r="AO834" s="77"/>
      <c r="AP834" s="77"/>
      <c r="AQ834" s="77"/>
    </row>
    <row r="835" spans="39:43" s="60" customFormat="1" x14ac:dyDescent="0.25">
      <c r="AM835" s="77"/>
      <c r="AN835" s="77"/>
      <c r="AO835" s="77"/>
      <c r="AP835" s="77"/>
      <c r="AQ835" s="77"/>
    </row>
    <row r="836" spans="39:43" s="60" customFormat="1" x14ac:dyDescent="0.25">
      <c r="AM836" s="77"/>
      <c r="AN836" s="77"/>
      <c r="AO836" s="77"/>
      <c r="AP836" s="77"/>
      <c r="AQ836" s="77"/>
    </row>
    <row r="837" spans="39:43" s="60" customFormat="1" x14ac:dyDescent="0.25">
      <c r="AM837" s="77"/>
      <c r="AN837" s="77"/>
      <c r="AO837" s="77"/>
      <c r="AP837" s="77"/>
      <c r="AQ837" s="77"/>
    </row>
    <row r="838" spans="39:43" s="60" customFormat="1" x14ac:dyDescent="0.25">
      <c r="AM838" s="77"/>
      <c r="AN838" s="77"/>
      <c r="AO838" s="77"/>
      <c r="AP838" s="77"/>
      <c r="AQ838" s="77"/>
    </row>
    <row r="839" spans="39:43" s="60" customFormat="1" x14ac:dyDescent="0.25">
      <c r="AM839" s="77"/>
      <c r="AN839" s="77"/>
      <c r="AO839" s="77"/>
      <c r="AP839" s="77"/>
      <c r="AQ839" s="77"/>
    </row>
    <row r="840" spans="39:43" s="60" customFormat="1" x14ac:dyDescent="0.25">
      <c r="AM840" s="77"/>
      <c r="AN840" s="77"/>
      <c r="AO840" s="77"/>
      <c r="AP840" s="77"/>
      <c r="AQ840" s="77"/>
    </row>
    <row r="841" spans="39:43" s="60" customFormat="1" x14ac:dyDescent="0.25">
      <c r="AM841" s="77"/>
      <c r="AN841" s="77"/>
      <c r="AO841" s="77"/>
      <c r="AP841" s="77"/>
      <c r="AQ841" s="77"/>
    </row>
    <row r="842" spans="39:43" s="60" customFormat="1" x14ac:dyDescent="0.25">
      <c r="AM842" s="77"/>
      <c r="AN842" s="77"/>
      <c r="AO842" s="77"/>
      <c r="AP842" s="77"/>
      <c r="AQ842" s="77"/>
    </row>
    <row r="843" spans="39:43" s="60" customFormat="1" x14ac:dyDescent="0.25">
      <c r="AM843" s="77"/>
      <c r="AN843" s="77"/>
      <c r="AO843" s="77"/>
      <c r="AP843" s="77"/>
      <c r="AQ843" s="77"/>
    </row>
    <row r="844" spans="39:43" s="60" customFormat="1" x14ac:dyDescent="0.25">
      <c r="AM844" s="77"/>
      <c r="AN844" s="77"/>
      <c r="AO844" s="77"/>
      <c r="AP844" s="77"/>
      <c r="AQ844" s="77"/>
    </row>
    <row r="845" spans="39:43" s="60" customFormat="1" x14ac:dyDescent="0.25">
      <c r="AM845" s="77"/>
      <c r="AN845" s="77"/>
      <c r="AO845" s="77"/>
      <c r="AP845" s="77"/>
      <c r="AQ845" s="77"/>
    </row>
    <row r="846" spans="39:43" s="60" customFormat="1" x14ac:dyDescent="0.25">
      <c r="AM846" s="77"/>
      <c r="AN846" s="77"/>
      <c r="AO846" s="77"/>
      <c r="AP846" s="77"/>
      <c r="AQ846" s="77"/>
    </row>
    <row r="847" spans="39:43" s="60" customFormat="1" x14ac:dyDescent="0.25">
      <c r="AM847" s="77"/>
      <c r="AN847" s="77"/>
      <c r="AO847" s="77"/>
      <c r="AP847" s="77"/>
      <c r="AQ847" s="77"/>
    </row>
    <row r="848" spans="39:43" s="60" customFormat="1" x14ac:dyDescent="0.25">
      <c r="AM848" s="77"/>
      <c r="AN848" s="77"/>
      <c r="AO848" s="77"/>
      <c r="AP848" s="77"/>
      <c r="AQ848" s="77"/>
    </row>
    <row r="849" spans="39:43" s="60" customFormat="1" x14ac:dyDescent="0.25">
      <c r="AM849" s="77"/>
      <c r="AN849" s="77"/>
      <c r="AO849" s="77"/>
      <c r="AP849" s="77"/>
      <c r="AQ849" s="77"/>
    </row>
    <row r="850" spans="39:43" s="60" customFormat="1" x14ac:dyDescent="0.25">
      <c r="AM850" s="77"/>
      <c r="AN850" s="77"/>
      <c r="AO850" s="77"/>
      <c r="AP850" s="77"/>
      <c r="AQ850" s="77"/>
    </row>
    <row r="851" spans="39:43" s="60" customFormat="1" x14ac:dyDescent="0.25">
      <c r="AM851" s="77"/>
      <c r="AN851" s="77"/>
      <c r="AO851" s="77"/>
      <c r="AP851" s="77"/>
      <c r="AQ851" s="77"/>
    </row>
    <row r="852" spans="39:43" s="60" customFormat="1" x14ac:dyDescent="0.25">
      <c r="AM852" s="77"/>
      <c r="AN852" s="77"/>
      <c r="AO852" s="77"/>
      <c r="AP852" s="77"/>
      <c r="AQ852" s="77"/>
    </row>
    <row r="853" spans="39:43" s="60" customFormat="1" x14ac:dyDescent="0.25">
      <c r="AM853" s="77"/>
      <c r="AN853" s="77"/>
      <c r="AO853" s="77"/>
      <c r="AP853" s="77"/>
      <c r="AQ853" s="77"/>
    </row>
    <row r="854" spans="39:43" s="60" customFormat="1" x14ac:dyDescent="0.25">
      <c r="AM854" s="77"/>
      <c r="AN854" s="77"/>
      <c r="AO854" s="77"/>
      <c r="AP854" s="77"/>
      <c r="AQ854" s="77"/>
    </row>
    <row r="855" spans="39:43" s="60" customFormat="1" x14ac:dyDescent="0.25">
      <c r="AM855" s="77"/>
      <c r="AN855" s="77"/>
      <c r="AO855" s="77"/>
      <c r="AP855" s="77"/>
      <c r="AQ855" s="77"/>
    </row>
    <row r="856" spans="39:43" s="60" customFormat="1" x14ac:dyDescent="0.25">
      <c r="AM856" s="77"/>
      <c r="AN856" s="77"/>
      <c r="AO856" s="77"/>
      <c r="AP856" s="77"/>
      <c r="AQ856" s="77"/>
    </row>
    <row r="857" spans="39:43" x14ac:dyDescent="0.25">
      <c r="AM857" s="77"/>
    </row>
    <row r="858" spans="39:43" x14ac:dyDescent="0.25">
      <c r="AM858" s="77"/>
    </row>
    <row r="859" spans="39:43" x14ac:dyDescent="0.25">
      <c r="AM859" s="77"/>
    </row>
    <row r="860" spans="39:43" x14ac:dyDescent="0.25">
      <c r="AM860" s="77"/>
    </row>
    <row r="861" spans="39:43" x14ac:dyDescent="0.25">
      <c r="AM861" s="77"/>
    </row>
    <row r="862" spans="39:43" x14ac:dyDescent="0.25">
      <c r="AM862" s="77"/>
    </row>
    <row r="863" spans="39:43" x14ac:dyDescent="0.25">
      <c r="AM863" s="77"/>
    </row>
    <row r="864" spans="39:43" x14ac:dyDescent="0.25">
      <c r="AM864" s="77"/>
    </row>
    <row r="865" spans="39:39" x14ac:dyDescent="0.25">
      <c r="AM865" s="77"/>
    </row>
    <row r="866" spans="39:39" x14ac:dyDescent="0.25">
      <c r="AM866" s="77"/>
    </row>
    <row r="867" spans="39:39" x14ac:dyDescent="0.25">
      <c r="AM867" s="77"/>
    </row>
    <row r="868" spans="39:39" x14ac:dyDescent="0.25">
      <c r="AM868" s="77"/>
    </row>
    <row r="869" spans="39:39" x14ac:dyDescent="0.25">
      <c r="AM869" s="77"/>
    </row>
    <row r="870" spans="39:39" x14ac:dyDescent="0.25">
      <c r="AM870" s="77"/>
    </row>
    <row r="871" spans="39:39" x14ac:dyDescent="0.25">
      <c r="AM871" s="77"/>
    </row>
    <row r="872" spans="39:39" x14ac:dyDescent="0.25">
      <c r="AM872" s="77"/>
    </row>
    <row r="873" spans="39:39" x14ac:dyDescent="0.25">
      <c r="AM873" s="77"/>
    </row>
    <row r="874" spans="39:39" x14ac:dyDescent="0.25">
      <c r="AM874" s="77"/>
    </row>
    <row r="875" spans="39:39" x14ac:dyDescent="0.25">
      <c r="AM875" s="77"/>
    </row>
    <row r="876" spans="39:39" x14ac:dyDescent="0.25">
      <c r="AM876" s="77"/>
    </row>
    <row r="877" spans="39:39" x14ac:dyDescent="0.25">
      <c r="AM877" s="77"/>
    </row>
    <row r="878" spans="39:39" x14ac:dyDescent="0.25">
      <c r="AM878" s="77"/>
    </row>
    <row r="879" spans="39:39" x14ac:dyDescent="0.25">
      <c r="AM879" s="77"/>
    </row>
    <row r="880" spans="39:39" x14ac:dyDescent="0.25">
      <c r="AM880" s="77"/>
    </row>
    <row r="881" spans="39:39" x14ac:dyDescent="0.25">
      <c r="AM881" s="77"/>
    </row>
    <row r="882" spans="39:39" x14ac:dyDescent="0.25">
      <c r="AM882" s="77"/>
    </row>
    <row r="883" spans="39:39" x14ac:dyDescent="0.25">
      <c r="AM883" s="77"/>
    </row>
    <row r="884" spans="39:39" x14ac:dyDescent="0.25">
      <c r="AM884" s="77"/>
    </row>
    <row r="885" spans="39:39" x14ac:dyDescent="0.25">
      <c r="AM885" s="77"/>
    </row>
    <row r="886" spans="39:39" x14ac:dyDescent="0.25">
      <c r="AM886" s="77"/>
    </row>
    <row r="887" spans="39:39" x14ac:dyDescent="0.25">
      <c r="AM887" s="77"/>
    </row>
    <row r="888" spans="39:39" x14ac:dyDescent="0.25">
      <c r="AM888" s="77"/>
    </row>
    <row r="889" spans="39:39" x14ac:dyDescent="0.25">
      <c r="AM889" s="77"/>
    </row>
    <row r="890" spans="39:39" x14ac:dyDescent="0.25">
      <c r="AM890" s="77"/>
    </row>
    <row r="891" spans="39:39" x14ac:dyDescent="0.25">
      <c r="AM891" s="77"/>
    </row>
    <row r="892" spans="39:39" x14ac:dyDescent="0.25">
      <c r="AM892" s="77"/>
    </row>
    <row r="893" spans="39:39" x14ac:dyDescent="0.25">
      <c r="AM893" s="77"/>
    </row>
    <row r="894" spans="39:39" x14ac:dyDescent="0.25">
      <c r="AM894" s="77"/>
    </row>
    <row r="895" spans="39:39" x14ac:dyDescent="0.25">
      <c r="AM895" s="77"/>
    </row>
    <row r="896" spans="39:39" x14ac:dyDescent="0.25">
      <c r="AM896" s="77"/>
    </row>
    <row r="897" spans="39:39" x14ac:dyDescent="0.25">
      <c r="AM897" s="77"/>
    </row>
    <row r="898" spans="39:39" x14ac:dyDescent="0.25">
      <c r="AM898" s="77"/>
    </row>
    <row r="899" spans="39:39" x14ac:dyDescent="0.25">
      <c r="AM899" s="77"/>
    </row>
    <row r="900" spans="39:39" x14ac:dyDescent="0.25">
      <c r="AM900" s="77"/>
    </row>
    <row r="901" spans="39:39" x14ac:dyDescent="0.25">
      <c r="AM901" s="77"/>
    </row>
    <row r="902" spans="39:39" x14ac:dyDescent="0.25">
      <c r="AM902" s="77"/>
    </row>
    <row r="903" spans="39:39" x14ac:dyDescent="0.25">
      <c r="AM903" s="77"/>
    </row>
    <row r="904" spans="39:39" x14ac:dyDescent="0.25">
      <c r="AM904" s="77"/>
    </row>
    <row r="905" spans="39:39" x14ac:dyDescent="0.25">
      <c r="AM905" s="77"/>
    </row>
    <row r="906" spans="39:39" x14ac:dyDescent="0.25">
      <c r="AM906" s="77"/>
    </row>
    <row r="907" spans="39:39" x14ac:dyDescent="0.25">
      <c r="AM907" s="77"/>
    </row>
    <row r="908" spans="39:39" x14ac:dyDescent="0.25">
      <c r="AM908" s="77"/>
    </row>
    <row r="909" spans="39:39" x14ac:dyDescent="0.25">
      <c r="AM909" s="77"/>
    </row>
    <row r="910" spans="39:39" x14ac:dyDescent="0.25">
      <c r="AM910" s="77"/>
    </row>
    <row r="911" spans="39:39" x14ac:dyDescent="0.25">
      <c r="AM911" s="77"/>
    </row>
    <row r="912" spans="39:39" x14ac:dyDescent="0.25">
      <c r="AM912" s="77"/>
    </row>
    <row r="913" spans="39:39" x14ac:dyDescent="0.25">
      <c r="AM913" s="77"/>
    </row>
    <row r="914" spans="39:39" x14ac:dyDescent="0.25">
      <c r="AM914" s="77"/>
    </row>
    <row r="915" spans="39:39" x14ac:dyDescent="0.25">
      <c r="AM915" s="77"/>
    </row>
    <row r="916" spans="39:39" x14ac:dyDescent="0.25">
      <c r="AM916" s="77"/>
    </row>
    <row r="917" spans="39:39" x14ac:dyDescent="0.25">
      <c r="AM917" s="77"/>
    </row>
    <row r="918" spans="39:39" x14ac:dyDescent="0.25">
      <c r="AM918" s="77"/>
    </row>
    <row r="919" spans="39:39" x14ac:dyDescent="0.25">
      <c r="AM919" s="77"/>
    </row>
    <row r="920" spans="39:39" x14ac:dyDescent="0.25">
      <c r="AM920" s="77"/>
    </row>
    <row r="921" spans="39:39" x14ac:dyDescent="0.25">
      <c r="AM921" s="77"/>
    </row>
    <row r="922" spans="39:39" x14ac:dyDescent="0.25">
      <c r="AM922" s="77"/>
    </row>
    <row r="923" spans="39:39" x14ac:dyDescent="0.25">
      <c r="AM923" s="77"/>
    </row>
    <row r="924" spans="39:39" x14ac:dyDescent="0.25">
      <c r="AM924" s="77"/>
    </row>
    <row r="925" spans="39:39" x14ac:dyDescent="0.25">
      <c r="AM925" s="77"/>
    </row>
    <row r="926" spans="39:39" x14ac:dyDescent="0.25">
      <c r="AM926" s="77"/>
    </row>
    <row r="927" spans="39:39" x14ac:dyDescent="0.25">
      <c r="AM927" s="77"/>
    </row>
    <row r="928" spans="39:39" x14ac:dyDescent="0.25">
      <c r="AM928" s="77"/>
    </row>
    <row r="929" spans="39:39" x14ac:dyDescent="0.25">
      <c r="AM929" s="77"/>
    </row>
    <row r="930" spans="39:39" x14ac:dyDescent="0.25">
      <c r="AM930" s="77"/>
    </row>
    <row r="931" spans="39:39" x14ac:dyDescent="0.25">
      <c r="AM931" s="77"/>
    </row>
    <row r="932" spans="39:39" x14ac:dyDescent="0.25">
      <c r="AM932" s="77"/>
    </row>
    <row r="933" spans="39:39" x14ac:dyDescent="0.25">
      <c r="AM933" s="77"/>
    </row>
    <row r="934" spans="39:39" x14ac:dyDescent="0.25">
      <c r="AM934" s="77"/>
    </row>
    <row r="935" spans="39:39" x14ac:dyDescent="0.25">
      <c r="AM935" s="77"/>
    </row>
    <row r="936" spans="39:39" x14ac:dyDescent="0.25">
      <c r="AM936" s="77"/>
    </row>
    <row r="937" spans="39:39" x14ac:dyDescent="0.25">
      <c r="AM937" s="77"/>
    </row>
    <row r="938" spans="39:39" x14ac:dyDescent="0.25">
      <c r="AM938" s="77"/>
    </row>
    <row r="939" spans="39:39" x14ac:dyDescent="0.25">
      <c r="AM939" s="77"/>
    </row>
    <row r="940" spans="39:39" x14ac:dyDescent="0.25">
      <c r="AM940" s="77"/>
    </row>
    <row r="941" spans="39:39" x14ac:dyDescent="0.25">
      <c r="AM941" s="77"/>
    </row>
    <row r="942" spans="39:39" x14ac:dyDescent="0.25">
      <c r="AM942" s="77"/>
    </row>
    <row r="943" spans="39:39" x14ac:dyDescent="0.25">
      <c r="AM943" s="77"/>
    </row>
    <row r="944" spans="39:39" x14ac:dyDescent="0.25">
      <c r="AM944" s="77"/>
    </row>
    <row r="945" spans="39:39" x14ac:dyDescent="0.25">
      <c r="AM945" s="77"/>
    </row>
    <row r="946" spans="39:39" x14ac:dyDescent="0.25">
      <c r="AM946" s="77"/>
    </row>
    <row r="947" spans="39:39" x14ac:dyDescent="0.25">
      <c r="AM947" s="77"/>
    </row>
    <row r="948" spans="39:39" x14ac:dyDescent="0.25">
      <c r="AM948" s="77"/>
    </row>
    <row r="949" spans="39:39" x14ac:dyDescent="0.25">
      <c r="AM949" s="77"/>
    </row>
    <row r="950" spans="39:39" x14ac:dyDescent="0.25">
      <c r="AM950" s="77"/>
    </row>
    <row r="951" spans="39:39" x14ac:dyDescent="0.25">
      <c r="AM951" s="77"/>
    </row>
    <row r="952" spans="39:39" x14ac:dyDescent="0.25">
      <c r="AM952" s="77"/>
    </row>
    <row r="953" spans="39:39" x14ac:dyDescent="0.25">
      <c r="AM953" s="77"/>
    </row>
    <row r="954" spans="39:39" x14ac:dyDescent="0.25">
      <c r="AM954" s="77"/>
    </row>
    <row r="955" spans="39:39" x14ac:dyDescent="0.25">
      <c r="AM955" s="77"/>
    </row>
    <row r="956" spans="39:39" x14ac:dyDescent="0.25">
      <c r="AM956" s="77"/>
    </row>
    <row r="957" spans="39:39" x14ac:dyDescent="0.25">
      <c r="AM957" s="77"/>
    </row>
    <row r="958" spans="39:39" x14ac:dyDescent="0.25">
      <c r="AM958" s="77"/>
    </row>
    <row r="959" spans="39:39" x14ac:dyDescent="0.25">
      <c r="AM959" s="77"/>
    </row>
    <row r="960" spans="39:39" x14ac:dyDescent="0.25">
      <c r="AM960" s="77"/>
    </row>
    <row r="961" spans="39:39" x14ac:dyDescent="0.25">
      <c r="AM961" s="77"/>
    </row>
    <row r="962" spans="39:39" x14ac:dyDescent="0.25">
      <c r="AM962" s="77"/>
    </row>
    <row r="963" spans="39:39" x14ac:dyDescent="0.25">
      <c r="AM963" s="77"/>
    </row>
    <row r="964" spans="39:39" x14ac:dyDescent="0.25">
      <c r="AM964" s="77"/>
    </row>
    <row r="965" spans="39:39" x14ac:dyDescent="0.25">
      <c r="AM965" s="77"/>
    </row>
    <row r="966" spans="39:39" x14ac:dyDescent="0.25">
      <c r="AM966" s="77"/>
    </row>
    <row r="967" spans="39:39" x14ac:dyDescent="0.25">
      <c r="AM967" s="77"/>
    </row>
    <row r="968" spans="39:39" x14ac:dyDescent="0.25">
      <c r="AM968" s="77"/>
    </row>
    <row r="969" spans="39:39" x14ac:dyDescent="0.25">
      <c r="AM969" s="77"/>
    </row>
    <row r="970" spans="39:39" x14ac:dyDescent="0.25">
      <c r="AM970" s="77"/>
    </row>
    <row r="971" spans="39:39" x14ac:dyDescent="0.25">
      <c r="AM971" s="77"/>
    </row>
    <row r="972" spans="39:39" x14ac:dyDescent="0.25">
      <c r="AM972" s="77"/>
    </row>
    <row r="973" spans="39:39" x14ac:dyDescent="0.25">
      <c r="AM973" s="77"/>
    </row>
    <row r="974" spans="39:39" x14ac:dyDescent="0.25">
      <c r="AM974" s="77"/>
    </row>
    <row r="975" spans="39:39" x14ac:dyDescent="0.25">
      <c r="AM975" s="77"/>
    </row>
    <row r="976" spans="39:39" x14ac:dyDescent="0.25">
      <c r="AM976" s="77"/>
    </row>
    <row r="977" spans="39:39" x14ac:dyDescent="0.25">
      <c r="AM977" s="77"/>
    </row>
    <row r="978" spans="39:39" x14ac:dyDescent="0.25">
      <c r="AM978" s="77"/>
    </row>
    <row r="979" spans="39:39" x14ac:dyDescent="0.25">
      <c r="AM979" s="77"/>
    </row>
    <row r="980" spans="39:39" x14ac:dyDescent="0.25">
      <c r="AM980" s="77"/>
    </row>
    <row r="981" spans="39:39" x14ac:dyDescent="0.25">
      <c r="AM981" s="77"/>
    </row>
    <row r="982" spans="39:39" x14ac:dyDescent="0.25">
      <c r="AM982" s="77"/>
    </row>
    <row r="983" spans="39:39" x14ac:dyDescent="0.25">
      <c r="AM983" s="77"/>
    </row>
    <row r="984" spans="39:39" x14ac:dyDescent="0.25">
      <c r="AM984" s="77"/>
    </row>
    <row r="985" spans="39:39" x14ac:dyDescent="0.25">
      <c r="AM985" s="77"/>
    </row>
    <row r="986" spans="39:39" x14ac:dyDescent="0.25">
      <c r="AM986" s="77"/>
    </row>
    <row r="987" spans="39:39" x14ac:dyDescent="0.25">
      <c r="AM987" s="77"/>
    </row>
    <row r="988" spans="39:39" x14ac:dyDescent="0.25">
      <c r="AM988" s="77"/>
    </row>
    <row r="989" spans="39:39" x14ac:dyDescent="0.25">
      <c r="AM989" s="77"/>
    </row>
    <row r="990" spans="39:39" x14ac:dyDescent="0.25">
      <c r="AM990" s="77"/>
    </row>
    <row r="991" spans="39:39" x14ac:dyDescent="0.25">
      <c r="AM991" s="77"/>
    </row>
    <row r="992" spans="39:39" x14ac:dyDescent="0.25">
      <c r="AM992" s="77"/>
    </row>
    <row r="993" spans="39:39" x14ac:dyDescent="0.25">
      <c r="AM993" s="77"/>
    </row>
    <row r="994" spans="39:39" x14ac:dyDescent="0.25">
      <c r="AM994" s="77"/>
    </row>
    <row r="995" spans="39:39" x14ac:dyDescent="0.25">
      <c r="AM995" s="77"/>
    </row>
    <row r="996" spans="39:39" x14ac:dyDescent="0.25">
      <c r="AM996" s="77"/>
    </row>
    <row r="997" spans="39:39" x14ac:dyDescent="0.25">
      <c r="AM997" s="77"/>
    </row>
    <row r="998" spans="39:39" x14ac:dyDescent="0.25">
      <c r="AM998" s="77"/>
    </row>
    <row r="999" spans="39:39" x14ac:dyDescent="0.25">
      <c r="AM999" s="77"/>
    </row>
    <row r="1000" spans="39:39" x14ac:dyDescent="0.25">
      <c r="AM1000" s="77"/>
    </row>
    <row r="1001" spans="39:39" x14ac:dyDescent="0.25">
      <c r="AM1001" s="77"/>
    </row>
    <row r="1002" spans="39:39" x14ac:dyDescent="0.25">
      <c r="AM1002" s="77"/>
    </row>
    <row r="1003" spans="39:39" x14ac:dyDescent="0.25">
      <c r="AM1003" s="77"/>
    </row>
    <row r="1004" spans="39:39" x14ac:dyDescent="0.25">
      <c r="AM1004" s="77"/>
    </row>
    <row r="1005" spans="39:39" x14ac:dyDescent="0.25">
      <c r="AM1005" s="77"/>
    </row>
    <row r="1006" spans="39:39" x14ac:dyDescent="0.25">
      <c r="AM1006" s="77"/>
    </row>
    <row r="1007" spans="39:39" x14ac:dyDescent="0.25">
      <c r="AM1007" s="77"/>
    </row>
    <row r="1008" spans="39:39" x14ac:dyDescent="0.25">
      <c r="AM1008" s="77"/>
    </row>
    <row r="1009" spans="39:39" x14ac:dyDescent="0.25">
      <c r="AM1009" s="77"/>
    </row>
    <row r="1010" spans="39:39" x14ac:dyDescent="0.25">
      <c r="AM1010" s="77"/>
    </row>
    <row r="1011" spans="39:39" x14ac:dyDescent="0.25">
      <c r="AM1011" s="77"/>
    </row>
    <row r="1012" spans="39:39" x14ac:dyDescent="0.25">
      <c r="AM1012" s="77"/>
    </row>
    <row r="1013" spans="39:39" x14ac:dyDescent="0.25">
      <c r="AM1013" s="77"/>
    </row>
    <row r="1014" spans="39:39" x14ac:dyDescent="0.25">
      <c r="AM1014" s="77"/>
    </row>
    <row r="1015" spans="39:39" x14ac:dyDescent="0.25">
      <c r="AM1015" s="77"/>
    </row>
    <row r="1016" spans="39:39" x14ac:dyDescent="0.25">
      <c r="AM1016" s="77"/>
    </row>
    <row r="1017" spans="39:39" x14ac:dyDescent="0.25">
      <c r="AM1017" s="77"/>
    </row>
    <row r="1018" spans="39:39" x14ac:dyDescent="0.25">
      <c r="AM1018" s="77"/>
    </row>
    <row r="1019" spans="39:39" x14ac:dyDescent="0.25">
      <c r="AM1019" s="77"/>
    </row>
    <row r="1020" spans="39:39" x14ac:dyDescent="0.25">
      <c r="AM1020" s="77"/>
    </row>
    <row r="1021" spans="39:39" x14ac:dyDescent="0.25">
      <c r="AM1021" s="77"/>
    </row>
    <row r="1022" spans="39:39" x14ac:dyDescent="0.25">
      <c r="AM1022" s="77"/>
    </row>
    <row r="1023" spans="39:39" x14ac:dyDescent="0.25">
      <c r="AM1023" s="77"/>
    </row>
    <row r="1024" spans="39:39" x14ac:dyDescent="0.25">
      <c r="AM1024" s="77"/>
    </row>
    <row r="1025" spans="39:39" x14ac:dyDescent="0.25">
      <c r="AM1025" s="77"/>
    </row>
    <row r="1026" spans="39:39" x14ac:dyDescent="0.25">
      <c r="AM1026" s="77"/>
    </row>
    <row r="1027" spans="39:39" x14ac:dyDescent="0.25">
      <c r="AM1027" s="77"/>
    </row>
    <row r="1028" spans="39:39" x14ac:dyDescent="0.25">
      <c r="AM1028" s="77"/>
    </row>
    <row r="1029" spans="39:39" x14ac:dyDescent="0.25">
      <c r="AM1029" s="77"/>
    </row>
    <row r="1030" spans="39:39" x14ac:dyDescent="0.25">
      <c r="AM1030" s="77"/>
    </row>
    <row r="1031" spans="39:39" x14ac:dyDescent="0.25">
      <c r="AM1031" s="77"/>
    </row>
    <row r="1032" spans="39:39" x14ac:dyDescent="0.25">
      <c r="AM1032" s="77"/>
    </row>
    <row r="1033" spans="39:39" x14ac:dyDescent="0.25">
      <c r="AM1033" s="77"/>
    </row>
    <row r="1034" spans="39:39" x14ac:dyDescent="0.25">
      <c r="AM1034" s="77"/>
    </row>
    <row r="1035" spans="39:39" x14ac:dyDescent="0.25">
      <c r="AM1035" s="77"/>
    </row>
  </sheetData>
  <sheetProtection algorithmName="SHA-512" hashValue="8OaPYgZWlySuP6KwO4/dUuyElJDPzO9tOm9mZoj4E9ptfyHLj0wzMINYUc1ErFEaF6gBHBCJNQOXWLYK7f1AmQ==" saltValue="41GZo0KCtbYEeCreDX0JPQ==" spinCount="100000" sheet="1" formatCells="0" formatRows="0" insertRows="0"/>
  <mergeCells count="406">
    <mergeCell ref="A1:AL1"/>
    <mergeCell ref="A164:AL164"/>
    <mergeCell ref="A110:AL110"/>
    <mergeCell ref="A161:AL161"/>
    <mergeCell ref="A111:AL111"/>
    <mergeCell ref="A109:AI109"/>
    <mergeCell ref="AJ109:AL109"/>
    <mergeCell ref="AH115:AJ115"/>
    <mergeCell ref="AK115:AL115"/>
    <mergeCell ref="AH117:AJ117"/>
    <mergeCell ref="AK117:AL117"/>
    <mergeCell ref="P118:S118"/>
    <mergeCell ref="T118:Z118"/>
    <mergeCell ref="AA118:AG118"/>
    <mergeCell ref="B117:F117"/>
    <mergeCell ref="G117:K117"/>
    <mergeCell ref="L117:O117"/>
    <mergeCell ref="AH116:AJ116"/>
    <mergeCell ref="AK116:AL116"/>
    <mergeCell ref="P116:S116"/>
    <mergeCell ref="T116:Z116"/>
    <mergeCell ref="AA116:AG116"/>
    <mergeCell ref="AK119:AL119"/>
    <mergeCell ref="AH114:AJ114"/>
    <mergeCell ref="AK114:AL114"/>
    <mergeCell ref="A105:Z106"/>
    <mergeCell ref="AA105:AI105"/>
    <mergeCell ref="AJ105:AL105"/>
    <mergeCell ref="AA106:AI106"/>
    <mergeCell ref="AJ106:AL106"/>
    <mergeCell ref="A107:AL107"/>
    <mergeCell ref="A108:AI108"/>
    <mergeCell ref="AJ108:AL108"/>
    <mergeCell ref="A102:Z102"/>
    <mergeCell ref="AA102:AL102"/>
    <mergeCell ref="AA103:AI103"/>
    <mergeCell ref="AJ103:AL103"/>
    <mergeCell ref="AA104:AI104"/>
    <mergeCell ref="AJ104:AL104"/>
    <mergeCell ref="A97:AL97"/>
    <mergeCell ref="A98:Z98"/>
    <mergeCell ref="AA98:AL98"/>
    <mergeCell ref="A99:Z99"/>
    <mergeCell ref="AA99:AL99"/>
    <mergeCell ref="A100:Z101"/>
    <mergeCell ref="AA100:AI100"/>
    <mergeCell ref="AJ100:AL100"/>
    <mergeCell ref="AA101:AI101"/>
    <mergeCell ref="AJ101:AL101"/>
    <mergeCell ref="AM165:AM166"/>
    <mergeCell ref="A155:AL155"/>
    <mergeCell ref="A156:AL156"/>
    <mergeCell ref="A167:AL171"/>
    <mergeCell ref="B47:Y47"/>
    <mergeCell ref="B48:Y48"/>
    <mergeCell ref="B49:Y49"/>
    <mergeCell ref="B50:Y50"/>
    <mergeCell ref="B51:Y51"/>
    <mergeCell ref="B124:F124"/>
    <mergeCell ref="G124:K124"/>
    <mergeCell ref="L124:O124"/>
    <mergeCell ref="B125:F125"/>
    <mergeCell ref="G125:K125"/>
    <mergeCell ref="L125:O125"/>
    <mergeCell ref="B118:F118"/>
    <mergeCell ref="G118:K118"/>
    <mergeCell ref="L118:O118"/>
    <mergeCell ref="B119:F119"/>
    <mergeCell ref="G119:K119"/>
    <mergeCell ref="L119:O119"/>
    <mergeCell ref="A95:AL95"/>
    <mergeCell ref="A112:AL112"/>
    <mergeCell ref="A93:AL93"/>
    <mergeCell ref="A94:AL94"/>
    <mergeCell ref="B120:F120"/>
    <mergeCell ref="G120:K120"/>
    <mergeCell ref="L120:O120"/>
    <mergeCell ref="L114:O114"/>
    <mergeCell ref="B115:F115"/>
    <mergeCell ref="G115:K115"/>
    <mergeCell ref="B113:F113"/>
    <mergeCell ref="G113:K113"/>
    <mergeCell ref="L113:O113"/>
    <mergeCell ref="B114:F114"/>
    <mergeCell ref="G114:K114"/>
    <mergeCell ref="A96:AL96"/>
    <mergeCell ref="P114:S114"/>
    <mergeCell ref="L115:O115"/>
    <mergeCell ref="T114:Z114"/>
    <mergeCell ref="P113:S113"/>
    <mergeCell ref="T113:Z113"/>
    <mergeCell ref="AA113:AG113"/>
    <mergeCell ref="AH113:AJ113"/>
    <mergeCell ref="AK113:AL113"/>
    <mergeCell ref="P115:S115"/>
    <mergeCell ref="T115:Z115"/>
    <mergeCell ref="AA115:AG115"/>
    <mergeCell ref="B70:AL70"/>
    <mergeCell ref="A71:AL71"/>
    <mergeCell ref="A74:AL74"/>
    <mergeCell ref="AK49:AL49"/>
    <mergeCell ref="AK50:AL50"/>
    <mergeCell ref="AK51:AL51"/>
    <mergeCell ref="B72:AL72"/>
    <mergeCell ref="B75:AL75"/>
    <mergeCell ref="A83:AL83"/>
    <mergeCell ref="AB66:AL66"/>
    <mergeCell ref="B67:AA67"/>
    <mergeCell ref="AB67:AL67"/>
    <mergeCell ref="B68:AA68"/>
    <mergeCell ref="B61:R61"/>
    <mergeCell ref="S61:AL61"/>
    <mergeCell ref="B62:R62"/>
    <mergeCell ref="S62:AL62"/>
    <mergeCell ref="B63:R63"/>
    <mergeCell ref="S63:AL63"/>
    <mergeCell ref="AB68:AL68"/>
    <mergeCell ref="B69:AA69"/>
    <mergeCell ref="AB69:AL69"/>
    <mergeCell ref="A73:AL73"/>
    <mergeCell ref="Z50:AJ50"/>
    <mergeCell ref="A65:A69"/>
    <mergeCell ref="B65:AL65"/>
    <mergeCell ref="B66:AA66"/>
    <mergeCell ref="B58:R58"/>
    <mergeCell ref="Z51:AJ51"/>
    <mergeCell ref="B52:AL52"/>
    <mergeCell ref="B53:AL53"/>
    <mergeCell ref="B54:R54"/>
    <mergeCell ref="S54:AL54"/>
    <mergeCell ref="B55:R55"/>
    <mergeCell ref="S55:AL55"/>
    <mergeCell ref="B56:R56"/>
    <mergeCell ref="S56:AL56"/>
    <mergeCell ref="B121:F121"/>
    <mergeCell ref="G121:K121"/>
    <mergeCell ref="L121:O121"/>
    <mergeCell ref="B116:F116"/>
    <mergeCell ref="G116:K116"/>
    <mergeCell ref="L116:O116"/>
    <mergeCell ref="P120:S120"/>
    <mergeCell ref="T120:Z120"/>
    <mergeCell ref="AA120:AG120"/>
    <mergeCell ref="AA121:AG121"/>
    <mergeCell ref="P117:S117"/>
    <mergeCell ref="P121:S121"/>
    <mergeCell ref="T121:Z121"/>
    <mergeCell ref="T117:Z117"/>
    <mergeCell ref="AH120:AJ120"/>
    <mergeCell ref="AK120:AL120"/>
    <mergeCell ref="P119:S119"/>
    <mergeCell ref="T119:Z119"/>
    <mergeCell ref="AA119:AG119"/>
    <mergeCell ref="AH119:AJ119"/>
    <mergeCell ref="AH118:AJ118"/>
    <mergeCell ref="AK118:AL118"/>
    <mergeCell ref="AA117:AG117"/>
    <mergeCell ref="B131:F131"/>
    <mergeCell ref="G131:K131"/>
    <mergeCell ref="L131:O131"/>
    <mergeCell ref="B127:F127"/>
    <mergeCell ref="G127:K127"/>
    <mergeCell ref="L127:O127"/>
    <mergeCell ref="B128:F128"/>
    <mergeCell ref="G128:K128"/>
    <mergeCell ref="L128:O128"/>
    <mergeCell ref="B129:F129"/>
    <mergeCell ref="G129:K129"/>
    <mergeCell ref="L129:O129"/>
    <mergeCell ref="B130:F130"/>
    <mergeCell ref="G130:K130"/>
    <mergeCell ref="L130:O130"/>
    <mergeCell ref="P129:S129"/>
    <mergeCell ref="T129:Z129"/>
    <mergeCell ref="AK126:AL126"/>
    <mergeCell ref="AA123:AG123"/>
    <mergeCell ref="AH123:AJ123"/>
    <mergeCell ref="AK123:AL123"/>
    <mergeCell ref="P124:S124"/>
    <mergeCell ref="T124:Z124"/>
    <mergeCell ref="AA124:AG124"/>
    <mergeCell ref="AH124:AJ124"/>
    <mergeCell ref="AK124:AL124"/>
    <mergeCell ref="AA129:AG129"/>
    <mergeCell ref="B123:F123"/>
    <mergeCell ref="G123:K123"/>
    <mergeCell ref="L123:O123"/>
    <mergeCell ref="B126:F126"/>
    <mergeCell ref="G126:K126"/>
    <mergeCell ref="L126:O126"/>
    <mergeCell ref="P125:S125"/>
    <mergeCell ref="AH126:AJ126"/>
    <mergeCell ref="P128:S128"/>
    <mergeCell ref="T128:Z128"/>
    <mergeCell ref="AA128:AG128"/>
    <mergeCell ref="A166:AL166"/>
    <mergeCell ref="A144:AL144"/>
    <mergeCell ref="A145:AL145"/>
    <mergeCell ref="A163:AL163"/>
    <mergeCell ref="A165:AL165"/>
    <mergeCell ref="AH125:AJ125"/>
    <mergeCell ref="AK125:AL125"/>
    <mergeCell ref="P126:S126"/>
    <mergeCell ref="T126:Z126"/>
    <mergeCell ref="AA126:AG126"/>
    <mergeCell ref="AH129:AJ129"/>
    <mergeCell ref="AK129:AL129"/>
    <mergeCell ref="P130:S130"/>
    <mergeCell ref="T130:Z130"/>
    <mergeCell ref="AA130:AG130"/>
    <mergeCell ref="AH130:AJ130"/>
    <mergeCell ref="P127:S127"/>
    <mergeCell ref="T127:Z127"/>
    <mergeCell ref="AA127:AG127"/>
    <mergeCell ref="AH127:AJ127"/>
    <mergeCell ref="AK127:AL127"/>
    <mergeCell ref="T125:Z125"/>
    <mergeCell ref="AA125:AG125"/>
    <mergeCell ref="AK130:AL130"/>
    <mergeCell ref="P131:S131"/>
    <mergeCell ref="AM86:AV86"/>
    <mergeCell ref="AM87:AU88"/>
    <mergeCell ref="A88:AL88"/>
    <mergeCell ref="AM89:AZ92"/>
    <mergeCell ref="A92:AL92"/>
    <mergeCell ref="A90:AL90"/>
    <mergeCell ref="A91:AL91"/>
    <mergeCell ref="AA114:AG114"/>
    <mergeCell ref="AH121:AJ121"/>
    <mergeCell ref="AK121:AL121"/>
    <mergeCell ref="P122:S122"/>
    <mergeCell ref="T122:Z122"/>
    <mergeCell ref="AA122:AG122"/>
    <mergeCell ref="AH122:AJ122"/>
    <mergeCell ref="AK122:AL122"/>
    <mergeCell ref="P123:S123"/>
    <mergeCell ref="T123:Z123"/>
    <mergeCell ref="A103:Z104"/>
    <mergeCell ref="AH128:AJ128"/>
    <mergeCell ref="AK128:AL128"/>
    <mergeCell ref="B122:F122"/>
    <mergeCell ref="G122:K122"/>
    <mergeCell ref="L122:O122"/>
    <mergeCell ref="AM84:AV84"/>
    <mergeCell ref="A85:AL85"/>
    <mergeCell ref="A86:AL86"/>
    <mergeCell ref="A87:AL87"/>
    <mergeCell ref="A89:AL89"/>
    <mergeCell ref="A84:AL84"/>
    <mergeCell ref="AM75:AU76"/>
    <mergeCell ref="A76:AL76"/>
    <mergeCell ref="A78:AL78"/>
    <mergeCell ref="A79:AL79"/>
    <mergeCell ref="A80:AL80"/>
    <mergeCell ref="AM80:AT80"/>
    <mergeCell ref="A77:AL77"/>
    <mergeCell ref="A82:AL82"/>
    <mergeCell ref="A81:AL81"/>
    <mergeCell ref="W24:AL24"/>
    <mergeCell ref="B25:V25"/>
    <mergeCell ref="W25:AL25"/>
    <mergeCell ref="B28:AL28"/>
    <mergeCell ref="B29:AL29"/>
    <mergeCell ref="B30:AL30"/>
    <mergeCell ref="B31:AL31"/>
    <mergeCell ref="B57:R57"/>
    <mergeCell ref="B64:R64"/>
    <mergeCell ref="S57:AL57"/>
    <mergeCell ref="B59:AL59"/>
    <mergeCell ref="B60:R60"/>
    <mergeCell ref="S60:AL60"/>
    <mergeCell ref="B42:AL42"/>
    <mergeCell ref="B39:AL39"/>
    <mergeCell ref="B26:AL26"/>
    <mergeCell ref="B27:AL27"/>
    <mergeCell ref="B32:AL32"/>
    <mergeCell ref="B33:AL33"/>
    <mergeCell ref="B34:AL34"/>
    <mergeCell ref="B24:V24"/>
    <mergeCell ref="A8:P8"/>
    <mergeCell ref="Q8:AL8"/>
    <mergeCell ref="A9:AL9"/>
    <mergeCell ref="A18:A19"/>
    <mergeCell ref="B18:AL18"/>
    <mergeCell ref="B19:AL19"/>
    <mergeCell ref="A20:A23"/>
    <mergeCell ref="B20:AL20"/>
    <mergeCell ref="B21:AL21"/>
    <mergeCell ref="A11:AL11"/>
    <mergeCell ref="A12:AL12"/>
    <mergeCell ref="A13:AL13"/>
    <mergeCell ref="A15:AK15"/>
    <mergeCell ref="A16:A17"/>
    <mergeCell ref="B16:AL16"/>
    <mergeCell ref="B17:AL17"/>
    <mergeCell ref="B22:AL22"/>
    <mergeCell ref="B23:AL23"/>
    <mergeCell ref="A4:F4"/>
    <mergeCell ref="H4:L4"/>
    <mergeCell ref="A5:F5"/>
    <mergeCell ref="H5:L5"/>
    <mergeCell ref="A7:F7"/>
    <mergeCell ref="G7:L7"/>
    <mergeCell ref="N7:P7"/>
    <mergeCell ref="Q7:AA7"/>
    <mergeCell ref="T132:Z132"/>
    <mergeCell ref="AA132:AG132"/>
    <mergeCell ref="B38:S38"/>
    <mergeCell ref="T38:AL38"/>
    <mergeCell ref="T131:Z131"/>
    <mergeCell ref="AK131:AL131"/>
    <mergeCell ref="P132:S132"/>
    <mergeCell ref="B132:F132"/>
    <mergeCell ref="G132:K132"/>
    <mergeCell ref="AH131:AJ131"/>
    <mergeCell ref="AA131:AG131"/>
    <mergeCell ref="A24:A27"/>
    <mergeCell ref="A28:A36"/>
    <mergeCell ref="B35:AL35"/>
    <mergeCell ref="B36:AL36"/>
    <mergeCell ref="AB7:AE7"/>
    <mergeCell ref="A37:A38"/>
    <mergeCell ref="B37:AL37"/>
    <mergeCell ref="B43:AL43"/>
    <mergeCell ref="S58:AL58"/>
    <mergeCell ref="S64:AL64"/>
    <mergeCell ref="A44:A45"/>
    <mergeCell ref="B44:AL44"/>
    <mergeCell ref="A46:A51"/>
    <mergeCell ref="B46:AL46"/>
    <mergeCell ref="AK48:AL48"/>
    <mergeCell ref="Z47:AJ47"/>
    <mergeCell ref="AK47:AL47"/>
    <mergeCell ref="Z48:AJ48"/>
    <mergeCell ref="Z49:AJ49"/>
    <mergeCell ref="A40:A41"/>
    <mergeCell ref="B40:AL40"/>
    <mergeCell ref="B41:AL41"/>
    <mergeCell ref="B45:AL45"/>
    <mergeCell ref="A52:A64"/>
    <mergeCell ref="A42:A43"/>
    <mergeCell ref="AK136:AL136"/>
    <mergeCell ref="P135:S135"/>
    <mergeCell ref="AH136:AJ136"/>
    <mergeCell ref="AA135:AG135"/>
    <mergeCell ref="AH132:AJ132"/>
    <mergeCell ref="AK132:AL132"/>
    <mergeCell ref="AK133:AL133"/>
    <mergeCell ref="L132:O132"/>
    <mergeCell ref="P133:S133"/>
    <mergeCell ref="T133:Z133"/>
    <mergeCell ref="T135:Z135"/>
    <mergeCell ref="P134:S134"/>
    <mergeCell ref="T134:Z134"/>
    <mergeCell ref="T136:Z136"/>
    <mergeCell ref="AA133:AG133"/>
    <mergeCell ref="AK134:AL134"/>
    <mergeCell ref="AH135:AJ135"/>
    <mergeCell ref="AK135:AL135"/>
    <mergeCell ref="AA136:AG136"/>
    <mergeCell ref="P136:S136"/>
    <mergeCell ref="AA134:AG134"/>
    <mergeCell ref="AH134:AJ134"/>
    <mergeCell ref="AH133:AJ133"/>
    <mergeCell ref="L133:O133"/>
    <mergeCell ref="A148:AL148"/>
    <mergeCell ref="A149:AL149"/>
    <mergeCell ref="A157:AL157"/>
    <mergeCell ref="A158:AL158"/>
    <mergeCell ref="AK137:AL137"/>
    <mergeCell ref="B141:S141"/>
    <mergeCell ref="T141:AJ141"/>
    <mergeCell ref="B137:K137"/>
    <mergeCell ref="L137:O137"/>
    <mergeCell ref="B140:S140"/>
    <mergeCell ref="T139:AJ139"/>
    <mergeCell ref="P137:S137"/>
    <mergeCell ref="B139:S139"/>
    <mergeCell ref="A138:AL138"/>
    <mergeCell ref="T137:Z137"/>
    <mergeCell ref="AH137:AJ137"/>
    <mergeCell ref="AA137:AG137"/>
    <mergeCell ref="A162:AL162"/>
    <mergeCell ref="B134:F134"/>
    <mergeCell ref="G134:K134"/>
    <mergeCell ref="L134:O134"/>
    <mergeCell ref="B133:F133"/>
    <mergeCell ref="G133:K133"/>
    <mergeCell ref="B135:F135"/>
    <mergeCell ref="G135:K135"/>
    <mergeCell ref="L135:O135"/>
    <mergeCell ref="B136:F136"/>
    <mergeCell ref="G136:K136"/>
    <mergeCell ref="L136:O136"/>
    <mergeCell ref="A160:AL160"/>
    <mergeCell ref="T140:AJ140"/>
    <mergeCell ref="A142:AL142"/>
    <mergeCell ref="A143:AL143"/>
    <mergeCell ref="A147:AL147"/>
    <mergeCell ref="A146:AL146"/>
    <mergeCell ref="A150:AL150"/>
    <mergeCell ref="A151:AL151"/>
    <mergeCell ref="A152:AL152"/>
    <mergeCell ref="A153:AL153"/>
    <mergeCell ref="A154:AL154"/>
    <mergeCell ref="A159:AL159"/>
  </mergeCells>
  <conditionalFormatting sqref="A4 H4 A71 A73:A74 A76 A79 A81 A83 A85 A89 A91 AJ103:AJ106">
    <cfRule type="expression" dxfId="318" priority="338">
      <formula>IF(A4="",1,0)</formula>
    </cfRule>
  </conditionalFormatting>
  <conditionalFormatting sqref="A87">
    <cfRule type="expression" dxfId="317" priority="329">
      <formula>IF(A87="",1,0)</formula>
    </cfRule>
  </conditionalFormatting>
  <conditionalFormatting sqref="A94">
    <cfRule type="expression" dxfId="316" priority="182">
      <formula>IF(A94="",1,0)</formula>
    </cfRule>
  </conditionalFormatting>
  <conditionalFormatting sqref="A96:A100">
    <cfRule type="expression" dxfId="315" priority="2">
      <formula>IF(A96="",1,0)</formula>
    </cfRule>
  </conditionalFormatting>
  <conditionalFormatting sqref="A102:A103">
    <cfRule type="expression" dxfId="314" priority="5">
      <formula>IF(A102="",1,0)</formula>
    </cfRule>
  </conditionalFormatting>
  <conditionalFormatting sqref="A105">
    <cfRule type="expression" dxfId="313" priority="25">
      <formula>IF(A105="",1,0)</formula>
    </cfRule>
  </conditionalFormatting>
  <conditionalFormatting sqref="A108:A111">
    <cfRule type="expression" dxfId="312" priority="15">
      <formula>IF(A108="",1,0)</formula>
    </cfRule>
  </conditionalFormatting>
  <conditionalFormatting sqref="A142:A150">
    <cfRule type="expression" dxfId="311" priority="7">
      <formula>IF(A142="",1,0)</formula>
    </cfRule>
  </conditionalFormatting>
  <conditionalFormatting sqref="A152:A158">
    <cfRule type="expression" dxfId="310" priority="3">
      <formula>IF(A152="",1,0)</formula>
    </cfRule>
  </conditionalFormatting>
  <conditionalFormatting sqref="A160:A162">
    <cfRule type="expression" dxfId="309" priority="1">
      <formula>IF(A160="",1,0)</formula>
    </cfRule>
  </conditionalFormatting>
  <conditionalFormatting sqref="A165:A166">
    <cfRule type="expression" dxfId="308" priority="264">
      <formula>IF(A165="",1,0)</formula>
    </cfRule>
  </conditionalFormatting>
  <conditionalFormatting sqref="B21">
    <cfRule type="expression" dxfId="303" priority="30">
      <formula>IF(B21="",1,0)</formula>
    </cfRule>
  </conditionalFormatting>
  <conditionalFormatting sqref="B23">
    <cfRule type="expression" dxfId="302" priority="13">
      <formula>IF(B23="",1,0)</formula>
    </cfRule>
  </conditionalFormatting>
  <conditionalFormatting sqref="B30">
    <cfRule type="expression" dxfId="301" priority="86">
      <formula>IF(B30="",1,0)</formula>
    </cfRule>
  </conditionalFormatting>
  <conditionalFormatting sqref="B32">
    <cfRule type="expression" dxfId="300" priority="84">
      <formula>IF(B32="",1,0)</formula>
    </cfRule>
  </conditionalFormatting>
  <conditionalFormatting sqref="B34">
    <cfRule type="expression" dxfId="299" priority="85">
      <formula>IF(B34="",1,0)</formula>
    </cfRule>
  </conditionalFormatting>
  <conditionalFormatting sqref="B36">
    <cfRule type="expression" dxfId="298" priority="83">
      <formula>IF(B36="",1,0)</formula>
    </cfRule>
  </conditionalFormatting>
  <conditionalFormatting sqref="B38">
    <cfRule type="expression" dxfId="297" priority="14">
      <formula>IF(B38="",1,0)</formula>
    </cfRule>
  </conditionalFormatting>
  <conditionalFormatting sqref="B41:B43">
    <cfRule type="expression" dxfId="296" priority="75">
      <formula>IF(B41="",1,0)</formula>
    </cfRule>
  </conditionalFormatting>
  <conditionalFormatting sqref="B45">
    <cfRule type="expression" dxfId="295" priority="74">
      <formula>IF(B45="",1,0)</formula>
    </cfRule>
  </conditionalFormatting>
  <conditionalFormatting sqref="B53:B69">
    <cfRule type="expression" dxfId="294" priority="10">
      <formula>IF(B53="",1,0)</formula>
    </cfRule>
  </conditionalFormatting>
  <conditionalFormatting sqref="B115:B136">
    <cfRule type="expression" dxfId="293" priority="95">
      <formula>IF(B115="",1,0)</formula>
    </cfRule>
  </conditionalFormatting>
  <conditionalFormatting sqref="B17:AL17 B19">
    <cfRule type="expression" dxfId="292" priority="244">
      <formula>IF(B17="",1,0)</formula>
    </cfRule>
  </conditionalFormatting>
  <conditionalFormatting sqref="G115:G136">
    <cfRule type="expression" dxfId="291" priority="108">
      <formula>IF(G115="",1,0)</formula>
    </cfRule>
  </conditionalFormatting>
  <conditionalFormatting sqref="L115:L136">
    <cfRule type="expression" dxfId="290" priority="107">
      <formula>IF(L115="",1,0)</formula>
    </cfRule>
  </conditionalFormatting>
  <conditionalFormatting sqref="N7">
    <cfRule type="expression" dxfId="289" priority="33">
      <formula>IF(N7="",1,0)</formula>
    </cfRule>
  </conditionalFormatting>
  <conditionalFormatting sqref="P115:P136">
    <cfRule type="expression" dxfId="288" priority="105">
      <formula>IF(P115="",1,0)</formula>
    </cfRule>
  </conditionalFormatting>
  <conditionalFormatting sqref="Q8:AL8">
    <cfRule type="expression" dxfId="287" priority="31">
      <formula>IF(Q8="",1,0)</formula>
    </cfRule>
  </conditionalFormatting>
  <conditionalFormatting sqref="S54:S58">
    <cfRule type="expression" dxfId="286" priority="68">
      <formula>IF(S54="",1,0)</formula>
    </cfRule>
  </conditionalFormatting>
  <conditionalFormatting sqref="S60:S64">
    <cfRule type="expression" dxfId="285" priority="61">
      <formula>IF(S60="",1,0)</formula>
    </cfRule>
  </conditionalFormatting>
  <conditionalFormatting sqref="T139:T140">
    <cfRule type="expression" dxfId="284" priority="178">
      <formula>IF(T139="",1,0)</formula>
    </cfRule>
  </conditionalFormatting>
  <conditionalFormatting sqref="W25 B25:B27">
    <cfRule type="expression" dxfId="283" priority="87">
      <formula>IF(B25="",1,0)</formula>
    </cfRule>
  </conditionalFormatting>
  <conditionalFormatting sqref="Z48">
    <cfRule type="expression" dxfId="282" priority="201">
      <formula>IF(Z48="",1,0)</formula>
    </cfRule>
  </conditionalFormatting>
  <conditionalFormatting sqref="Z50">
    <cfRule type="expression" dxfId="281" priority="200">
      <formula>IF(Z50="",1,0)</formula>
    </cfRule>
  </conditionalFormatting>
  <conditionalFormatting sqref="Z51">
    <cfRule type="expression" dxfId="280" priority="7368">
      <formula>IF($Z$51&lt;&gt;$AK$137,1,0)</formula>
    </cfRule>
  </conditionalFormatting>
  <conditionalFormatting sqref="AA98:AA99 AA102">
    <cfRule type="expression" dxfId="279" priority="24">
      <formula>IF(AA98="",1,0)</formula>
    </cfRule>
  </conditionalFormatting>
  <conditionalFormatting sqref="AB7">
    <cfRule type="expression" dxfId="278" priority="32">
      <formula>IF(AB7="",1,0)</formula>
    </cfRule>
  </conditionalFormatting>
  <conditionalFormatting sqref="AB66:AB69">
    <cfRule type="expression" dxfId="277" priority="54">
      <formula>IF(AB66="",1,0)</formula>
    </cfRule>
  </conditionalFormatting>
  <conditionalFormatting sqref="AH115:AH136">
    <cfRule type="expression" dxfId="276" priority="113">
      <formula>IF(AH115="",1,0)</formula>
    </cfRule>
  </conditionalFormatting>
  <conditionalFormatting sqref="AJ100:AJ101">
    <cfRule type="expression" dxfId="275" priority="22">
      <formula>IF(AJ100="",1,0)</formula>
    </cfRule>
  </conditionalFormatting>
  <conditionalFormatting sqref="AJ108:AJ109">
    <cfRule type="expression" dxfId="274" priority="19">
      <formula>IF(AJ108="",1,0)</formula>
    </cfRule>
  </conditionalFormatting>
  <dataValidations xWindow="657" yWindow="729" count="37">
    <dataValidation type="textLength" operator="equal" allowBlank="1" showInputMessage="1" showErrorMessage="1" errorTitle="NIP" error="NIP to ciąg dziesięciu cyfr np. 5719611245" promptTitle="Wprowadź" prompt="NIP" sqref="B25:V25" xr:uid="{00000000-0002-0000-0B00-000000000000}">
      <formula1>10</formula1>
    </dataValidation>
    <dataValidation allowBlank="1" showInputMessage="1" showErrorMessage="1" promptTitle="Wybierz" sqref="A73:AL73" xr:uid="{00000000-0002-0000-0B00-000001000000}"/>
    <dataValidation type="textLength" operator="equal" allowBlank="1" showInputMessage="1" showErrorMessage="1" errorTitle="REGON" error="REGON to ciąg dziewięciu cyfr np. 571961124" promptTitle="Wprowadź" prompt="nr REGON" sqref="W25:AL25" xr:uid="{00000000-0002-0000-0B00-000003000000}">
      <formula1>9</formula1>
    </dataValidation>
    <dataValidation allowBlank="1" showInputMessage="1" showErrorMessage="1" promptTitle="Wprowadź" prompt="adres przedsięwzięcia" sqref="A79" xr:uid="{00000000-0002-0000-0B00-000004000000}"/>
    <dataValidation allowBlank="1" showInputMessage="1" showErrorMessage="1" promptTitle="Wprowadź " prompt="ilość" sqref="A74" xr:uid="{00000000-0002-0000-0B00-000005000000}"/>
    <dataValidation allowBlank="1" showInputMessage="1" showErrorMessage="1" promptTitle="Wprowadź" prompt="dane" sqref="B32:AL32 B30:AL30 AJ100:AL101 AJ103:AL106 AJ108:AL109" xr:uid="{00000000-0002-0000-0B00-000006000000}"/>
    <dataValidation allowBlank="1" showInputMessage="1" showErrorMessage="1" promptTitle="Wprowadź" prompt="adres beneficjenta" sqref="B21" xr:uid="{00000000-0002-0000-0B00-000007000000}"/>
    <dataValidation allowBlank="1" showInputMessage="1" showErrorMessage="1" promptTitle="Wybierz" prompt="właściwy rodzaj" sqref="A77:AL77" xr:uid="{00000000-0002-0000-0B00-000008000000}"/>
    <dataValidation allowBlank="1" showInputMessage="1" showErrorMessage="1" promptTitle="Wprowadź" prompt="właściwe" sqref="A91:AL91" xr:uid="{00000000-0002-0000-0B00-000009000000}"/>
    <dataValidation type="decimal" allowBlank="1" showErrorMessage="1" promptTitle="Wprowadź" prompt="kwotę" sqref="B41:AL41" xr:uid="{00000000-0002-0000-0B00-00000A000000}">
      <formula1>0</formula1>
      <formula2>1E+93</formula2>
    </dataValidation>
    <dataValidation type="decimal" allowBlank="1" showInputMessage="1" showErrorMessage="1" promptTitle="Wprowadź" prompt="powierzchnię noclegowni" sqref="A81" xr:uid="{00000000-0002-0000-0B00-00000B000000}">
      <formula1>0</formula1>
      <formula2>1E+119</formula2>
    </dataValidation>
    <dataValidation type="decimal" allowBlank="1" showInputMessage="1" showErrorMessage="1" promptTitle="Wprowadź" prompt="wielkość" sqref="A83:AL83" xr:uid="{00000000-0002-0000-0B00-00000C000000}">
      <formula1>0</formula1>
      <formula2>1E+72</formula2>
    </dataValidation>
    <dataValidation type="whole" allowBlank="1" showInputMessage="1" showErrorMessage="1" promptTitle="Wprowadź " prompt="wielkość" sqref="A85:AL85" xr:uid="{00000000-0002-0000-0B00-00000D000000}">
      <formula1>0</formula1>
      <formula2>1E+143</formula2>
    </dataValidation>
    <dataValidation type="decimal" allowBlank="1" showInputMessage="1" showErrorMessage="1" promptTitle="Wprowadź" prompt="powierzchnię noclegowni" sqref="A87" xr:uid="{00000000-0002-0000-0B00-00000E000000}">
      <formula1>0</formula1>
      <formula2>1E+155</formula2>
    </dataValidation>
    <dataValidation allowBlank="1" showInputMessage="1" sqref="A146" xr:uid="{00000000-0002-0000-0B00-00000F000000}"/>
    <dataValidation type="decimal" allowBlank="1" showInputMessage="1" showErrorMessage="1" sqref="AH115:AJ136" xr:uid="{00000000-0002-0000-0B00-000010000000}">
      <formula1>0</formula1>
      <formula2>1</formula2>
    </dataValidation>
    <dataValidation allowBlank="1" showInputMessage="1" showErrorMessage="1" promptTitle="Wprowadź" prompt="nr księgi wieczystej - nr działki ewidencyjnej" sqref="A152:AL152" xr:uid="{00000000-0002-0000-0B00-000011000000}"/>
    <dataValidation allowBlank="1" showInputMessage="1" showErrorMessage="1" promptTitle="Wybierz" prompt="właściwe" sqref="A148:AL148" xr:uid="{00000000-0002-0000-0B00-000012000000}"/>
    <dataValidation allowBlank="1" showInputMessage="1" showErrorMessage="1" promptTitle="Wprowadź" prompt="adres ePUAP beneficjenta" sqref="B22" xr:uid="{A6A8106B-FB48-4463-9551-5540261C6FAD}"/>
    <dataValidation type="textLength" operator="equal" allowBlank="1" showInputMessage="1" errorTitle="KRS" promptTitle="Wprowadź" prompt="numer KRS" sqref="B27:AL27" xr:uid="{00000000-0002-0000-0B00-000015000000}">
      <formula1>10</formula1>
    </dataValidation>
    <dataValidation type="textLength" operator="greaterThan" allowBlank="1" showInputMessage="1" showErrorMessage="1" promptTitle="Wprowadź" prompt="nazwę beneficjenta" sqref="B19:AL19" xr:uid="{00000000-0002-0000-0B00-000016000000}">
      <formula1>3</formula1>
    </dataValidation>
    <dataValidation type="decimal" allowBlank="1" showInputMessage="1" showErrorMessage="1" promptTitle="Wprowadź" prompt="kwotę" sqref="Z49" xr:uid="{00000000-0002-0000-0B00-000017000000}">
      <formula1>0</formula1>
      <formula2>100000000000000000</formula2>
    </dataValidation>
    <dataValidation type="decimal" allowBlank="1" showInputMessage="1" showErrorMessage="1" promptTitle="Wprowadź" prompt="kwotę" sqref="Z50" xr:uid="{00000000-0002-0000-0B00-000018000000}">
      <formula1>0</formula1>
      <formula2>10000000000000000000</formula2>
    </dataValidation>
    <dataValidation allowBlank="1" showInputMessage="1" showErrorMessage="1" promptTitle="Wprowadź" prompt="wartość_x000a_" sqref="S64 T54:AL57 S54:S58 S60:AL63 AB68" xr:uid="{00000000-0002-0000-0B00-000019000000}"/>
    <dataValidation allowBlank="1" promptTitle="Wprowadź" prompt="numer rachunku bankowego" sqref="C60:R63 C54:R57 B54:B69" xr:uid="{00000000-0002-0000-0B00-00001A000000}"/>
    <dataValidation allowBlank="1" promptTitle="Wprowadź" sqref="B53:AL53" xr:uid="{70DBDE5F-96E4-40AE-8ADC-B7DBEC174E35}"/>
    <dataValidation type="decimal" allowBlank="1" showInputMessage="1" promptTitle="Wybierz" prompt="właściwą wysokość wsparcia lub wpiszmniejszą wartość" sqref="T139:AJ139" xr:uid="{00000000-0002-0000-0B00-00001C000000}">
      <formula1>0</formula1>
      <formula2>0.8</formula2>
    </dataValidation>
    <dataValidation allowBlank="1" showErrorMessage="1" promptTitle="Wybierz" prompt="właściwe oświadczenie" sqref="A142:AL142 A144:AL144" xr:uid="{00000000-0002-0000-0B00-00001D000000}"/>
    <dataValidation allowBlank="1" showErrorMessage="1" promptTitle="Wprowadź" prompt="nr księgi wieczystej - nr działki ewidencyjnej" sqref="A153:AL153 A160:AL160 A161:A162" xr:uid="{00000000-0002-0000-0B00-00001E000000}"/>
    <dataValidation allowBlank="1" showErrorMessage="1" promptTitle="Wybierz" prompt="właściwe" sqref="A150:AL150" xr:uid="{D9C84A41-8A87-4550-B5D5-D8FDAF01B70F}"/>
    <dataValidation allowBlank="1" showInputMessage="1" showErrorMessage="1" promptTitle="Wprowadź" prompt="Adres do doręczeń elektronicznych" sqref="B23:AL23" xr:uid="{759B0BC9-4C4D-4250-9FAE-F5F02937F732}"/>
    <dataValidation operator="greaterThanOrEqual" allowBlank="1" showInputMessage="1" showErrorMessage="1" promptTitle="Wprowadź" prompt="datę w formacie rrrr-mm-dd_x000a_" sqref="B45:AL45" xr:uid="{00000000-0002-0000-0B00-000025000000}"/>
    <dataValidation type="whole" allowBlank="1" showInputMessage="1" showErrorMessage="1" promptTitle="Wprowadź" prompt="ilość miejsc " sqref="A89:AL89" xr:uid="{00000000-0002-0000-0B00-000026000000}">
      <formula1>0</formula1>
      <formula2>1E+83</formula2>
    </dataValidation>
    <dataValidation type="textLength" operator="equal" allowBlank="1" showInputMessage="1" promptTitle="Wprowadź" prompt="numer rachunku bankowego" sqref="T38:AL38" xr:uid="{5CA1719B-C8E7-40A0-B437-F357E3F10347}">
      <formula1>26</formula1>
    </dataValidation>
    <dataValidation type="whole" errorStyle="warning" allowBlank="1" showInputMessage="1" showErrorMessage="1" errorTitle="Uwaga" error="Prawidłowa wartość to liczba całkowita, zweryfikuj wprowadzane modyfikacje." promptTitle="Wprowadź" prompt="wartość" sqref="AA99:AL99" xr:uid="{FEA629BF-3E26-4B77-9698-AF91AA488248}">
      <formula1>1</formula1>
      <formula2>1.11111111111111E+21</formula2>
    </dataValidation>
    <dataValidation errorStyle="information" allowBlank="1" showInputMessage="1" showErrorMessage="1" promptTitle="Wprowadź" prompt="wartość" sqref="AA98:AL98" xr:uid="{607E4E6E-A883-4DB5-96E6-70340BA704E7}"/>
    <dataValidation type="textLength" operator="equal" showInputMessage="1" promptTitle="Wprowadź" prompt="numer rachunku bankowego tj. 26 cyfr" sqref="B38:S38" xr:uid="{18BBEB2E-9E9C-4D12-A1C6-7C1E075193B5}">
      <formula1>26</formula1>
    </dataValidation>
  </dataValidations>
  <hyperlinks>
    <hyperlink ref="AM41" location="Noclegownia!B98" display="Kliknij &quot;tutaj&quot; i przejdź do wypełnienia zestawienia kosztów" xr:uid="{00000000-0004-0000-0B00-000000000000}"/>
    <hyperlink ref="B41:AL41" location="Noclegownia!B98" display="Noclegownia!B98" xr:uid="{00000000-0004-0000-0B00-000001000000}"/>
    <hyperlink ref="AM141" location="Noclegownia!B41" display="Wróć do wypełniania wniosku" xr:uid="{00000000-0004-0000-0B00-000002000000}"/>
    <hyperlink ref="AM20" r:id="rId1" display="Weryfikocji można dokonać na stronie internetowej -&gt; https://eteryt.stat.gov.pl/eTeryt/rejestr_teryt/udostepnianie_danych/baza_teryt/uzytkownicy_indywidualni/wyszukiwanie/wyszukiwanie.aspx?contrast=default" xr:uid="{00000000-0004-0000-0B00-000003000000}"/>
    <hyperlink ref="AM22" r:id="rId2" xr:uid="{00000000-0004-0000-0B00-000004000000}"/>
    <hyperlink ref="AM18" r:id="rId3" xr:uid="{00000000-0004-0000-0B00-000005000000}"/>
    <hyperlink ref="AM24" r:id="rId4" xr:uid="{00000000-0004-0000-0B00-000006000000}"/>
    <hyperlink ref="AM26" r:id="rId5" xr:uid="{00000000-0004-0000-0B00-000007000000}"/>
    <hyperlink ref="AM171" r:id="rId6" xr:uid="{6BEFA59E-334E-4C6C-83A8-ABE613BF1FB3}"/>
  </hyperlinks>
  <pageMargins left="0.70866141732283472" right="0.70866141732283472" top="0.74803149606299213" bottom="0.74803149606299213" header="0.31496062992125984" footer="0.31496062992125984"/>
  <pageSetup paperSize="9" orientation="portrait" r:id="rId7"/>
  <headerFooter>
    <oddFooter>&amp;L&amp;P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181" id="{4D3D98C8-841F-47A1-BD9E-659B94ED5AF9}">
            <xm:f>IF($A$116=Słowniki!$P$2,1,0)</xm:f>
            <x14:dxf>
              <font>
                <b/>
                <i val="0"/>
                <strike/>
                <color theme="1"/>
              </font>
            </x14:dxf>
          </x14:cfRule>
          <xm:sqref>A93:AL93</xm:sqref>
        </x14:conditionalFormatting>
        <x14:conditionalFormatting xmlns:xm="http://schemas.microsoft.com/office/excel/2006/main">
          <x14:cfRule type="expression" priority="9" id="{18F2FBD5-6C8D-4E0D-BA98-115EB549E087}">
            <xm:f>IF($A$107=Słowniki!$P$2,1,0)</xm:f>
            <x14:dxf>
              <font>
                <strike/>
              </font>
            </x14:dxf>
          </x14:cfRule>
          <xm:sqref>A95:AL95</xm:sqref>
        </x14:conditionalFormatting>
        <x14:conditionalFormatting xmlns:xm="http://schemas.microsoft.com/office/excel/2006/main">
          <x14:cfRule type="expression" priority="27" id="{D15A732F-C247-4D3F-9B99-7EF6DBE305C7}">
            <xm:f>IF('Wniosek art 5 budowa'!$A$151=Słowniki!$P$2,1,0)</xm:f>
            <x14:dxf>
              <font>
                <strike/>
              </font>
            </x14:dxf>
          </x14:cfRule>
          <xm:sqref>A107:AL107</xm:sqref>
        </x14:conditionalFormatting>
        <x14:conditionalFormatting xmlns:xm="http://schemas.microsoft.com/office/excel/2006/main">
          <x14:cfRule type="expression" priority="50" id="{E577070D-A9DA-4990-AC65-5FF2D0DEBBF7}">
            <xm:f>IF(#REF!=Słowniki!$Q$2,1,0)</xm:f>
            <x14:dxf>
              <font>
                <strike/>
              </font>
            </x14:dxf>
          </x14:cfRule>
          <xm:sqref>A148:AL148</xm:sqref>
        </x14:conditionalFormatting>
        <x14:conditionalFormatting xmlns:xm="http://schemas.microsoft.com/office/excel/2006/main">
          <x14:cfRule type="expression" priority="177" id="{DB8C3AFD-6582-458A-8F0B-2E058A0B5FCA}">
            <xm:f>IF(AB66=Słowniki!C1048575,Słowniki!C1,0)</xm:f>
            <x14:dxf/>
          </x14:cfRule>
          <xm:sqref>AB68:AL68</xm:sqref>
        </x14:conditionalFormatting>
      </x14:conditionalFormattings>
    </ext>
    <ext xmlns:x14="http://schemas.microsoft.com/office/spreadsheetml/2009/9/main" uri="{CCE6A557-97BC-4b89-ADB6-D9C93CAAB3DF}">
      <x14:dataValidations xmlns:xm="http://schemas.microsoft.com/office/excel/2006/main" xWindow="657" yWindow="729" count="21">
        <x14:dataValidation type="list" allowBlank="1" showInputMessage="1" promptTitle="Wybierz" prompt="właściwe" xr:uid="{00000000-0002-0000-0B00-000027000000}">
          <x14:formula1>
            <xm:f>Słowniki!$D$2:$D$5</xm:f>
          </x14:formula1>
          <xm:sqref>A71:AL71</xm:sqref>
        </x14:dataValidation>
        <x14:dataValidation type="list" allowBlank="1" showInputMessage="1" promptTitle="Wybierz" prompt="właściwe" xr:uid="{00000000-0002-0000-0B00-000028000000}">
          <x14:formula1>
            <xm:f>Słowniki!$O$2:$O$5</xm:f>
          </x14:formula1>
          <xm:sqref>A165</xm:sqref>
        </x14:dataValidation>
        <x14:dataValidation type="list" allowBlank="1" showInputMessage="1" showErrorMessage="1" promptTitle="Wybierz" prompt="właściwy rodzaj" xr:uid="{00000000-0002-0000-0B00-000029000000}">
          <x14:formula1>
            <xm:f>Słowniki!$J$6:$J$7</xm:f>
          </x14:formula1>
          <xm:sqref>A76:AL76</xm:sqref>
        </x14:dataValidation>
        <x14:dataValidation type="list" allowBlank="1" showInputMessage="1" promptTitle="Wprowadź" prompt="dane lub wybierz nie dotyczy" xr:uid="{00000000-0002-0000-0B00-00002D000000}">
          <x14:formula1>
            <xm:f>Słowniki!$F$26</xm:f>
          </x14:formula1>
          <xm:sqref>B34:AL34 B36:AL36</xm:sqref>
        </x14:dataValidation>
        <x14:dataValidation type="list" allowBlank="1" showInputMessage="1" showErrorMessage="1" promptTitle="Wybierz" prompt="beneficjenta" xr:uid="{00000000-0002-0000-0B00-00002E000000}">
          <x14:formula1>
            <xm:f>'Słownik N_S_O'!$F$2:$F$6</xm:f>
          </x14:formula1>
          <xm:sqref>B17:AL17</xm:sqref>
        </x14:dataValidation>
        <x14:dataValidation type="list" allowBlank="1" showInputMessage="1" showErrorMessage="1" promptTitle="Wybierz" prompt="właściwe" xr:uid="{00000000-0002-0000-0B00-00002F000000}">
          <x14:formula1>
            <xm:f>Słowniki!$C$3:$C$4</xm:f>
          </x14:formula1>
          <xm:sqref>AB66:AL67 AB7:AE7 N7:P7</xm:sqref>
        </x14:dataValidation>
        <x14:dataValidation type="list" allowBlank="1" showInputMessage="1" showErrorMessage="1" promptTitle="Wybierz" prompt="właściwe" xr:uid="{00000000-0002-0000-0B00-000030000000}">
          <x14:formula1>
            <xm:f>Słowniki!$U$1:$U$2</xm:f>
          </x14:formula1>
          <xm:sqref>A94:AL94</xm:sqref>
        </x14:dataValidation>
        <x14:dataValidation type="list" allowBlank="1" showInputMessage="1" showErrorMessage="1" promptTitle="Wybierz" prompt="właściwe" xr:uid="{00000000-0002-0000-0B00-000031000000}">
          <x14:formula1>
            <xm:f>Słowniki!$U$5:$U$6</xm:f>
          </x14:formula1>
          <xm:sqref>A96:AL96</xm:sqref>
        </x14:dataValidation>
        <x14:dataValidation type="list" allowBlank="1" showInputMessage="1" showErrorMessage="1" promptTitle="Wybierz" prompt="właściwe" xr:uid="{00000000-0002-0000-0B00-000032000000}">
          <x14:formula1>
            <xm:f>Słowniki!$E$169:$E$170</xm:f>
          </x14:formula1>
          <xm:sqref>T140:AJ140</xm:sqref>
        </x14:dataValidation>
        <x14:dataValidation type="list" allowBlank="1" showInputMessage="1" showErrorMessage="1" promptTitle="Wybierz" prompt="właściwe" xr:uid="{00000000-0002-0000-0B00-000033000000}">
          <x14:formula1>
            <xm:f>Słowniki!$W$3:$W$4</xm:f>
          </x14:formula1>
          <xm:sqref>A145:AL145</xm:sqref>
        </x14:dataValidation>
        <x14:dataValidation type="list" allowBlank="1" showInputMessage="1" showErrorMessage="1" promptTitle="Wybierz" prompt="właściwe" xr:uid="{00000000-0002-0000-0B00-000034000000}">
          <x14:formula1>
            <xm:f>Słowniki!$W$1:$W$2</xm:f>
          </x14:formula1>
          <xm:sqref>A143:AL143</xm:sqref>
        </x14:dataValidation>
        <x14:dataValidation type="list" allowBlank="1" showInputMessage="1" showErrorMessage="1" promptTitle="Wybierz" prompt="właściwe" xr:uid="{00000000-0002-0000-0B00-000035000000}">
          <x14:formula1>
            <xm:f>'Słownik N_S_O'!$O$1:$O$2</xm:f>
          </x14:formula1>
          <xm:sqref>A147:AL147</xm:sqref>
        </x14:dataValidation>
        <x14:dataValidation type="list" allowBlank="1" showInputMessage="1" showErrorMessage="1" promptTitle="Wybierz" prompt="właściwe" xr:uid="{00000000-0002-0000-0B00-000036000000}">
          <x14:formula1>
            <xm:f>Słowniki!$Z$3:$Z$4</xm:f>
          </x14:formula1>
          <xm:sqref>A149:AL149</xm:sqref>
        </x14:dataValidation>
        <x14:dataValidation type="list" allowBlank="1" showInputMessage="1" showErrorMessage="1" promptTitle="Wybierz" prompt="właściwe" xr:uid="{00000000-0002-0000-0B00-000037000000}">
          <x14:formula1>
            <xm:f>'Słownik N_S_O'!$Q$2:$Q$5</xm:f>
          </x14:formula1>
          <xm:sqref>A154:AL154</xm:sqref>
        </x14:dataValidation>
        <x14:dataValidation type="list" errorStyle="information" allowBlank="1" showInputMessage="1" showErrorMessage="1" xr:uid="{00000000-0002-0000-0B00-000038000000}">
          <x14:formula1>
            <xm:f>Słowniki!$A$34:$A$39</xm:f>
          </x14:formula1>
          <xm:sqref>G115:K136</xm:sqref>
        </x14:dataValidation>
        <x14:dataValidation type="list" allowBlank="1" showInputMessage="1" showErrorMessage="1" promptTitle="Wybierz" prompt="właściwe" xr:uid="{00000000-0002-0000-0B00-00003B000000}">
          <x14:formula1>
            <xm:f>Słowniki!$AO$1:$AO$2</xm:f>
          </x14:formula1>
          <xm:sqref>B42:AL42</xm:sqref>
        </x14:dataValidation>
        <x14:dataValidation type="list" allowBlank="1" showInputMessage="1" showErrorMessage="1" promptTitle="Wybierz" prompt="właściwe" xr:uid="{00000000-0002-0000-0B00-00003C000000}">
          <x14:formula1>
            <xm:f>Słowniki!$W$12:$W$14</xm:f>
          </x14:formula1>
          <xm:sqref>A156:AL156</xm:sqref>
        </x14:dataValidation>
        <x14:dataValidation type="list" errorStyle="information" allowBlank="1" showInputMessage="1" showErrorMessage="1" promptTitle="Wprowadź" prompt="dane" xr:uid="{2B787A46-8C80-4BD0-822D-22DE4355F715}">
          <x14:formula1>
            <xm:f>Słowniki!$A$41:$A$43</xm:f>
          </x14:formula1>
          <xm:sqref>AA102:AL102</xm:sqref>
        </x14:dataValidation>
        <x14:dataValidation type="list" errorStyle="information" allowBlank="1" showInputMessage="1" showErrorMessage="1" promptTitle="Wybierz" prompt="właściwe" xr:uid="{BEDE64ED-28A0-47E2-9C43-7BED475CCB4A}">
          <x14:formula1>
            <xm:f>Słowniki!$A$46:$A$57</xm:f>
          </x14:formula1>
          <xm:sqref>B115:F136</xm:sqref>
        </x14:dataValidation>
        <x14:dataValidation type="list" allowBlank="1" showInputMessage="1" showErrorMessage="1" xr:uid="{7707A885-F8E8-4473-BBFC-317CF97C93A0}">
          <x14:formula1>
            <xm:f>Słowniki!$Y$9:$Y$10</xm:f>
          </x14:formula1>
          <xm:sqref>A158:AL158</xm:sqref>
        </x14:dataValidation>
        <x14:dataValidation type="date" operator="greaterThan" allowBlank="1" showInputMessage="1" showErrorMessage="1" promptTitle="Wprowadź" prompt="datę w formacie rrrr-mm-dd_x000a_" xr:uid="{00000000-0002-0000-0B00-00003D000000}">
          <x14:formula1>
            <xm:f>Słowniki!AQ1</xm:f>
          </x14:formula1>
          <xm:sqref>B43:AL43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usz9"/>
  <dimension ref="A1:BW624"/>
  <sheetViews>
    <sheetView showGridLines="0" topLeftCell="A164" zoomScaleNormal="100" workbookViewId="0">
      <selection activeCell="AM170" sqref="AM170"/>
    </sheetView>
  </sheetViews>
  <sheetFormatPr defaultColWidth="9.33203125" defaultRowHeight="14.4" x14ac:dyDescent="0.3"/>
  <cols>
    <col min="1" max="1" width="3.33203125" style="158" customWidth="1"/>
    <col min="2" max="2" width="4" style="159" customWidth="1"/>
    <col min="3" max="3" width="2.33203125" style="159" customWidth="1"/>
    <col min="4" max="4" width="2.5546875" style="159" customWidth="1"/>
    <col min="5" max="5" width="2" style="159" customWidth="1"/>
    <col min="6" max="6" width="1.6640625" style="159" customWidth="1"/>
    <col min="7" max="7" width="1.44140625" style="159" customWidth="1"/>
    <col min="8" max="8" width="2.33203125" style="159" customWidth="1"/>
    <col min="9" max="9" width="2.44140625" style="159" customWidth="1"/>
    <col min="10" max="10" width="1.5546875" style="159" customWidth="1"/>
    <col min="11" max="11" width="1.6640625" style="159" customWidth="1"/>
    <col min="12" max="12" width="5.33203125" style="159" customWidth="1"/>
    <col min="13" max="13" width="0.6640625" style="159" customWidth="1"/>
    <col min="14" max="14" width="3.44140625" style="159" customWidth="1"/>
    <col min="15" max="15" width="2.5546875" style="159" customWidth="1"/>
    <col min="16" max="17" width="1.5546875" style="159" customWidth="1"/>
    <col min="18" max="18" width="1.33203125" style="159" customWidth="1"/>
    <col min="19" max="19" width="2.33203125" style="159" customWidth="1"/>
    <col min="20" max="20" width="1.33203125" style="159" customWidth="1"/>
    <col min="21" max="21" width="1" style="159" customWidth="1"/>
    <col min="22" max="22" width="0.6640625" style="159" customWidth="1"/>
    <col min="23" max="23" width="3" style="159" customWidth="1"/>
    <col min="24" max="24" width="1.33203125" style="159" customWidth="1"/>
    <col min="25" max="25" width="1.44140625" style="159" customWidth="1"/>
    <col min="26" max="27" width="1.33203125" style="159" customWidth="1"/>
    <col min="28" max="28" width="2" style="159" customWidth="1"/>
    <col min="29" max="29" width="1" style="159" customWidth="1"/>
    <col min="30" max="31" width="1.6640625" style="159" customWidth="1"/>
    <col min="32" max="32" width="1.33203125" style="159" customWidth="1"/>
    <col min="33" max="33" width="1.6640625" style="159" customWidth="1"/>
    <col min="34" max="34" width="2.33203125" style="159" customWidth="1"/>
    <col min="35" max="35" width="1.44140625" style="159" customWidth="1"/>
    <col min="36" max="36" width="4" style="159" customWidth="1"/>
    <col min="37" max="37" width="9.33203125" style="159" customWidth="1"/>
    <col min="38" max="38" width="5.6640625" style="159" customWidth="1"/>
    <col min="39" max="39" width="116.6640625" style="163" customWidth="1"/>
    <col min="40" max="41" width="10.6640625" style="164" bestFit="1" customWidth="1"/>
    <col min="42" max="50" width="9.33203125" style="164"/>
    <col min="51" max="75" width="9.33203125" style="158"/>
    <col min="76" max="16384" width="9.33203125" style="159"/>
  </cols>
  <sheetData>
    <row r="1" spans="1:54" ht="25.95" customHeight="1" x14ac:dyDescent="0.3">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57"/>
      <c r="AN1" s="157"/>
      <c r="AO1" s="157"/>
      <c r="AP1" s="157"/>
      <c r="AQ1" s="157"/>
      <c r="AR1" s="157"/>
      <c r="AS1" s="157"/>
      <c r="AT1" s="157"/>
      <c r="AU1" s="157"/>
      <c r="AV1" s="157"/>
      <c r="AW1" s="157"/>
      <c r="AX1" s="157"/>
      <c r="AY1" s="155"/>
      <c r="AZ1" s="155"/>
      <c r="BA1" s="155"/>
      <c r="BB1" s="155"/>
    </row>
    <row r="2" spans="1:54" x14ac:dyDescent="0.3">
      <c r="A2" s="87" t="s">
        <v>123</v>
      </c>
      <c r="B2" s="87"/>
      <c r="C2" s="87"/>
      <c r="D2" s="87"/>
      <c r="E2" s="87"/>
      <c r="F2" s="87"/>
      <c r="G2" s="87"/>
      <c r="H2" s="87"/>
      <c r="I2" s="87"/>
      <c r="J2" s="87"/>
      <c r="K2" s="87"/>
      <c r="L2" s="87"/>
      <c r="M2" s="87"/>
      <c r="N2" s="87"/>
      <c r="O2" s="87"/>
      <c r="P2" s="87"/>
      <c r="Q2" s="87"/>
      <c r="R2" s="87"/>
      <c r="S2" s="155"/>
      <c r="T2" s="155"/>
      <c r="U2" s="155"/>
      <c r="V2" s="155"/>
      <c r="W2" s="155"/>
      <c r="X2" s="155"/>
      <c r="Y2" s="155"/>
      <c r="Z2" s="155"/>
      <c r="AA2" s="155"/>
      <c r="AB2" s="155"/>
      <c r="AC2" s="155"/>
      <c r="AD2" s="155"/>
      <c r="AE2" s="155"/>
      <c r="AF2" s="155"/>
      <c r="AG2" s="155"/>
      <c r="AH2" s="155"/>
      <c r="AI2" s="155"/>
      <c r="AJ2" s="155"/>
      <c r="AK2" s="155"/>
      <c r="AL2" s="155"/>
      <c r="AM2" s="157"/>
      <c r="AN2" s="157"/>
      <c r="AO2" s="157"/>
      <c r="AP2" s="157"/>
      <c r="AQ2" s="157"/>
      <c r="AR2" s="157"/>
      <c r="AS2" s="157"/>
      <c r="AT2" s="157"/>
      <c r="AU2" s="157"/>
      <c r="AV2" s="157"/>
      <c r="AW2" s="157"/>
      <c r="AX2" s="157"/>
      <c r="AY2" s="155"/>
      <c r="AZ2" s="155"/>
      <c r="BA2" s="155"/>
      <c r="BB2" s="155"/>
    </row>
    <row r="3" spans="1:54" x14ac:dyDescent="0.3">
      <c r="A3" s="161"/>
      <c r="B3" s="161"/>
      <c r="C3" s="161"/>
      <c r="D3" s="161"/>
      <c r="E3" s="161"/>
      <c r="F3" s="161"/>
      <c r="G3" s="161"/>
      <c r="H3" s="161"/>
      <c r="I3" s="161"/>
      <c r="J3" s="161"/>
      <c r="K3" s="161"/>
      <c r="L3" s="161"/>
      <c r="M3" s="161"/>
      <c r="N3"/>
      <c r="O3"/>
      <c r="P3"/>
      <c r="Q3"/>
      <c r="R3"/>
      <c r="S3"/>
      <c r="T3"/>
      <c r="U3"/>
      <c r="V3"/>
      <c r="W3"/>
      <c r="X3"/>
      <c r="Y3"/>
      <c r="Z3"/>
      <c r="AA3"/>
      <c r="AB3"/>
      <c r="AC3" s="161"/>
      <c r="AD3" s="161"/>
      <c r="AE3" s="161"/>
      <c r="AF3" s="161"/>
      <c r="AG3" s="161"/>
      <c r="AH3" s="161"/>
      <c r="AI3" s="161"/>
      <c r="AJ3" s="161"/>
      <c r="AK3" s="161"/>
      <c r="AL3" s="162"/>
      <c r="AM3" s="102" t="s">
        <v>160</v>
      </c>
    </row>
    <row r="4" spans="1:54" x14ac:dyDescent="0.3">
      <c r="A4" s="720"/>
      <c r="B4" s="720"/>
      <c r="C4" s="720"/>
      <c r="D4" s="720"/>
      <c r="E4" s="720"/>
      <c r="F4" s="720"/>
      <c r="G4" s="8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r="AK4" s="158"/>
      <c r="AL4" s="158"/>
    </row>
    <row r="5" spans="1:54" ht="15" customHeight="1" x14ac:dyDescent="0.3">
      <c r="A5" s="515" t="s">
        <v>125</v>
      </c>
      <c r="B5" s="515"/>
      <c r="C5" s="515"/>
      <c r="D5" s="515"/>
      <c r="E5" s="515"/>
      <c r="F5" s="515"/>
      <c r="G5" s="151"/>
      <c r="H5" s="515" t="s">
        <v>124</v>
      </c>
      <c r="I5" s="515"/>
      <c r="J5" s="515"/>
      <c r="K5" s="515"/>
      <c r="L5" s="515"/>
      <c r="M5" s="165"/>
      <c r="N5"/>
      <c r="O5"/>
      <c r="P5"/>
      <c r="Q5"/>
      <c r="R5"/>
      <c r="S5"/>
      <c r="T5"/>
      <c r="U5"/>
      <c r="V5"/>
      <c r="W5"/>
      <c r="X5"/>
      <c r="Y5"/>
      <c r="Z5"/>
      <c r="AA5"/>
      <c r="AB5"/>
      <c r="AC5" s="165"/>
      <c r="AD5" s="165"/>
      <c r="AE5" s="165"/>
      <c r="AF5" s="165"/>
      <c r="AG5" s="165"/>
      <c r="AH5" s="165"/>
      <c r="AI5" s="165"/>
      <c r="AJ5" s="165"/>
      <c r="AK5" s="165"/>
      <c r="AL5" s="165"/>
    </row>
    <row r="6" spans="1:54" x14ac:dyDescent="0.3">
      <c r="A6" s="153"/>
      <c r="B6" s="153"/>
      <c r="C6" s="153"/>
      <c r="D6" s="153"/>
      <c r="E6" s="153"/>
      <c r="F6" s="153"/>
      <c r="G6" s="151"/>
      <c r="H6" s="165"/>
      <c r="I6" s="165"/>
      <c r="J6" s="165"/>
      <c r="K6" s="165"/>
      <c r="L6" s="165"/>
      <c r="M6" s="165"/>
      <c r="N6"/>
      <c r="O6"/>
      <c r="P6"/>
      <c r="Q6"/>
      <c r="R6"/>
      <c r="S6"/>
      <c r="T6"/>
      <c r="U6"/>
      <c r="V6"/>
      <c r="W6"/>
      <c r="X6"/>
      <c r="Y6"/>
      <c r="Z6"/>
      <c r="AA6"/>
      <c r="AB6"/>
      <c r="AC6" s="165"/>
      <c r="AD6" s="165"/>
      <c r="AE6" s="165"/>
      <c r="AF6" s="165"/>
      <c r="AG6" s="165"/>
      <c r="AH6" s="165"/>
      <c r="AI6" s="165"/>
      <c r="AJ6" s="165"/>
      <c r="AK6" s="165"/>
      <c r="AL6" s="165"/>
    </row>
    <row r="7" spans="1:54" s="60" customFormat="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s="60" customFormat="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s="60" customFormat="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65"/>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row>
    <row r="11" spans="1:54" ht="14.25" customHeight="1" x14ac:dyDescent="0.3">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x14ac:dyDescent="0.3">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3">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3">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row>
    <row r="15" spans="1:5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x14ac:dyDescent="0.3">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ht="27.6" customHeight="1" x14ac:dyDescent="0.3">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c r="AM17" s="164"/>
    </row>
    <row r="18" spans="1:39"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x14ac:dyDescent="0.3">
      <c r="A19" s="326"/>
      <c r="B19" s="59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164"/>
    </row>
    <row r="20" spans="1:39" ht="27.4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x14ac:dyDescent="0.3">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77"/>
    </row>
    <row r="22" spans="1:39" ht="49.2"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x14ac:dyDescent="0.3">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c r="AM23" s="77"/>
    </row>
    <row r="24" spans="1:39"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c r="AM25" s="77"/>
    </row>
    <row r="26" spans="1:39"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row>
    <row r="27" spans="1:39"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77"/>
    </row>
    <row r="28" spans="1:39" x14ac:dyDescent="0.3">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77"/>
    </row>
    <row r="29" spans="1:39" x14ac:dyDescent="0.3">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77"/>
    </row>
    <row r="30" spans="1:39" x14ac:dyDescent="0.3">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77"/>
    </row>
    <row r="31" spans="1:39" x14ac:dyDescent="0.3">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c r="AM31" s="77"/>
    </row>
    <row r="32" spans="1:39" x14ac:dyDescent="0.3">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77"/>
    </row>
    <row r="33" spans="1:39" x14ac:dyDescent="0.3">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77"/>
    </row>
    <row r="34" spans="1:39" x14ac:dyDescent="0.3">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row>
    <row r="35" spans="1:39" x14ac:dyDescent="0.3">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101"/>
    </row>
    <row r="36" spans="1:39" x14ac:dyDescent="0.3">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101" t="s">
        <v>174</v>
      </c>
    </row>
    <row r="37" spans="1:39" ht="40.5" customHeight="1" x14ac:dyDescent="0.3">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101"/>
    </row>
    <row r="38" spans="1:39"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101"/>
    </row>
    <row r="39" spans="1:39" x14ac:dyDescent="0.3">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737"/>
    </row>
    <row r="40" spans="1:39" x14ac:dyDescent="0.3">
      <c r="A40" s="731" t="s">
        <v>1</v>
      </c>
      <c r="B40" s="732" t="s">
        <v>85</v>
      </c>
      <c r="C40" s="732"/>
      <c r="D40" s="732"/>
      <c r="E40" s="732"/>
      <c r="F40" s="732"/>
      <c r="G40" s="732"/>
      <c r="H40" s="732"/>
      <c r="I40" s="732"/>
      <c r="J40" s="732"/>
      <c r="K40" s="732"/>
      <c r="L40" s="732"/>
      <c r="M40" s="732"/>
      <c r="N40" s="732"/>
      <c r="O40" s="732"/>
      <c r="P40" s="732"/>
      <c r="Q40" s="732"/>
      <c r="R40" s="732"/>
      <c r="S40" s="732"/>
      <c r="T40" s="732"/>
      <c r="U40" s="732"/>
      <c r="V40" s="732"/>
      <c r="W40" s="732"/>
      <c r="X40" s="732"/>
      <c r="Y40" s="732"/>
      <c r="Z40" s="732"/>
      <c r="AA40" s="732"/>
      <c r="AB40" s="732"/>
      <c r="AC40" s="732"/>
      <c r="AD40" s="732"/>
      <c r="AE40" s="732"/>
      <c r="AF40" s="732"/>
      <c r="AG40" s="732"/>
      <c r="AH40" s="732"/>
      <c r="AI40" s="732"/>
      <c r="AJ40" s="732"/>
      <c r="AK40" s="732"/>
      <c r="AL40" s="733"/>
    </row>
    <row r="41" spans="1:39" x14ac:dyDescent="0.3">
      <c r="A41" s="731"/>
      <c r="B41" s="734" t="e">
        <f>T141</f>
        <v>#DIV/0!</v>
      </c>
      <c r="C41" s="735"/>
      <c r="D41" s="735"/>
      <c r="E41" s="735"/>
      <c r="F41" s="735"/>
      <c r="G41" s="735"/>
      <c r="H41" s="735"/>
      <c r="I41" s="735"/>
      <c r="J41" s="735"/>
      <c r="K41" s="735"/>
      <c r="L41" s="735"/>
      <c r="M41" s="735"/>
      <c r="N41" s="735"/>
      <c r="O41" s="735"/>
      <c r="P41" s="735"/>
      <c r="Q41" s="735"/>
      <c r="R41" s="735"/>
      <c r="S41" s="735"/>
      <c r="T41" s="735"/>
      <c r="U41" s="735"/>
      <c r="V41" s="735"/>
      <c r="W41" s="735"/>
      <c r="X41" s="735"/>
      <c r="Y41" s="735"/>
      <c r="Z41" s="735"/>
      <c r="AA41" s="735"/>
      <c r="AB41" s="735"/>
      <c r="AC41" s="735"/>
      <c r="AD41" s="735"/>
      <c r="AE41" s="735"/>
      <c r="AF41" s="735"/>
      <c r="AG41" s="735"/>
      <c r="AH41" s="735"/>
      <c r="AI41" s="735"/>
      <c r="AJ41" s="735"/>
      <c r="AK41" s="735"/>
      <c r="AL41" s="736"/>
      <c r="AM41" s="185" t="s">
        <v>213</v>
      </c>
    </row>
    <row r="42" spans="1:39" ht="27" customHeight="1" x14ac:dyDescent="0.3">
      <c r="A42" s="731" t="s">
        <v>4</v>
      </c>
      <c r="B42" s="445" t="s">
        <v>1023</v>
      </c>
      <c r="C42" s="445"/>
      <c r="D42" s="445"/>
      <c r="E42" s="445"/>
      <c r="F42" s="445"/>
      <c r="G42" s="445"/>
      <c r="H42" s="445"/>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row>
    <row r="43" spans="1:39" x14ac:dyDescent="0.3">
      <c r="A43" s="731"/>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166" t="s">
        <v>165</v>
      </c>
    </row>
    <row r="44" spans="1:39" x14ac:dyDescent="0.3">
      <c r="A44" s="731" t="s">
        <v>6</v>
      </c>
      <c r="B44" s="444" t="s">
        <v>885</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167"/>
    </row>
    <row r="45" spans="1:39" x14ac:dyDescent="0.3">
      <c r="A45" s="731"/>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row>
    <row r="46" spans="1:39" x14ac:dyDescent="0.3">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ht="14.7" customHeight="1" x14ac:dyDescent="0.3">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row>
    <row r="48" spans="1:39" ht="14.7"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row>
    <row r="49" spans="1:39" ht="14.7"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t="e">
        <f>B$41</f>
        <v>#DIV/0!</v>
      </c>
      <c r="AA49" s="341"/>
      <c r="AB49" s="341"/>
      <c r="AC49" s="341"/>
      <c r="AD49" s="341"/>
      <c r="AE49" s="341"/>
      <c r="AF49" s="341"/>
      <c r="AG49" s="341"/>
      <c r="AH49" s="341"/>
      <c r="AI49" s="341"/>
      <c r="AJ49" s="341"/>
      <c r="AK49" s="341" t="e">
        <f>ROUND(Z49/Z$51,5)</f>
        <v>#DIV/0!</v>
      </c>
      <c r="AL49" s="341"/>
      <c r="AM49" s="108" t="s">
        <v>634</v>
      </c>
    </row>
    <row r="50" spans="1:39"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M50" s="76" t="s">
        <v>635</v>
      </c>
    </row>
    <row r="51" spans="1:39"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422" t="e">
        <f>SUM(Z48:AJ50)</f>
        <v>#DIV/0!</v>
      </c>
      <c r="AA51" s="422"/>
      <c r="AB51" s="422"/>
      <c r="AC51" s="422"/>
      <c r="AD51" s="422"/>
      <c r="AE51" s="422"/>
      <c r="AF51" s="422"/>
      <c r="AG51" s="422"/>
      <c r="AH51" s="422"/>
      <c r="AI51" s="422"/>
      <c r="AJ51" s="422"/>
      <c r="AK51" s="341" t="e">
        <f>SUM(AK48:AL50)</f>
        <v>#DIV/0!</v>
      </c>
      <c r="AL51" s="341"/>
      <c r="AM51" s="77" t="s">
        <v>1150</v>
      </c>
    </row>
    <row r="52" spans="1:39" ht="52.2" customHeight="1" x14ac:dyDescent="0.3">
      <c r="A52" s="343" t="s">
        <v>11</v>
      </c>
      <c r="B52" s="374" t="s">
        <v>1070</v>
      </c>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c r="AA52" s="374"/>
      <c r="AB52" s="374"/>
      <c r="AC52" s="374"/>
      <c r="AD52" s="374"/>
      <c r="AE52" s="374"/>
      <c r="AF52" s="374"/>
      <c r="AG52" s="374"/>
      <c r="AH52" s="374"/>
      <c r="AI52" s="374"/>
      <c r="AJ52" s="374"/>
      <c r="AK52" s="374"/>
      <c r="AL52" s="374"/>
      <c r="AM52" s="164"/>
    </row>
    <row r="53" spans="1:39" ht="61.5" customHeight="1" x14ac:dyDescent="0.3">
      <c r="A53" s="343"/>
      <c r="B53" s="388" t="s">
        <v>1072</v>
      </c>
      <c r="C53" s="389"/>
      <c r="D53" s="389"/>
      <c r="E53" s="389"/>
      <c r="F53" s="389"/>
      <c r="G53" s="389"/>
      <c r="H53" s="389"/>
      <c r="I53" s="389"/>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M53" s="164"/>
    </row>
    <row r="54" spans="1:39" ht="14.7" customHeight="1" x14ac:dyDescent="0.3">
      <c r="A54" s="343"/>
      <c r="B54" s="390" t="s">
        <v>703</v>
      </c>
      <c r="C54" s="390"/>
      <c r="D54" s="390"/>
      <c r="E54" s="390"/>
      <c r="F54" s="390"/>
      <c r="G54" s="390"/>
      <c r="H54" s="390"/>
      <c r="I54" s="390"/>
      <c r="J54" s="390"/>
      <c r="K54" s="390"/>
      <c r="L54" s="390"/>
      <c r="M54" s="390"/>
      <c r="N54" s="390"/>
      <c r="O54" s="390"/>
      <c r="P54" s="390"/>
      <c r="Q54" s="390"/>
      <c r="R54" s="390"/>
      <c r="S54" s="386"/>
      <c r="T54" s="387"/>
      <c r="U54" s="387"/>
      <c r="V54" s="387"/>
      <c r="W54" s="387"/>
      <c r="X54" s="387"/>
      <c r="Y54" s="387"/>
      <c r="Z54" s="387"/>
      <c r="AA54" s="387"/>
      <c r="AB54" s="387"/>
      <c r="AC54" s="387"/>
      <c r="AD54" s="387"/>
      <c r="AE54" s="387"/>
      <c r="AF54" s="387"/>
      <c r="AG54" s="387"/>
      <c r="AH54" s="387"/>
      <c r="AI54" s="387"/>
      <c r="AJ54" s="387"/>
      <c r="AK54" s="387"/>
      <c r="AL54" s="387"/>
      <c r="AM54" s="164"/>
    </row>
    <row r="55" spans="1:39" ht="14.7" customHeight="1" x14ac:dyDescent="0.3">
      <c r="A55" s="343"/>
      <c r="B55" s="390" t="s">
        <v>704</v>
      </c>
      <c r="C55" s="390"/>
      <c r="D55" s="390"/>
      <c r="E55" s="390"/>
      <c r="F55" s="390"/>
      <c r="G55" s="390"/>
      <c r="H55" s="390"/>
      <c r="I55" s="390"/>
      <c r="J55" s="390"/>
      <c r="K55" s="390"/>
      <c r="L55" s="390"/>
      <c r="M55" s="390"/>
      <c r="N55" s="390"/>
      <c r="O55" s="390"/>
      <c r="P55" s="390"/>
      <c r="Q55" s="390"/>
      <c r="R55" s="390"/>
      <c r="S55" s="386"/>
      <c r="T55" s="387"/>
      <c r="U55" s="387"/>
      <c r="V55" s="387"/>
      <c r="W55" s="387"/>
      <c r="X55" s="387"/>
      <c r="Y55" s="387"/>
      <c r="Z55" s="387"/>
      <c r="AA55" s="387"/>
      <c r="AB55" s="387"/>
      <c r="AC55" s="387"/>
      <c r="AD55" s="387"/>
      <c r="AE55" s="387"/>
      <c r="AF55" s="387"/>
      <c r="AG55" s="387"/>
      <c r="AH55" s="387"/>
      <c r="AI55" s="387"/>
      <c r="AJ55" s="387"/>
      <c r="AK55" s="387"/>
      <c r="AL55" s="387"/>
      <c r="AM55" s="164"/>
    </row>
    <row r="56" spans="1:39" ht="14.7" customHeight="1" x14ac:dyDescent="0.3">
      <c r="A56" s="343"/>
      <c r="B56" s="390" t="s">
        <v>705</v>
      </c>
      <c r="C56" s="390"/>
      <c r="D56" s="390"/>
      <c r="E56" s="390"/>
      <c r="F56" s="390"/>
      <c r="G56" s="390"/>
      <c r="H56" s="390"/>
      <c r="I56" s="390"/>
      <c r="J56" s="390"/>
      <c r="K56" s="390"/>
      <c r="L56" s="390"/>
      <c r="M56" s="390"/>
      <c r="N56" s="390"/>
      <c r="O56" s="390"/>
      <c r="P56" s="390"/>
      <c r="Q56" s="390"/>
      <c r="R56" s="390"/>
      <c r="S56" s="386"/>
      <c r="T56" s="387"/>
      <c r="U56" s="387"/>
      <c r="V56" s="387"/>
      <c r="W56" s="387"/>
      <c r="X56" s="387"/>
      <c r="Y56" s="387"/>
      <c r="Z56" s="387"/>
      <c r="AA56" s="387"/>
      <c r="AB56" s="387"/>
      <c r="AC56" s="387"/>
      <c r="AD56" s="387"/>
      <c r="AE56" s="387"/>
      <c r="AF56" s="387"/>
      <c r="AG56" s="387"/>
      <c r="AH56" s="387"/>
      <c r="AI56" s="387"/>
      <c r="AJ56" s="387"/>
      <c r="AK56" s="387"/>
      <c r="AL56" s="387"/>
      <c r="AM56" s="164"/>
    </row>
    <row r="57" spans="1:39" ht="25.95" customHeight="1" x14ac:dyDescent="0.3">
      <c r="A57" s="343"/>
      <c r="B57" s="389" t="s">
        <v>706</v>
      </c>
      <c r="C57" s="389"/>
      <c r="D57" s="389"/>
      <c r="E57" s="389"/>
      <c r="F57" s="389"/>
      <c r="G57" s="389"/>
      <c r="H57" s="389"/>
      <c r="I57" s="389"/>
      <c r="J57" s="389"/>
      <c r="K57" s="389"/>
      <c r="L57" s="389"/>
      <c r="M57" s="389"/>
      <c r="N57" s="389"/>
      <c r="O57" s="389"/>
      <c r="P57" s="389"/>
      <c r="Q57" s="389"/>
      <c r="R57" s="389"/>
      <c r="S57" s="386"/>
      <c r="T57" s="387"/>
      <c r="U57" s="387"/>
      <c r="V57" s="387"/>
      <c r="W57" s="387"/>
      <c r="X57" s="387"/>
      <c r="Y57" s="387"/>
      <c r="Z57" s="387"/>
      <c r="AA57" s="387"/>
      <c r="AB57" s="387"/>
      <c r="AC57" s="387"/>
      <c r="AD57" s="387"/>
      <c r="AE57" s="387"/>
      <c r="AF57" s="387"/>
      <c r="AG57" s="387"/>
      <c r="AH57" s="387"/>
      <c r="AI57" s="387"/>
      <c r="AJ57" s="387"/>
      <c r="AK57" s="387"/>
      <c r="AL57" s="387"/>
      <c r="AM57" s="164"/>
    </row>
    <row r="58" spans="1:39" ht="25.95" customHeight="1" x14ac:dyDescent="0.3">
      <c r="A58" s="343"/>
      <c r="B58" s="436" t="s">
        <v>887</v>
      </c>
      <c r="C58" s="437"/>
      <c r="D58" s="437"/>
      <c r="E58" s="437"/>
      <c r="F58" s="437"/>
      <c r="G58" s="437"/>
      <c r="H58" s="437"/>
      <c r="I58" s="437"/>
      <c r="J58" s="437"/>
      <c r="K58" s="437"/>
      <c r="L58" s="437"/>
      <c r="M58" s="437"/>
      <c r="N58" s="437"/>
      <c r="O58" s="437"/>
      <c r="P58" s="437"/>
      <c r="Q58" s="437"/>
      <c r="R58" s="438"/>
      <c r="S58" s="428"/>
      <c r="T58" s="429"/>
      <c r="U58" s="429"/>
      <c r="V58" s="429"/>
      <c r="W58" s="429"/>
      <c r="X58" s="429"/>
      <c r="Y58" s="429"/>
      <c r="Z58" s="429"/>
      <c r="AA58" s="429"/>
      <c r="AB58" s="429"/>
      <c r="AC58" s="429"/>
      <c r="AD58" s="429"/>
      <c r="AE58" s="429"/>
      <c r="AF58" s="429"/>
      <c r="AG58" s="429"/>
      <c r="AH58" s="429"/>
      <c r="AI58" s="429"/>
      <c r="AJ58" s="429"/>
      <c r="AK58" s="429"/>
      <c r="AL58" s="430"/>
      <c r="AM58" s="164"/>
    </row>
    <row r="59" spans="1:39" ht="105.45" customHeight="1" x14ac:dyDescent="0.3">
      <c r="A59" s="343"/>
      <c r="B59" s="388" t="s">
        <v>1071</v>
      </c>
      <c r="C59" s="389"/>
      <c r="D59" s="389"/>
      <c r="E59" s="389"/>
      <c r="F59" s="389"/>
      <c r="G59" s="389"/>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164"/>
    </row>
    <row r="60" spans="1:39" ht="14.7" customHeight="1" x14ac:dyDescent="0.3">
      <c r="A60" s="343"/>
      <c r="B60" s="390" t="s">
        <v>707</v>
      </c>
      <c r="C60" s="390"/>
      <c r="D60" s="390"/>
      <c r="E60" s="390"/>
      <c r="F60" s="390"/>
      <c r="G60" s="390"/>
      <c r="H60" s="390"/>
      <c r="I60" s="390"/>
      <c r="J60" s="390"/>
      <c r="K60" s="390"/>
      <c r="L60" s="390"/>
      <c r="M60" s="390"/>
      <c r="N60" s="390"/>
      <c r="O60" s="390"/>
      <c r="P60" s="390"/>
      <c r="Q60" s="390"/>
      <c r="R60" s="390"/>
      <c r="S60" s="386"/>
      <c r="T60" s="387"/>
      <c r="U60" s="387"/>
      <c r="V60" s="387"/>
      <c r="W60" s="387"/>
      <c r="X60" s="387"/>
      <c r="Y60" s="387"/>
      <c r="Z60" s="387"/>
      <c r="AA60" s="387"/>
      <c r="AB60" s="387"/>
      <c r="AC60" s="387"/>
      <c r="AD60" s="387"/>
      <c r="AE60" s="387"/>
      <c r="AF60" s="387"/>
      <c r="AG60" s="387"/>
      <c r="AH60" s="387"/>
      <c r="AI60" s="387"/>
      <c r="AJ60" s="387"/>
      <c r="AK60" s="387"/>
      <c r="AL60" s="387"/>
      <c r="AM60" s="164"/>
    </row>
    <row r="61" spans="1:39" ht="43.5" customHeight="1" x14ac:dyDescent="0.3">
      <c r="A61" s="343"/>
      <c r="B61" s="390" t="s">
        <v>710</v>
      </c>
      <c r="C61" s="390"/>
      <c r="D61" s="390"/>
      <c r="E61" s="390"/>
      <c r="F61" s="390"/>
      <c r="G61" s="390"/>
      <c r="H61" s="390"/>
      <c r="I61" s="390"/>
      <c r="J61" s="390"/>
      <c r="K61" s="390"/>
      <c r="L61" s="390"/>
      <c r="M61" s="390"/>
      <c r="N61" s="390"/>
      <c r="O61" s="390"/>
      <c r="P61" s="390"/>
      <c r="Q61" s="390"/>
      <c r="R61" s="390"/>
      <c r="S61" s="386"/>
      <c r="T61" s="387"/>
      <c r="U61" s="387"/>
      <c r="V61" s="387"/>
      <c r="W61" s="387"/>
      <c r="X61" s="387"/>
      <c r="Y61" s="387"/>
      <c r="Z61" s="387"/>
      <c r="AA61" s="387"/>
      <c r="AB61" s="387"/>
      <c r="AC61" s="387"/>
      <c r="AD61" s="387"/>
      <c r="AE61" s="387"/>
      <c r="AF61" s="387"/>
      <c r="AG61" s="387"/>
      <c r="AH61" s="387"/>
      <c r="AI61" s="387"/>
      <c r="AJ61" s="387"/>
      <c r="AK61" s="387"/>
      <c r="AL61" s="387"/>
      <c r="AM61" s="164"/>
    </row>
    <row r="62" spans="1:39" ht="60.45" customHeight="1" x14ac:dyDescent="0.3">
      <c r="A62" s="343"/>
      <c r="B62" s="390" t="s">
        <v>709</v>
      </c>
      <c r="C62" s="390"/>
      <c r="D62" s="390"/>
      <c r="E62" s="390"/>
      <c r="F62" s="390"/>
      <c r="G62" s="390"/>
      <c r="H62" s="390"/>
      <c r="I62" s="390"/>
      <c r="J62" s="390"/>
      <c r="K62" s="390"/>
      <c r="L62" s="390"/>
      <c r="M62" s="390"/>
      <c r="N62" s="390"/>
      <c r="O62" s="390"/>
      <c r="P62" s="390"/>
      <c r="Q62" s="390"/>
      <c r="R62" s="390"/>
      <c r="S62" s="386"/>
      <c r="T62" s="387"/>
      <c r="U62" s="387"/>
      <c r="V62" s="387"/>
      <c r="W62" s="387"/>
      <c r="X62" s="387"/>
      <c r="Y62" s="387"/>
      <c r="Z62" s="387"/>
      <c r="AA62" s="387"/>
      <c r="AB62" s="387"/>
      <c r="AC62" s="387"/>
      <c r="AD62" s="387"/>
      <c r="AE62" s="387"/>
      <c r="AF62" s="387"/>
      <c r="AG62" s="387"/>
      <c r="AH62" s="387"/>
      <c r="AI62" s="387"/>
      <c r="AJ62" s="387"/>
      <c r="AK62" s="387"/>
      <c r="AL62" s="387"/>
      <c r="AM62" s="164"/>
    </row>
    <row r="63" spans="1:39" ht="14.7" customHeight="1" x14ac:dyDescent="0.3">
      <c r="A63" s="343"/>
      <c r="B63" s="390" t="s">
        <v>708</v>
      </c>
      <c r="C63" s="390"/>
      <c r="D63" s="390"/>
      <c r="E63" s="390"/>
      <c r="F63" s="390"/>
      <c r="G63" s="390"/>
      <c r="H63" s="390"/>
      <c r="I63" s="390"/>
      <c r="J63" s="390"/>
      <c r="K63" s="390"/>
      <c r="L63" s="390"/>
      <c r="M63" s="390"/>
      <c r="N63" s="390"/>
      <c r="O63" s="390"/>
      <c r="P63" s="390"/>
      <c r="Q63" s="390"/>
      <c r="R63" s="390"/>
      <c r="S63" s="386"/>
      <c r="T63" s="387"/>
      <c r="U63" s="387"/>
      <c r="V63" s="387"/>
      <c r="W63" s="387"/>
      <c r="X63" s="387"/>
      <c r="Y63" s="387"/>
      <c r="Z63" s="387"/>
      <c r="AA63" s="387"/>
      <c r="AB63" s="387"/>
      <c r="AC63" s="387"/>
      <c r="AD63" s="387"/>
      <c r="AE63" s="387"/>
      <c r="AF63" s="387"/>
      <c r="AG63" s="387"/>
      <c r="AH63" s="387"/>
      <c r="AI63" s="387"/>
      <c r="AJ63" s="387"/>
      <c r="AK63" s="387"/>
      <c r="AL63" s="387"/>
      <c r="AM63" s="164"/>
    </row>
    <row r="64" spans="1:39" ht="32.700000000000003" customHeight="1" x14ac:dyDescent="0.3">
      <c r="A64" s="343"/>
      <c r="B64" s="436" t="s">
        <v>888</v>
      </c>
      <c r="C64" s="437"/>
      <c r="D64" s="437"/>
      <c r="E64" s="437"/>
      <c r="F64" s="437"/>
      <c r="G64" s="437"/>
      <c r="H64" s="437"/>
      <c r="I64" s="437"/>
      <c r="J64" s="437"/>
      <c r="K64" s="437"/>
      <c r="L64" s="437"/>
      <c r="M64" s="437"/>
      <c r="N64" s="437"/>
      <c r="O64" s="437"/>
      <c r="P64" s="437"/>
      <c r="Q64" s="437"/>
      <c r="R64" s="438"/>
      <c r="S64" s="428"/>
      <c r="T64" s="429"/>
      <c r="U64" s="429"/>
      <c r="V64" s="429"/>
      <c r="W64" s="429"/>
      <c r="X64" s="429"/>
      <c r="Y64" s="429"/>
      <c r="Z64" s="429"/>
      <c r="AA64" s="429"/>
      <c r="AB64" s="429"/>
      <c r="AC64" s="429"/>
      <c r="AD64" s="429"/>
      <c r="AE64" s="429"/>
      <c r="AF64" s="429"/>
      <c r="AG64" s="429"/>
      <c r="AH64" s="429"/>
      <c r="AI64" s="429"/>
      <c r="AJ64" s="429"/>
      <c r="AK64" s="429"/>
      <c r="AL64" s="430"/>
      <c r="AM64" s="164"/>
    </row>
    <row r="65" spans="1:75" ht="75.45" customHeight="1" x14ac:dyDescent="0.3">
      <c r="A65" s="343" t="s">
        <v>640</v>
      </c>
      <c r="B65" s="388" t="s">
        <v>1073</v>
      </c>
      <c r="C65" s="389"/>
      <c r="D65" s="389"/>
      <c r="E65" s="389"/>
      <c r="F65" s="389"/>
      <c r="G65" s="389"/>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c r="AK65" s="389"/>
      <c r="AL65" s="389"/>
      <c r="AM65" s="164"/>
    </row>
    <row r="66" spans="1:75" ht="14.7" customHeight="1" x14ac:dyDescent="0.3">
      <c r="A66" s="343"/>
      <c r="B66" s="389" t="s">
        <v>711</v>
      </c>
      <c r="C66" s="389"/>
      <c r="D66" s="389"/>
      <c r="E66" s="389"/>
      <c r="F66" s="389"/>
      <c r="G66" s="389"/>
      <c r="H66" s="389"/>
      <c r="I66" s="389"/>
      <c r="J66" s="389"/>
      <c r="K66" s="389"/>
      <c r="L66" s="389"/>
      <c r="M66" s="389"/>
      <c r="N66" s="389"/>
      <c r="O66" s="389"/>
      <c r="P66" s="389"/>
      <c r="Q66" s="389"/>
      <c r="R66" s="389"/>
      <c r="S66" s="389"/>
      <c r="T66" s="389"/>
      <c r="U66" s="389"/>
      <c r="V66" s="389"/>
      <c r="W66" s="389"/>
      <c r="X66" s="389"/>
      <c r="Y66" s="389"/>
      <c r="Z66" s="389"/>
      <c r="AA66" s="389"/>
      <c r="AB66" s="414"/>
      <c r="AC66" s="414"/>
      <c r="AD66" s="414"/>
      <c r="AE66" s="414"/>
      <c r="AF66" s="414"/>
      <c r="AG66" s="414"/>
      <c r="AH66" s="414"/>
      <c r="AI66" s="414"/>
      <c r="AJ66" s="414"/>
      <c r="AK66" s="414"/>
      <c r="AL66" s="414"/>
      <c r="AM66" s="164"/>
    </row>
    <row r="67" spans="1:75" ht="28.2" customHeight="1" x14ac:dyDescent="0.3">
      <c r="A67" s="343"/>
      <c r="B67" s="389" t="s">
        <v>712</v>
      </c>
      <c r="C67" s="389"/>
      <c r="D67" s="389"/>
      <c r="E67" s="389"/>
      <c r="F67" s="389"/>
      <c r="G67" s="389"/>
      <c r="H67" s="389"/>
      <c r="I67" s="389"/>
      <c r="J67" s="389"/>
      <c r="K67" s="389"/>
      <c r="L67" s="389"/>
      <c r="M67" s="389"/>
      <c r="N67" s="389"/>
      <c r="O67" s="389"/>
      <c r="P67" s="389"/>
      <c r="Q67" s="389"/>
      <c r="R67" s="389"/>
      <c r="S67" s="389"/>
      <c r="T67" s="389"/>
      <c r="U67" s="389"/>
      <c r="V67" s="389"/>
      <c r="W67" s="389"/>
      <c r="X67" s="389"/>
      <c r="Y67" s="389"/>
      <c r="Z67" s="389"/>
      <c r="AA67" s="389"/>
      <c r="AB67" s="414" t="s">
        <v>131</v>
      </c>
      <c r="AC67" s="414"/>
      <c r="AD67" s="414"/>
      <c r="AE67" s="414"/>
      <c r="AF67" s="414"/>
      <c r="AG67" s="414"/>
      <c r="AH67" s="414"/>
      <c r="AI67" s="414"/>
      <c r="AJ67" s="414"/>
      <c r="AK67" s="414"/>
      <c r="AL67" s="414"/>
      <c r="AM67" s="164"/>
    </row>
    <row r="68" spans="1:75" ht="31.95" customHeight="1" x14ac:dyDescent="0.3">
      <c r="A68" s="343"/>
      <c r="B68" s="389" t="s">
        <v>713</v>
      </c>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c r="AA68" s="389"/>
      <c r="AB68" s="393"/>
      <c r="AC68" s="394"/>
      <c r="AD68" s="394"/>
      <c r="AE68" s="394"/>
      <c r="AF68" s="394"/>
      <c r="AG68" s="394"/>
      <c r="AH68" s="394"/>
      <c r="AI68" s="394"/>
      <c r="AJ68" s="394"/>
      <c r="AK68" s="394"/>
      <c r="AL68" s="394"/>
      <c r="AM68" s="164"/>
    </row>
    <row r="69" spans="1:75" ht="32.700000000000003" customHeight="1" x14ac:dyDescent="0.3">
      <c r="A69" s="343"/>
      <c r="B69" s="389" t="s">
        <v>714</v>
      </c>
      <c r="C69" s="389"/>
      <c r="D69" s="389"/>
      <c r="E69" s="389"/>
      <c r="F69" s="389"/>
      <c r="G69" s="389"/>
      <c r="H69" s="389"/>
      <c r="I69" s="389"/>
      <c r="J69" s="389"/>
      <c r="K69" s="389"/>
      <c r="L69" s="389"/>
      <c r="M69" s="389"/>
      <c r="N69" s="389"/>
      <c r="O69" s="389"/>
      <c r="P69" s="389"/>
      <c r="Q69" s="389"/>
      <c r="R69" s="389"/>
      <c r="S69" s="389"/>
      <c r="T69" s="389"/>
      <c r="U69" s="389"/>
      <c r="V69" s="389"/>
      <c r="W69" s="389"/>
      <c r="X69" s="389"/>
      <c r="Y69" s="389"/>
      <c r="Z69" s="389"/>
      <c r="AA69" s="389"/>
      <c r="AB69" s="393"/>
      <c r="AC69" s="394"/>
      <c r="AD69" s="394"/>
      <c r="AE69" s="394"/>
      <c r="AF69" s="394"/>
      <c r="AG69" s="394"/>
      <c r="AH69" s="394"/>
      <c r="AI69" s="394"/>
      <c r="AJ69" s="394"/>
      <c r="AK69" s="394"/>
      <c r="AL69" s="394"/>
      <c r="AM69" s="164"/>
    </row>
    <row r="70" spans="1:75" x14ac:dyDescent="0.3">
      <c r="A70" s="150" t="s">
        <v>69</v>
      </c>
      <c r="B70" s="517" t="s">
        <v>70</v>
      </c>
      <c r="C70" s="517"/>
      <c r="D70" s="517"/>
      <c r="E70" s="517"/>
      <c r="F70" s="517"/>
      <c r="G70" s="517"/>
      <c r="H70" s="517"/>
      <c r="I70" s="517"/>
      <c r="J70" s="517"/>
      <c r="K70" s="517"/>
      <c r="L70" s="517"/>
      <c r="M70" s="517"/>
      <c r="N70" s="517"/>
      <c r="O70" s="517"/>
      <c r="P70" s="517"/>
      <c r="Q70" s="517"/>
      <c r="R70" s="517"/>
      <c r="S70" s="517"/>
      <c r="T70" s="517"/>
      <c r="U70" s="517"/>
      <c r="V70" s="517"/>
      <c r="W70" s="517"/>
      <c r="X70" s="517"/>
      <c r="Y70" s="517"/>
      <c r="Z70" s="517"/>
      <c r="AA70" s="517"/>
      <c r="AB70" s="517"/>
      <c r="AC70" s="517"/>
      <c r="AD70" s="517"/>
      <c r="AE70" s="517"/>
      <c r="AF70" s="517"/>
      <c r="AG70" s="517"/>
      <c r="AH70" s="517"/>
      <c r="AI70" s="517"/>
      <c r="AJ70" s="517"/>
      <c r="AK70" s="517"/>
      <c r="AL70" s="518"/>
    </row>
    <row r="71" spans="1:75" ht="31.2" customHeight="1" x14ac:dyDescent="0.3">
      <c r="A71" s="717"/>
      <c r="B71" s="718"/>
      <c r="C71" s="718"/>
      <c r="D71" s="718"/>
      <c r="E71" s="718"/>
      <c r="F71" s="718"/>
      <c r="G71" s="718"/>
      <c r="H71" s="718"/>
      <c r="I71" s="718"/>
      <c r="J71" s="718"/>
      <c r="K71" s="718"/>
      <c r="L71" s="718"/>
      <c r="M71" s="718"/>
      <c r="N71" s="718"/>
      <c r="O71" s="718"/>
      <c r="P71" s="718"/>
      <c r="Q71" s="718"/>
      <c r="R71" s="718"/>
      <c r="S71" s="718"/>
      <c r="T71" s="718"/>
      <c r="U71" s="718"/>
      <c r="V71" s="718"/>
      <c r="W71" s="718"/>
      <c r="X71" s="718"/>
      <c r="Y71" s="718"/>
      <c r="Z71" s="718"/>
      <c r="AA71" s="718"/>
      <c r="AB71" s="718"/>
      <c r="AC71" s="718"/>
      <c r="AD71" s="718"/>
      <c r="AE71" s="718"/>
      <c r="AF71" s="718"/>
      <c r="AG71" s="718"/>
      <c r="AH71" s="718"/>
      <c r="AI71" s="718"/>
      <c r="AJ71" s="718"/>
      <c r="AK71" s="718"/>
      <c r="AL71" s="719"/>
      <c r="AM71" s="164"/>
    </row>
    <row r="72" spans="1:75" s="170" customFormat="1" x14ac:dyDescent="0.3">
      <c r="A72" s="150" t="s">
        <v>90</v>
      </c>
      <c r="B72" s="712" t="s">
        <v>674</v>
      </c>
      <c r="C72" s="712"/>
      <c r="D72" s="712"/>
      <c r="E72" s="712"/>
      <c r="F72" s="712"/>
      <c r="G72" s="712"/>
      <c r="H72" s="712"/>
      <c r="I72" s="712"/>
      <c r="J72" s="712"/>
      <c r="K72" s="712"/>
      <c r="L72" s="712"/>
      <c r="M72" s="712"/>
      <c r="N72" s="712"/>
      <c r="O72" s="712"/>
      <c r="P72" s="712"/>
      <c r="Q72" s="712"/>
      <c r="R72" s="712"/>
      <c r="S72" s="712"/>
      <c r="T72" s="712"/>
      <c r="U72" s="712"/>
      <c r="V72" s="712"/>
      <c r="W72" s="712"/>
      <c r="X72" s="712"/>
      <c r="Y72" s="712"/>
      <c r="Z72" s="712"/>
      <c r="AA72" s="712"/>
      <c r="AB72" s="712"/>
      <c r="AC72" s="712"/>
      <c r="AD72" s="712"/>
      <c r="AE72" s="712"/>
      <c r="AF72" s="712"/>
      <c r="AG72" s="712"/>
      <c r="AH72" s="712"/>
      <c r="AI72" s="712"/>
      <c r="AJ72" s="712"/>
      <c r="AK72" s="712"/>
      <c r="AL72" s="713"/>
      <c r="AM72" s="168"/>
      <c r="AN72" s="160"/>
      <c r="AO72" s="160"/>
      <c r="AP72" s="160"/>
      <c r="AQ72" s="160"/>
      <c r="AR72" s="160"/>
      <c r="AS72" s="160"/>
      <c r="AT72" s="160"/>
      <c r="AU72" s="160"/>
      <c r="AV72" s="160"/>
      <c r="AW72" s="160"/>
      <c r="AX72" s="160"/>
      <c r="AY72" s="169"/>
      <c r="AZ72" s="169"/>
      <c r="BA72" s="169"/>
      <c r="BB72" s="169"/>
      <c r="BC72" s="169"/>
      <c r="BD72" s="169"/>
      <c r="BE72" s="169"/>
      <c r="BF72" s="169"/>
      <c r="BG72" s="169"/>
      <c r="BH72" s="169"/>
      <c r="BI72" s="169"/>
      <c r="BJ72" s="169"/>
      <c r="BK72" s="169"/>
      <c r="BL72" s="169"/>
      <c r="BM72" s="169"/>
      <c r="BN72" s="169"/>
      <c r="BO72" s="169"/>
      <c r="BP72" s="169"/>
      <c r="BQ72" s="169"/>
      <c r="BR72" s="169"/>
      <c r="BS72" s="169"/>
      <c r="BT72" s="169"/>
      <c r="BU72" s="169"/>
      <c r="BV72" s="169"/>
      <c r="BW72" s="169"/>
    </row>
    <row r="73" spans="1:75" ht="16.5" customHeight="1" x14ac:dyDescent="0.3">
      <c r="A73" s="714" t="s">
        <v>686</v>
      </c>
      <c r="B73" s="715"/>
      <c r="C73" s="715"/>
      <c r="D73" s="715"/>
      <c r="E73" s="715"/>
      <c r="F73" s="715"/>
      <c r="G73" s="715"/>
      <c r="H73" s="715"/>
      <c r="I73" s="715"/>
      <c r="J73" s="715"/>
      <c r="K73" s="715"/>
      <c r="L73" s="715"/>
      <c r="M73" s="715"/>
      <c r="N73" s="715"/>
      <c r="O73" s="715"/>
      <c r="P73" s="715"/>
      <c r="Q73" s="715"/>
      <c r="R73" s="715"/>
      <c r="S73" s="715"/>
      <c r="T73" s="715"/>
      <c r="U73" s="715"/>
      <c r="V73" s="715"/>
      <c r="W73" s="715"/>
      <c r="X73" s="715"/>
      <c r="Y73" s="715"/>
      <c r="Z73" s="715"/>
      <c r="AA73" s="715"/>
      <c r="AB73" s="715"/>
      <c r="AC73" s="715"/>
      <c r="AD73" s="715"/>
      <c r="AE73" s="715"/>
      <c r="AF73" s="715"/>
      <c r="AG73" s="715"/>
      <c r="AH73" s="715"/>
      <c r="AI73" s="715"/>
      <c r="AJ73" s="715"/>
      <c r="AK73" s="715"/>
      <c r="AL73" s="716"/>
    </row>
    <row r="74" spans="1:75" x14ac:dyDescent="0.3">
      <c r="A74" s="632"/>
      <c r="B74" s="633"/>
      <c r="C74" s="633"/>
      <c r="D74" s="633"/>
      <c r="E74" s="633"/>
      <c r="F74" s="633"/>
      <c r="G74" s="633"/>
      <c r="H74" s="633"/>
      <c r="I74" s="633"/>
      <c r="J74" s="633"/>
      <c r="K74" s="633"/>
      <c r="L74" s="633"/>
      <c r="M74" s="633"/>
      <c r="N74" s="633"/>
      <c r="O74" s="633"/>
      <c r="P74" s="633"/>
      <c r="Q74" s="633"/>
      <c r="R74" s="633"/>
      <c r="S74" s="633"/>
      <c r="T74" s="633"/>
      <c r="U74" s="633"/>
      <c r="V74" s="633"/>
      <c r="W74" s="633"/>
      <c r="X74" s="633"/>
      <c r="Y74" s="633"/>
      <c r="Z74" s="633"/>
      <c r="AA74" s="633"/>
      <c r="AB74" s="633"/>
      <c r="AC74" s="633"/>
      <c r="AD74" s="633"/>
      <c r="AE74" s="633"/>
      <c r="AF74" s="633"/>
      <c r="AG74" s="633"/>
      <c r="AH74" s="633"/>
      <c r="AI74" s="633"/>
      <c r="AJ74" s="633"/>
      <c r="AK74" s="633"/>
      <c r="AL74" s="634"/>
      <c r="AM74" s="164"/>
    </row>
    <row r="75" spans="1:75" x14ac:dyDescent="0.3">
      <c r="A75" s="149" t="s">
        <v>91</v>
      </c>
      <c r="B75" s="723" t="s">
        <v>132</v>
      </c>
      <c r="C75" s="723"/>
      <c r="D75" s="723"/>
      <c r="E75" s="723"/>
      <c r="F75" s="723"/>
      <c r="G75" s="723"/>
      <c r="H75" s="723"/>
      <c r="I75" s="723"/>
      <c r="J75" s="723"/>
      <c r="K75" s="723"/>
      <c r="L75" s="723"/>
      <c r="M75" s="723"/>
      <c r="N75" s="723"/>
      <c r="O75" s="723"/>
      <c r="P75" s="723"/>
      <c r="Q75" s="723"/>
      <c r="R75" s="723"/>
      <c r="S75" s="723"/>
      <c r="T75" s="723"/>
      <c r="U75" s="723"/>
      <c r="V75" s="723"/>
      <c r="W75" s="723"/>
      <c r="X75" s="723"/>
      <c r="Y75" s="723"/>
      <c r="Z75" s="723"/>
      <c r="AA75" s="723"/>
      <c r="AB75" s="723"/>
      <c r="AC75" s="723"/>
      <c r="AD75" s="723"/>
      <c r="AE75" s="723"/>
      <c r="AF75" s="723"/>
      <c r="AG75" s="723"/>
      <c r="AH75" s="723"/>
      <c r="AI75" s="723"/>
      <c r="AJ75" s="723"/>
      <c r="AK75" s="723"/>
      <c r="AL75" s="723"/>
      <c r="AM75" s="722"/>
      <c r="AN75" s="722"/>
      <c r="AO75" s="722"/>
      <c r="AP75" s="722"/>
      <c r="AQ75" s="722"/>
      <c r="AR75" s="722"/>
      <c r="AS75" s="722"/>
      <c r="AT75" s="722"/>
      <c r="AU75" s="722"/>
    </row>
    <row r="76" spans="1:75" ht="87" customHeight="1" x14ac:dyDescent="0.3">
      <c r="A76" s="717"/>
      <c r="B76" s="718"/>
      <c r="C76" s="718"/>
      <c r="D76" s="718"/>
      <c r="E76" s="718"/>
      <c r="F76" s="718"/>
      <c r="G76" s="718"/>
      <c r="H76" s="718"/>
      <c r="I76" s="718"/>
      <c r="J76" s="718"/>
      <c r="K76" s="718"/>
      <c r="L76" s="718"/>
      <c r="M76" s="718"/>
      <c r="N76" s="718"/>
      <c r="O76" s="718"/>
      <c r="P76" s="718"/>
      <c r="Q76" s="718"/>
      <c r="R76" s="718"/>
      <c r="S76" s="718"/>
      <c r="T76" s="718"/>
      <c r="U76" s="718"/>
      <c r="V76" s="718"/>
      <c r="W76" s="718"/>
      <c r="X76" s="718"/>
      <c r="Y76" s="718"/>
      <c r="Z76" s="718"/>
      <c r="AA76" s="718"/>
      <c r="AB76" s="718"/>
      <c r="AC76" s="718"/>
      <c r="AD76" s="718"/>
      <c r="AE76" s="718"/>
      <c r="AF76" s="718"/>
      <c r="AG76" s="718"/>
      <c r="AH76" s="718"/>
      <c r="AI76" s="718"/>
      <c r="AJ76" s="718"/>
      <c r="AK76" s="718"/>
      <c r="AL76" s="719"/>
      <c r="AM76" s="722"/>
      <c r="AN76" s="722"/>
      <c r="AO76" s="722"/>
      <c r="AP76" s="722"/>
      <c r="AQ76" s="722"/>
      <c r="AR76" s="722"/>
      <c r="AS76" s="722"/>
      <c r="AT76" s="722"/>
      <c r="AU76" s="722"/>
    </row>
    <row r="77" spans="1:75" ht="15.75" customHeight="1" x14ac:dyDescent="0.3">
      <c r="A77" s="712" t="s">
        <v>1103</v>
      </c>
      <c r="B77" s="712"/>
      <c r="C77" s="712"/>
      <c r="D77" s="712"/>
      <c r="E77" s="712"/>
      <c r="F77" s="712"/>
      <c r="G77" s="712"/>
      <c r="H77" s="712"/>
      <c r="I77" s="712"/>
      <c r="J77" s="712"/>
      <c r="K77" s="712"/>
      <c r="L77" s="712"/>
      <c r="M77" s="712"/>
      <c r="N77" s="712"/>
      <c r="O77" s="712"/>
      <c r="P77" s="712"/>
      <c r="Q77" s="712"/>
      <c r="R77" s="712"/>
      <c r="S77" s="712"/>
      <c r="T77" s="712"/>
      <c r="U77" s="712"/>
      <c r="V77" s="712"/>
      <c r="W77" s="712"/>
      <c r="X77" s="712"/>
      <c r="Y77" s="712"/>
      <c r="Z77" s="712"/>
      <c r="AA77" s="712"/>
      <c r="AB77" s="712"/>
      <c r="AC77" s="712"/>
      <c r="AD77" s="712"/>
      <c r="AE77" s="712"/>
      <c r="AF77" s="712"/>
      <c r="AG77" s="712"/>
      <c r="AH77" s="712"/>
      <c r="AI77" s="712"/>
      <c r="AJ77" s="712"/>
      <c r="AK77" s="712"/>
      <c r="AL77" s="712"/>
      <c r="AM77" s="171"/>
      <c r="AN77" s="171"/>
      <c r="AO77" s="171"/>
      <c r="AP77" s="171"/>
      <c r="AQ77" s="171"/>
      <c r="AR77" s="171"/>
      <c r="AS77" s="171"/>
      <c r="AT77" s="171"/>
      <c r="AU77" s="171"/>
    </row>
    <row r="78" spans="1:75" x14ac:dyDescent="0.3">
      <c r="A78" s="517" t="s">
        <v>1085</v>
      </c>
      <c r="B78" s="517"/>
      <c r="C78" s="517"/>
      <c r="D78" s="517"/>
      <c r="E78" s="517"/>
      <c r="F78" s="517"/>
      <c r="G78" s="517"/>
      <c r="H78" s="517"/>
      <c r="I78" s="517"/>
      <c r="J78" s="517"/>
      <c r="K78" s="517"/>
      <c r="L78" s="517"/>
      <c r="M78" s="517"/>
      <c r="N78" s="517"/>
      <c r="O78" s="517"/>
      <c r="P78" s="517"/>
      <c r="Q78" s="517"/>
      <c r="R78" s="517"/>
      <c r="S78" s="517"/>
      <c r="T78" s="517"/>
      <c r="U78" s="517"/>
      <c r="V78" s="517"/>
      <c r="W78" s="517"/>
      <c r="X78" s="517"/>
      <c r="Y78" s="517"/>
      <c r="Z78" s="517"/>
      <c r="AA78" s="517"/>
      <c r="AB78" s="517"/>
      <c r="AC78" s="517"/>
      <c r="AD78" s="517"/>
      <c r="AE78" s="517"/>
      <c r="AF78" s="517"/>
      <c r="AG78" s="517"/>
      <c r="AH78" s="517"/>
      <c r="AI78" s="517"/>
      <c r="AJ78" s="517"/>
      <c r="AK78" s="517"/>
      <c r="AL78" s="518"/>
    </row>
    <row r="79" spans="1:75" x14ac:dyDescent="0.3">
      <c r="A79" s="415"/>
      <c r="B79" s="416"/>
      <c r="C79" s="416"/>
      <c r="D79" s="416"/>
      <c r="E79" s="416"/>
      <c r="F79" s="416"/>
      <c r="G79" s="416"/>
      <c r="H79" s="416"/>
      <c r="I79" s="416"/>
      <c r="J79" s="416"/>
      <c r="K79" s="416"/>
      <c r="L79" s="416"/>
      <c r="M79" s="416"/>
      <c r="N79" s="416"/>
      <c r="O79" s="416"/>
      <c r="P79" s="416"/>
      <c r="Q79" s="416"/>
      <c r="R79" s="416"/>
      <c r="S79" s="416"/>
      <c r="T79" s="416"/>
      <c r="U79" s="416"/>
      <c r="V79" s="416"/>
      <c r="W79" s="416"/>
      <c r="X79" s="416"/>
      <c r="Y79" s="416"/>
      <c r="Z79" s="416"/>
      <c r="AA79" s="416"/>
      <c r="AB79" s="416"/>
      <c r="AC79" s="416"/>
      <c r="AD79" s="416"/>
      <c r="AE79" s="416"/>
      <c r="AF79" s="416"/>
      <c r="AG79" s="416"/>
      <c r="AH79" s="416"/>
      <c r="AI79" s="416"/>
      <c r="AJ79" s="416"/>
      <c r="AK79" s="416"/>
      <c r="AL79" s="417"/>
      <c r="AM79" s="164"/>
    </row>
    <row r="80" spans="1:75" ht="30.75" customHeight="1" x14ac:dyDescent="0.3">
      <c r="A80" s="382" t="s">
        <v>1086</v>
      </c>
      <c r="B80" s="382"/>
      <c r="C80" s="382"/>
      <c r="D80" s="382"/>
      <c r="E80" s="382"/>
      <c r="F80" s="382"/>
      <c r="G80" s="382"/>
      <c r="H80" s="382"/>
      <c r="I80" s="382"/>
      <c r="J80" s="382"/>
      <c r="K80" s="382"/>
      <c r="L80" s="382"/>
      <c r="M80" s="382"/>
      <c r="N80" s="382"/>
      <c r="O80" s="382"/>
      <c r="P80" s="382"/>
      <c r="Q80" s="382"/>
      <c r="R80" s="382"/>
      <c r="S80" s="382"/>
      <c r="T80" s="382"/>
      <c r="U80" s="382"/>
      <c r="V80" s="382"/>
      <c r="W80" s="382"/>
      <c r="X80" s="382"/>
      <c r="Y80" s="382"/>
      <c r="Z80" s="382"/>
      <c r="AA80" s="382"/>
      <c r="AB80" s="382"/>
      <c r="AC80" s="382"/>
      <c r="AD80" s="382"/>
      <c r="AE80" s="382"/>
      <c r="AF80" s="382"/>
      <c r="AG80" s="382"/>
      <c r="AH80" s="382"/>
      <c r="AI80" s="382"/>
      <c r="AJ80" s="382"/>
      <c r="AK80" s="382"/>
      <c r="AL80" s="382"/>
      <c r="AM80" s="722"/>
      <c r="AN80" s="722"/>
      <c r="AO80" s="722"/>
      <c r="AP80" s="722"/>
      <c r="AQ80" s="722"/>
      <c r="AR80" s="722"/>
      <c r="AS80" s="722"/>
      <c r="AT80" s="722"/>
    </row>
    <row r="81" spans="1:52" x14ac:dyDescent="0.3">
      <c r="A81" s="635"/>
      <c r="B81" s="636"/>
      <c r="C81" s="636"/>
      <c r="D81" s="636"/>
      <c r="E81" s="636"/>
      <c r="F81" s="636"/>
      <c r="G81" s="636"/>
      <c r="H81" s="636"/>
      <c r="I81" s="636"/>
      <c r="J81" s="636"/>
      <c r="K81" s="636"/>
      <c r="L81" s="637"/>
      <c r="M81" s="635"/>
      <c r="N81" s="636"/>
      <c r="O81" s="636"/>
      <c r="P81" s="636"/>
      <c r="Q81" s="636"/>
      <c r="R81" s="636"/>
      <c r="S81" s="636"/>
      <c r="T81" s="636"/>
      <c r="U81" s="636"/>
      <c r="V81" s="636"/>
      <c r="W81" s="636"/>
      <c r="X81" s="636"/>
      <c r="Y81" s="636"/>
      <c r="Z81" s="636"/>
      <c r="AA81" s="636"/>
      <c r="AB81" s="636"/>
      <c r="AC81" s="636"/>
      <c r="AD81" s="636"/>
      <c r="AE81" s="636"/>
      <c r="AF81" s="636"/>
      <c r="AG81" s="636"/>
      <c r="AH81" s="636"/>
      <c r="AI81" s="636"/>
      <c r="AJ81" s="636"/>
      <c r="AK81" s="636"/>
      <c r="AL81" s="636"/>
      <c r="AM81" s="164"/>
    </row>
    <row r="82" spans="1:52" ht="21.75" customHeight="1" x14ac:dyDescent="0.3">
      <c r="A82" s="668" t="s">
        <v>1087</v>
      </c>
      <c r="B82" s="668"/>
      <c r="C82" s="668"/>
      <c r="D82" s="668"/>
      <c r="E82" s="668"/>
      <c r="F82" s="668"/>
      <c r="G82" s="668"/>
      <c r="H82" s="668"/>
      <c r="I82" s="668"/>
      <c r="J82" s="668"/>
      <c r="K82" s="668"/>
      <c r="L82" s="668"/>
      <c r="M82" s="668"/>
      <c r="N82" s="668"/>
      <c r="O82" s="668"/>
      <c r="P82" s="668"/>
      <c r="Q82" s="668"/>
      <c r="R82" s="668"/>
      <c r="S82" s="668"/>
      <c r="T82" s="668"/>
      <c r="U82" s="668"/>
      <c r="V82" s="668"/>
      <c r="W82" s="668"/>
      <c r="X82" s="668"/>
      <c r="Y82" s="668"/>
      <c r="Z82" s="668"/>
      <c r="AA82" s="668"/>
      <c r="AB82" s="668"/>
      <c r="AC82" s="668"/>
      <c r="AD82" s="668"/>
      <c r="AE82" s="668"/>
      <c r="AF82" s="668"/>
      <c r="AG82" s="668"/>
      <c r="AH82" s="668"/>
      <c r="AI82" s="668"/>
      <c r="AJ82" s="668"/>
      <c r="AK82" s="668"/>
      <c r="AL82" s="711"/>
    </row>
    <row r="83" spans="1:52" x14ac:dyDescent="0.3">
      <c r="A83" s="635"/>
      <c r="B83" s="636"/>
      <c r="C83" s="636"/>
      <c r="D83" s="636"/>
      <c r="E83" s="636"/>
      <c r="F83" s="636"/>
      <c r="G83" s="636"/>
      <c r="H83" s="636"/>
      <c r="I83" s="636"/>
      <c r="J83" s="636"/>
      <c r="K83" s="636"/>
      <c r="L83" s="636"/>
      <c r="M83" s="636"/>
      <c r="N83" s="636"/>
      <c r="O83" s="636"/>
      <c r="P83" s="636"/>
      <c r="Q83" s="636"/>
      <c r="R83" s="636"/>
      <c r="S83" s="636"/>
      <c r="T83" s="636"/>
      <c r="U83" s="636"/>
      <c r="V83" s="636"/>
      <c r="W83" s="636"/>
      <c r="X83" s="636"/>
      <c r="Y83" s="636"/>
      <c r="Z83" s="636"/>
      <c r="AA83" s="636"/>
      <c r="AB83" s="636"/>
      <c r="AC83" s="636"/>
      <c r="AD83" s="636"/>
      <c r="AE83" s="636"/>
      <c r="AF83" s="636"/>
      <c r="AG83" s="636"/>
      <c r="AH83" s="636"/>
      <c r="AI83" s="636"/>
      <c r="AJ83" s="636"/>
      <c r="AK83" s="636"/>
      <c r="AL83" s="637"/>
      <c r="AM83" s="164"/>
    </row>
    <row r="84" spans="1:52" ht="19.5" customHeight="1" x14ac:dyDescent="0.3">
      <c r="A84" s="668" t="s">
        <v>1088</v>
      </c>
      <c r="B84" s="668"/>
      <c r="C84" s="668"/>
      <c r="D84" s="668"/>
      <c r="E84" s="668"/>
      <c r="F84" s="668"/>
      <c r="G84" s="668"/>
      <c r="H84" s="668"/>
      <c r="I84" s="668"/>
      <c r="J84" s="668"/>
      <c r="K84" s="668"/>
      <c r="L84" s="668"/>
      <c r="M84" s="668"/>
      <c r="N84" s="668"/>
      <c r="O84" s="668"/>
      <c r="P84" s="668"/>
      <c r="Q84" s="668"/>
      <c r="R84" s="668"/>
      <c r="S84" s="668"/>
      <c r="T84" s="668"/>
      <c r="U84" s="668"/>
      <c r="V84" s="668"/>
      <c r="W84" s="668"/>
      <c r="X84" s="668"/>
      <c r="Y84" s="668"/>
      <c r="Z84" s="668"/>
      <c r="AA84" s="668"/>
      <c r="AB84" s="668"/>
      <c r="AC84" s="668"/>
      <c r="AD84" s="668"/>
      <c r="AE84" s="668"/>
      <c r="AF84" s="668"/>
      <c r="AG84" s="668"/>
      <c r="AH84" s="668"/>
      <c r="AI84" s="668"/>
      <c r="AJ84" s="668"/>
      <c r="AK84" s="668"/>
      <c r="AL84" s="668"/>
      <c r="AM84" s="722"/>
      <c r="AN84" s="722"/>
      <c r="AO84" s="722"/>
      <c r="AP84" s="722"/>
      <c r="AQ84" s="722"/>
      <c r="AR84" s="722"/>
      <c r="AS84" s="722"/>
      <c r="AT84" s="722"/>
      <c r="AU84" s="722"/>
      <c r="AV84" s="722"/>
    </row>
    <row r="85" spans="1:52" x14ac:dyDescent="0.3">
      <c r="A85" s="632"/>
      <c r="B85" s="633"/>
      <c r="C85" s="633"/>
      <c r="D85" s="633"/>
      <c r="E85" s="633"/>
      <c r="F85" s="633"/>
      <c r="G85" s="633"/>
      <c r="H85" s="633"/>
      <c r="I85" s="633"/>
      <c r="J85" s="633"/>
      <c r="K85" s="633"/>
      <c r="L85" s="633"/>
      <c r="M85" s="633"/>
      <c r="N85" s="633"/>
      <c r="O85" s="633"/>
      <c r="P85" s="633"/>
      <c r="Q85" s="633"/>
      <c r="R85" s="633"/>
      <c r="S85" s="633"/>
      <c r="T85" s="633"/>
      <c r="U85" s="633"/>
      <c r="V85" s="633"/>
      <c r="W85" s="633"/>
      <c r="X85" s="633"/>
      <c r="Y85" s="633"/>
      <c r="Z85" s="633"/>
      <c r="AA85" s="633"/>
      <c r="AB85" s="633"/>
      <c r="AC85" s="633"/>
      <c r="AD85" s="633"/>
      <c r="AE85" s="633"/>
      <c r="AF85" s="633"/>
      <c r="AG85" s="633"/>
      <c r="AH85" s="633"/>
      <c r="AI85" s="633"/>
      <c r="AJ85" s="633"/>
      <c r="AK85" s="633"/>
      <c r="AL85" s="634"/>
      <c r="AM85" s="164"/>
    </row>
    <row r="86" spans="1:52" ht="27.75" customHeight="1" x14ac:dyDescent="0.3">
      <c r="A86" s="668" t="s">
        <v>1089</v>
      </c>
      <c r="B86" s="668"/>
      <c r="C86" s="668"/>
      <c r="D86" s="668"/>
      <c r="E86" s="668"/>
      <c r="F86" s="668"/>
      <c r="G86" s="668"/>
      <c r="H86" s="668"/>
      <c r="I86" s="668"/>
      <c r="J86" s="668"/>
      <c r="K86" s="668"/>
      <c r="L86" s="668"/>
      <c r="M86" s="668"/>
      <c r="N86" s="668"/>
      <c r="O86" s="668"/>
      <c r="P86" s="668"/>
      <c r="Q86" s="668"/>
      <c r="R86" s="668"/>
      <c r="S86" s="668"/>
      <c r="T86" s="668"/>
      <c r="U86" s="668"/>
      <c r="V86" s="668"/>
      <c r="W86" s="668"/>
      <c r="X86" s="668"/>
      <c r="Y86" s="668"/>
      <c r="Z86" s="668"/>
      <c r="AA86" s="668"/>
      <c r="AB86" s="668"/>
      <c r="AC86" s="668"/>
      <c r="AD86" s="668"/>
      <c r="AE86" s="668"/>
      <c r="AF86" s="668"/>
      <c r="AG86" s="668"/>
      <c r="AH86" s="668"/>
      <c r="AI86" s="668"/>
      <c r="AJ86" s="668"/>
      <c r="AK86" s="668"/>
      <c r="AL86" s="668"/>
      <c r="AM86" s="722"/>
      <c r="AN86" s="722"/>
      <c r="AO86" s="722"/>
      <c r="AP86" s="722"/>
      <c r="AQ86" s="722"/>
      <c r="AR86" s="722"/>
      <c r="AS86" s="722"/>
      <c r="AT86" s="722"/>
      <c r="AU86" s="722"/>
      <c r="AV86" s="722"/>
    </row>
    <row r="87" spans="1:52" x14ac:dyDescent="0.3">
      <c r="A87" s="635"/>
      <c r="B87" s="636"/>
      <c r="C87" s="636"/>
      <c r="D87" s="636"/>
      <c r="E87" s="636"/>
      <c r="F87" s="636"/>
      <c r="G87" s="636"/>
      <c r="H87" s="636"/>
      <c r="I87" s="636"/>
      <c r="J87" s="636"/>
      <c r="K87" s="636"/>
      <c r="L87" s="637"/>
      <c r="M87" s="635"/>
      <c r="N87" s="636"/>
      <c r="O87" s="636"/>
      <c r="P87" s="636"/>
      <c r="Q87" s="636"/>
      <c r="R87" s="636"/>
      <c r="S87" s="636"/>
      <c r="T87" s="636"/>
      <c r="U87" s="636"/>
      <c r="V87" s="636"/>
      <c r="W87" s="636"/>
      <c r="X87" s="636"/>
      <c r="Y87" s="636"/>
      <c r="Z87" s="636"/>
      <c r="AA87" s="636"/>
      <c r="AB87" s="636"/>
      <c r="AC87" s="636"/>
      <c r="AD87" s="636"/>
      <c r="AE87" s="636"/>
      <c r="AF87" s="636"/>
      <c r="AG87" s="636"/>
      <c r="AH87" s="636"/>
      <c r="AI87" s="636"/>
      <c r="AJ87" s="636"/>
      <c r="AK87" s="636"/>
      <c r="AL87" s="636"/>
      <c r="AM87" s="722"/>
      <c r="AN87" s="722"/>
      <c r="AO87" s="722"/>
      <c r="AP87" s="722"/>
      <c r="AQ87" s="722"/>
      <c r="AR87" s="722"/>
      <c r="AS87" s="722"/>
      <c r="AT87" s="722"/>
      <c r="AU87" s="722"/>
    </row>
    <row r="88" spans="1:52" ht="22.5" customHeight="1" x14ac:dyDescent="0.3">
      <c r="A88" s="668" t="s">
        <v>1090</v>
      </c>
      <c r="B88" s="668"/>
      <c r="C88" s="668"/>
      <c r="D88" s="668"/>
      <c r="E88" s="668"/>
      <c r="F88" s="668"/>
      <c r="G88" s="668"/>
      <c r="H88" s="668"/>
      <c r="I88" s="668"/>
      <c r="J88" s="668"/>
      <c r="K88" s="668"/>
      <c r="L88" s="668"/>
      <c r="M88" s="668"/>
      <c r="N88" s="668"/>
      <c r="O88" s="668"/>
      <c r="P88" s="668"/>
      <c r="Q88" s="668"/>
      <c r="R88" s="668"/>
      <c r="S88" s="668"/>
      <c r="T88" s="668"/>
      <c r="U88" s="668"/>
      <c r="V88" s="668"/>
      <c r="W88" s="668"/>
      <c r="X88" s="668"/>
      <c r="Y88" s="668"/>
      <c r="Z88" s="668"/>
      <c r="AA88" s="668"/>
      <c r="AB88" s="668"/>
      <c r="AC88" s="668"/>
      <c r="AD88" s="668"/>
      <c r="AE88" s="668"/>
      <c r="AF88" s="668"/>
      <c r="AG88" s="668"/>
      <c r="AH88" s="668"/>
      <c r="AI88" s="668"/>
      <c r="AJ88" s="668"/>
      <c r="AK88" s="668"/>
      <c r="AL88" s="668"/>
      <c r="AM88" s="722"/>
      <c r="AN88" s="722"/>
      <c r="AO88" s="722"/>
      <c r="AP88" s="722"/>
      <c r="AQ88" s="722"/>
      <c r="AR88" s="722"/>
      <c r="AS88" s="722"/>
      <c r="AT88" s="722"/>
      <c r="AU88" s="722"/>
      <c r="AV88" s="171"/>
      <c r="AW88" s="171"/>
      <c r="AX88" s="171"/>
    </row>
    <row r="89" spans="1:52" ht="15" customHeight="1" x14ac:dyDescent="0.3">
      <c r="A89" s="632"/>
      <c r="B89" s="633"/>
      <c r="C89" s="633"/>
      <c r="D89" s="633"/>
      <c r="E89" s="633"/>
      <c r="F89" s="633"/>
      <c r="G89" s="633"/>
      <c r="H89" s="633"/>
      <c r="I89" s="633"/>
      <c r="J89" s="633"/>
      <c r="K89" s="633"/>
      <c r="L89" s="633"/>
      <c r="M89" s="633"/>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724"/>
      <c r="AN89" s="724"/>
      <c r="AO89" s="724"/>
      <c r="AP89" s="724"/>
      <c r="AQ89" s="724"/>
      <c r="AR89" s="724"/>
      <c r="AS89" s="724"/>
      <c r="AT89" s="724"/>
      <c r="AU89" s="724"/>
      <c r="AV89" s="724"/>
      <c r="AW89" s="724"/>
      <c r="AX89" s="724"/>
      <c r="AY89" s="724"/>
      <c r="AZ89" s="724"/>
    </row>
    <row r="90" spans="1:52" ht="75.45" customHeight="1" x14ac:dyDescent="0.3">
      <c r="A90" s="308" t="s">
        <v>1105</v>
      </c>
      <c r="B90" s="332"/>
      <c r="C90" s="332"/>
      <c r="D90" s="332"/>
      <c r="E90" s="332"/>
      <c r="F90" s="332"/>
      <c r="G90" s="332"/>
      <c r="H90" s="332"/>
      <c r="I90" s="332"/>
      <c r="J90" s="332"/>
      <c r="K90" s="332"/>
      <c r="L90" s="332"/>
      <c r="M90" s="332"/>
      <c r="N90" s="332"/>
      <c r="O90" s="332"/>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c r="AM90" s="724"/>
      <c r="AN90" s="724"/>
      <c r="AO90" s="724"/>
      <c r="AP90" s="724"/>
      <c r="AQ90" s="724"/>
      <c r="AR90" s="724"/>
      <c r="AS90" s="724"/>
      <c r="AT90" s="724"/>
      <c r="AU90" s="724"/>
      <c r="AV90" s="724"/>
      <c r="AW90" s="724"/>
      <c r="AX90" s="724"/>
      <c r="AY90" s="724"/>
      <c r="AZ90" s="724"/>
    </row>
    <row r="91" spans="1:52" ht="15" customHeight="1" x14ac:dyDescent="0.3">
      <c r="A91" s="725"/>
      <c r="B91" s="726"/>
      <c r="C91" s="726"/>
      <c r="D91" s="726"/>
      <c r="E91" s="726"/>
      <c r="F91" s="726"/>
      <c r="G91" s="726"/>
      <c r="H91" s="726"/>
      <c r="I91" s="726"/>
      <c r="J91" s="726"/>
      <c r="K91" s="726"/>
      <c r="L91" s="726"/>
      <c r="M91" s="726"/>
      <c r="N91" s="726"/>
      <c r="O91" s="726"/>
      <c r="P91" s="726"/>
      <c r="Q91" s="726"/>
      <c r="R91" s="726"/>
      <c r="S91" s="726"/>
      <c r="T91" s="726"/>
      <c r="U91" s="726"/>
      <c r="V91" s="726"/>
      <c r="W91" s="726"/>
      <c r="X91" s="726"/>
      <c r="Y91" s="726"/>
      <c r="Z91" s="726"/>
      <c r="AA91" s="726"/>
      <c r="AB91" s="726"/>
      <c r="AC91" s="726"/>
      <c r="AD91" s="726"/>
      <c r="AE91" s="726"/>
      <c r="AF91" s="726"/>
      <c r="AG91" s="726"/>
      <c r="AH91" s="726"/>
      <c r="AI91" s="726"/>
      <c r="AJ91" s="726"/>
      <c r="AK91" s="726"/>
      <c r="AL91" s="727"/>
      <c r="AM91" s="724"/>
      <c r="AN91" s="724"/>
      <c r="AO91" s="724"/>
      <c r="AP91" s="724"/>
      <c r="AQ91" s="724"/>
      <c r="AR91" s="724"/>
      <c r="AS91" s="724"/>
      <c r="AT91" s="724"/>
      <c r="AU91" s="724"/>
      <c r="AV91" s="724"/>
      <c r="AW91" s="724"/>
      <c r="AX91" s="724"/>
      <c r="AY91" s="724"/>
      <c r="AZ91" s="724"/>
    </row>
    <row r="92" spans="1:52" x14ac:dyDescent="0.3">
      <c r="A92" s="328" t="s">
        <v>687</v>
      </c>
      <c r="B92" s="328"/>
      <c r="C92" s="328"/>
      <c r="D92" s="328"/>
      <c r="E92" s="328"/>
      <c r="F92" s="328"/>
      <c r="G92" s="328"/>
      <c r="H92" s="328"/>
      <c r="I92" s="328"/>
      <c r="J92" s="328"/>
      <c r="K92" s="328"/>
      <c r="L92" s="328"/>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724"/>
      <c r="AN92" s="724"/>
      <c r="AO92" s="724"/>
      <c r="AP92" s="724"/>
      <c r="AQ92" s="724"/>
      <c r="AR92" s="724"/>
      <c r="AS92" s="724"/>
      <c r="AT92" s="724"/>
      <c r="AU92" s="724"/>
      <c r="AV92" s="724"/>
      <c r="AW92" s="724"/>
      <c r="AX92" s="724"/>
      <c r="AY92" s="724"/>
      <c r="AZ92" s="724"/>
    </row>
    <row r="93" spans="1:52" ht="31.5" customHeight="1" x14ac:dyDescent="0.3">
      <c r="A93" s="405" t="s">
        <v>735</v>
      </c>
      <c r="B93" s="668"/>
      <c r="C93" s="668"/>
      <c r="D93" s="668"/>
      <c r="E93" s="668"/>
      <c r="F93" s="668"/>
      <c r="G93" s="668"/>
      <c r="H93" s="668"/>
      <c r="I93" s="668"/>
      <c r="J93" s="668"/>
      <c r="K93" s="668"/>
      <c r="L93" s="668"/>
      <c r="M93" s="668"/>
      <c r="N93" s="668"/>
      <c r="O93" s="668"/>
      <c r="P93" s="668"/>
      <c r="Q93" s="668"/>
      <c r="R93" s="668"/>
      <c r="S93" s="668"/>
      <c r="T93" s="668"/>
      <c r="U93" s="668"/>
      <c r="V93" s="668"/>
      <c r="W93" s="668"/>
      <c r="X93" s="668"/>
      <c r="Y93" s="668"/>
      <c r="Z93" s="668"/>
      <c r="AA93" s="668"/>
      <c r="AB93" s="668"/>
      <c r="AC93" s="668"/>
      <c r="AD93" s="668"/>
      <c r="AE93" s="668"/>
      <c r="AF93" s="668"/>
      <c r="AG93" s="668"/>
      <c r="AH93" s="668"/>
      <c r="AI93" s="668"/>
      <c r="AJ93" s="668"/>
      <c r="AK93" s="668"/>
      <c r="AL93" s="711"/>
    </row>
    <row r="94" spans="1:52" ht="45" customHeight="1" x14ac:dyDescent="0.3">
      <c r="A94" s="670" t="s">
        <v>736</v>
      </c>
      <c r="B94" s="671"/>
      <c r="C94" s="671"/>
      <c r="D94" s="671"/>
      <c r="E94" s="671"/>
      <c r="F94" s="671"/>
      <c r="G94" s="671"/>
      <c r="H94" s="671"/>
      <c r="I94" s="671"/>
      <c r="J94" s="671"/>
      <c r="K94" s="671"/>
      <c r="L94" s="671"/>
      <c r="M94" s="671"/>
      <c r="N94" s="671"/>
      <c r="O94" s="671"/>
      <c r="P94" s="671"/>
      <c r="Q94" s="671"/>
      <c r="R94" s="671"/>
      <c r="S94" s="671"/>
      <c r="T94" s="671"/>
      <c r="U94" s="671"/>
      <c r="V94" s="671"/>
      <c r="W94" s="671"/>
      <c r="X94" s="671"/>
      <c r="Y94" s="671"/>
      <c r="Z94" s="671"/>
      <c r="AA94" s="671"/>
      <c r="AB94" s="671"/>
      <c r="AC94" s="671"/>
      <c r="AD94" s="671"/>
      <c r="AE94" s="671"/>
      <c r="AF94" s="671"/>
      <c r="AG94" s="671"/>
      <c r="AH94" s="671"/>
      <c r="AI94" s="671"/>
      <c r="AJ94" s="671"/>
      <c r="AK94" s="671"/>
      <c r="AL94" s="672"/>
      <c r="AM94" s="101"/>
    </row>
    <row r="95" spans="1:52" ht="40.5" customHeight="1" x14ac:dyDescent="0.3">
      <c r="A95" s="308" t="s">
        <v>1109</v>
      </c>
      <c r="B95" s="332"/>
      <c r="C95" s="332"/>
      <c r="D95" s="332"/>
      <c r="E95" s="332"/>
      <c r="F95" s="332"/>
      <c r="G95" s="332"/>
      <c r="H95" s="332"/>
      <c r="I95" s="332"/>
      <c r="J95" s="332"/>
      <c r="K95" s="332"/>
      <c r="L95" s="332"/>
      <c r="M95" s="332"/>
      <c r="N95" s="332"/>
      <c r="O95" s="332"/>
      <c r="P95" s="332"/>
      <c r="Q95" s="332"/>
      <c r="R95" s="332"/>
      <c r="S95" s="332"/>
      <c r="T95" s="332"/>
      <c r="U95" s="332"/>
      <c r="V95" s="332"/>
      <c r="W95" s="332"/>
      <c r="X95" s="332"/>
      <c r="Y95" s="332"/>
      <c r="Z95" s="332"/>
      <c r="AA95" s="332"/>
      <c r="AB95" s="332"/>
      <c r="AC95" s="332"/>
      <c r="AD95" s="332"/>
      <c r="AE95" s="332"/>
      <c r="AF95" s="332"/>
      <c r="AG95" s="332"/>
      <c r="AH95" s="332"/>
      <c r="AI95" s="332"/>
      <c r="AJ95" s="332"/>
      <c r="AK95" s="332"/>
      <c r="AL95" s="332"/>
    </row>
    <row r="96" spans="1:52" ht="45" customHeight="1" x14ac:dyDescent="0.3">
      <c r="A96" s="333" t="s">
        <v>742</v>
      </c>
      <c r="B96" s="333"/>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c r="AM96" s="101"/>
    </row>
    <row r="97" spans="1:39" ht="45" customHeight="1" x14ac:dyDescent="0.3">
      <c r="A97" s="405" t="s">
        <v>1131</v>
      </c>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c r="AA97" s="382"/>
      <c r="AB97" s="382"/>
      <c r="AC97" s="382"/>
      <c r="AD97" s="382"/>
      <c r="AE97" s="382"/>
      <c r="AF97" s="382"/>
      <c r="AG97" s="382"/>
      <c r="AH97" s="382"/>
      <c r="AI97" s="382"/>
      <c r="AJ97" s="382"/>
      <c r="AK97" s="382"/>
      <c r="AL97" s="383"/>
      <c r="AM97" s="101"/>
    </row>
    <row r="98" spans="1:39" ht="45" customHeight="1" x14ac:dyDescent="0.3">
      <c r="A98" s="406" t="s">
        <v>749</v>
      </c>
      <c r="B98" s="406"/>
      <c r="C98" s="406"/>
      <c r="D98" s="406"/>
      <c r="E98" s="406"/>
      <c r="F98" s="406"/>
      <c r="G98" s="406"/>
      <c r="H98" s="406"/>
      <c r="I98" s="406"/>
      <c r="J98" s="406"/>
      <c r="K98" s="406"/>
      <c r="L98" s="406"/>
      <c r="M98" s="406"/>
      <c r="N98" s="406"/>
      <c r="O98" s="406"/>
      <c r="P98" s="406"/>
      <c r="Q98" s="406"/>
      <c r="R98" s="406"/>
      <c r="S98" s="406"/>
      <c r="T98" s="406"/>
      <c r="U98" s="406"/>
      <c r="V98" s="406"/>
      <c r="W98" s="406"/>
      <c r="X98" s="406"/>
      <c r="Y98" s="406"/>
      <c r="Z98" s="406"/>
      <c r="AA98" s="401"/>
      <c r="AB98" s="402"/>
      <c r="AC98" s="402"/>
      <c r="AD98" s="402"/>
      <c r="AE98" s="402"/>
      <c r="AF98" s="402"/>
      <c r="AG98" s="402"/>
      <c r="AH98" s="402"/>
      <c r="AI98" s="402"/>
      <c r="AJ98" s="402"/>
      <c r="AK98" s="402"/>
      <c r="AL98" s="402"/>
      <c r="AM98" s="101"/>
    </row>
    <row r="99" spans="1:39" ht="45" customHeight="1" x14ac:dyDescent="0.3">
      <c r="A99" s="381" t="s">
        <v>750</v>
      </c>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c r="Z99" s="383"/>
      <c r="AA99" s="407"/>
      <c r="AB99" s="408"/>
      <c r="AC99" s="408"/>
      <c r="AD99" s="408"/>
      <c r="AE99" s="408"/>
      <c r="AF99" s="408"/>
      <c r="AG99" s="408"/>
      <c r="AH99" s="408"/>
      <c r="AI99" s="408"/>
      <c r="AJ99" s="408"/>
      <c r="AK99" s="408"/>
      <c r="AL99" s="408"/>
      <c r="AM99" s="101"/>
    </row>
    <row r="100" spans="1:39" ht="45" customHeight="1" x14ac:dyDescent="0.3">
      <c r="A100" s="314" t="s">
        <v>931</v>
      </c>
      <c r="B100" s="315"/>
      <c r="C100" s="315"/>
      <c r="D100" s="315"/>
      <c r="E100" s="315"/>
      <c r="F100" s="315"/>
      <c r="G100" s="315"/>
      <c r="H100" s="315"/>
      <c r="I100" s="315"/>
      <c r="J100" s="315"/>
      <c r="K100" s="315"/>
      <c r="L100" s="315"/>
      <c r="M100" s="315"/>
      <c r="N100" s="315"/>
      <c r="O100" s="315"/>
      <c r="P100" s="315"/>
      <c r="Q100" s="315"/>
      <c r="R100" s="315"/>
      <c r="S100" s="315"/>
      <c r="T100" s="315"/>
      <c r="U100" s="315"/>
      <c r="V100" s="315"/>
      <c r="W100" s="315"/>
      <c r="X100" s="315"/>
      <c r="Y100" s="315"/>
      <c r="Z100" s="315"/>
      <c r="AA100" s="398" t="s">
        <v>865</v>
      </c>
      <c r="AB100" s="399"/>
      <c r="AC100" s="399"/>
      <c r="AD100" s="399"/>
      <c r="AE100" s="399"/>
      <c r="AF100" s="399"/>
      <c r="AG100" s="399"/>
      <c r="AH100" s="399"/>
      <c r="AI100" s="400"/>
      <c r="AJ100" s="401"/>
      <c r="AK100" s="402"/>
      <c r="AL100" s="402"/>
      <c r="AM100" s="101"/>
    </row>
    <row r="101" spans="1:39" ht="45" customHeight="1" x14ac:dyDescent="0.3">
      <c r="A101" s="409"/>
      <c r="B101" s="397"/>
      <c r="C101" s="397"/>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c r="AA101" s="398" t="s">
        <v>866</v>
      </c>
      <c r="AB101" s="399"/>
      <c r="AC101" s="399"/>
      <c r="AD101" s="399"/>
      <c r="AE101" s="399"/>
      <c r="AF101" s="399"/>
      <c r="AG101" s="399"/>
      <c r="AH101" s="399"/>
      <c r="AI101" s="400"/>
      <c r="AJ101" s="401"/>
      <c r="AK101" s="402"/>
      <c r="AL101" s="402"/>
      <c r="AM101" s="101"/>
    </row>
    <row r="102" spans="1:39" ht="87.45" customHeight="1" x14ac:dyDescent="0.3">
      <c r="A102" s="381" t="s">
        <v>932</v>
      </c>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82"/>
      <c r="X102" s="382"/>
      <c r="Y102" s="382"/>
      <c r="Z102" s="383"/>
      <c r="AA102" s="384"/>
      <c r="AB102" s="385"/>
      <c r="AC102" s="385"/>
      <c r="AD102" s="385"/>
      <c r="AE102" s="385"/>
      <c r="AF102" s="385"/>
      <c r="AG102" s="385"/>
      <c r="AH102" s="385"/>
      <c r="AI102" s="385"/>
      <c r="AJ102" s="385"/>
      <c r="AK102" s="385"/>
      <c r="AL102" s="385"/>
      <c r="AM102" s="101"/>
    </row>
    <row r="103" spans="1:39" ht="45" customHeight="1" x14ac:dyDescent="0.3">
      <c r="A103" s="377" t="s">
        <v>1132</v>
      </c>
      <c r="B103" s="377"/>
      <c r="C103" s="377"/>
      <c r="D103" s="377"/>
      <c r="E103" s="377"/>
      <c r="F103" s="377"/>
      <c r="G103" s="377"/>
      <c r="H103" s="377"/>
      <c r="I103" s="377"/>
      <c r="J103" s="377"/>
      <c r="K103" s="377"/>
      <c r="L103" s="377"/>
      <c r="M103" s="377"/>
      <c r="N103" s="377"/>
      <c r="O103" s="377"/>
      <c r="P103" s="377"/>
      <c r="Q103" s="377"/>
      <c r="R103" s="377"/>
      <c r="S103" s="377"/>
      <c r="T103" s="377"/>
      <c r="U103" s="377"/>
      <c r="V103" s="377"/>
      <c r="W103" s="377"/>
      <c r="X103" s="377"/>
      <c r="Y103" s="377"/>
      <c r="Z103" s="378"/>
      <c r="AA103" s="398" t="s">
        <v>956</v>
      </c>
      <c r="AB103" s="399"/>
      <c r="AC103" s="399"/>
      <c r="AD103" s="399"/>
      <c r="AE103" s="399"/>
      <c r="AF103" s="399"/>
      <c r="AG103" s="399"/>
      <c r="AH103" s="399"/>
      <c r="AI103" s="400"/>
      <c r="AJ103" s="401"/>
      <c r="AK103" s="402"/>
      <c r="AL103" s="402"/>
      <c r="AM103" s="101"/>
    </row>
    <row r="104" spans="1:39" ht="40.950000000000003" customHeight="1" x14ac:dyDescent="0.3">
      <c r="A104" s="379"/>
      <c r="B104" s="379"/>
      <c r="C104" s="379"/>
      <c r="D104" s="379"/>
      <c r="E104" s="379"/>
      <c r="F104" s="379"/>
      <c r="G104" s="379"/>
      <c r="H104" s="379"/>
      <c r="I104" s="379"/>
      <c r="J104" s="379"/>
      <c r="K104" s="379"/>
      <c r="L104" s="379"/>
      <c r="M104" s="379"/>
      <c r="N104" s="379"/>
      <c r="O104" s="379"/>
      <c r="P104" s="379"/>
      <c r="Q104" s="379"/>
      <c r="R104" s="379"/>
      <c r="S104" s="379"/>
      <c r="T104" s="379"/>
      <c r="U104" s="379"/>
      <c r="V104" s="379"/>
      <c r="W104" s="379"/>
      <c r="X104" s="379"/>
      <c r="Y104" s="379"/>
      <c r="Z104" s="380"/>
      <c r="AA104" s="398" t="s">
        <v>955</v>
      </c>
      <c r="AB104" s="399"/>
      <c r="AC104" s="399"/>
      <c r="AD104" s="399"/>
      <c r="AE104" s="399"/>
      <c r="AF104" s="399"/>
      <c r="AG104" s="399"/>
      <c r="AH104" s="399"/>
      <c r="AI104" s="400"/>
      <c r="AJ104" s="407"/>
      <c r="AK104" s="408"/>
      <c r="AL104" s="408"/>
      <c r="AM104" s="101"/>
    </row>
    <row r="105" spans="1:39" ht="45" customHeight="1" x14ac:dyDescent="0.3">
      <c r="A105" s="315" t="s">
        <v>933</v>
      </c>
      <c r="B105" s="315"/>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c r="Y105" s="315"/>
      <c r="Z105" s="315"/>
      <c r="AA105" s="398" t="s">
        <v>956</v>
      </c>
      <c r="AB105" s="399"/>
      <c r="AC105" s="399"/>
      <c r="AD105" s="399"/>
      <c r="AE105" s="399"/>
      <c r="AF105" s="399"/>
      <c r="AG105" s="399"/>
      <c r="AH105" s="399"/>
      <c r="AI105" s="400"/>
      <c r="AJ105" s="401"/>
      <c r="AK105" s="402"/>
      <c r="AL105" s="402"/>
      <c r="AM105" s="101"/>
    </row>
    <row r="106" spans="1:39" ht="45" customHeight="1" x14ac:dyDescent="0.3">
      <c r="A106" s="397"/>
      <c r="B106" s="397"/>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c r="AA106" s="398" t="s">
        <v>955</v>
      </c>
      <c r="AB106" s="399"/>
      <c r="AC106" s="399"/>
      <c r="AD106" s="399"/>
      <c r="AE106" s="399"/>
      <c r="AF106" s="399"/>
      <c r="AG106" s="399"/>
      <c r="AH106" s="399"/>
      <c r="AI106" s="400"/>
      <c r="AJ106" s="401"/>
      <c r="AK106" s="402"/>
      <c r="AL106" s="402"/>
      <c r="AM106" s="101"/>
    </row>
    <row r="107" spans="1:39" ht="45" customHeight="1" x14ac:dyDescent="0.3">
      <c r="A107" s="404" t="s">
        <v>929</v>
      </c>
      <c r="B107" s="404"/>
      <c r="C107" s="404"/>
      <c r="D107" s="404"/>
      <c r="E107" s="404"/>
      <c r="F107" s="404"/>
      <c r="G107" s="404"/>
      <c r="H107" s="404"/>
      <c r="I107" s="404"/>
      <c r="J107" s="404"/>
      <c r="K107" s="404"/>
      <c r="L107" s="404"/>
      <c r="M107" s="404"/>
      <c r="N107" s="404"/>
      <c r="O107" s="404"/>
      <c r="P107" s="404"/>
      <c r="Q107" s="404"/>
      <c r="R107" s="404"/>
      <c r="S107" s="404"/>
      <c r="T107" s="404"/>
      <c r="U107" s="404"/>
      <c r="V107" s="404"/>
      <c r="W107" s="404"/>
      <c r="X107" s="404"/>
      <c r="Y107" s="404"/>
      <c r="Z107" s="404"/>
      <c r="AA107" s="404"/>
      <c r="AB107" s="404"/>
      <c r="AC107" s="404"/>
      <c r="AD107" s="404"/>
      <c r="AE107" s="404"/>
      <c r="AF107" s="404"/>
      <c r="AG107" s="404"/>
      <c r="AH107" s="404"/>
      <c r="AI107" s="404"/>
      <c r="AJ107" s="404"/>
      <c r="AK107" s="404"/>
      <c r="AL107" s="404"/>
      <c r="AM107" s="101"/>
    </row>
    <row r="108" spans="1:39" ht="175.95" customHeight="1" x14ac:dyDescent="0.3">
      <c r="A108" s="318" t="s">
        <v>1018</v>
      </c>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20"/>
      <c r="AJ108" s="321" t="e">
        <f>ROUNDDOWN(A81/(A81+A83),4)</f>
        <v>#DIV/0!</v>
      </c>
      <c r="AK108" s="322"/>
      <c r="AL108" s="322"/>
      <c r="AM108" s="101"/>
    </row>
    <row r="109" spans="1:39" ht="301.5" customHeight="1" x14ac:dyDescent="0.3">
      <c r="A109" s="318" t="s">
        <v>1029</v>
      </c>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20"/>
      <c r="AJ109" s="323" t="e">
        <f>ROUNDDOWN(AJ106/AJ103,4)</f>
        <v>#DIV/0!</v>
      </c>
      <c r="AK109" s="324"/>
      <c r="AL109" s="324"/>
      <c r="AM109" s="101"/>
    </row>
    <row r="110" spans="1:39" ht="79.2" customHeight="1" x14ac:dyDescent="0.3">
      <c r="A110" s="314" t="s">
        <v>1030</v>
      </c>
      <c r="B110" s="315"/>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c r="Y110" s="315"/>
      <c r="Z110" s="315"/>
      <c r="AA110" s="315"/>
      <c r="AB110" s="315"/>
      <c r="AC110" s="315"/>
      <c r="AD110" s="315"/>
      <c r="AE110" s="315"/>
      <c r="AF110" s="315"/>
      <c r="AG110" s="315"/>
      <c r="AH110" s="315"/>
      <c r="AI110" s="315"/>
      <c r="AJ110" s="315"/>
      <c r="AK110" s="315"/>
      <c r="AL110" s="315"/>
      <c r="AM110" s="101"/>
    </row>
    <row r="111" spans="1:39" ht="114" customHeight="1" x14ac:dyDescent="0.3">
      <c r="A111" s="316"/>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c r="AA111" s="317"/>
      <c r="AB111" s="317"/>
      <c r="AC111" s="317"/>
      <c r="AD111" s="317"/>
      <c r="AE111" s="317"/>
      <c r="AF111" s="317"/>
      <c r="AG111" s="317"/>
      <c r="AH111" s="317"/>
      <c r="AI111" s="317"/>
      <c r="AJ111" s="317"/>
      <c r="AK111" s="317"/>
      <c r="AL111" s="317"/>
      <c r="AM111" s="101"/>
    </row>
    <row r="112" spans="1:39" ht="151.19999999999999" customHeight="1" x14ac:dyDescent="0.3">
      <c r="A112" s="308" t="s">
        <v>1110</v>
      </c>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row>
    <row r="113" spans="1:41" s="158" customFormat="1" ht="91.5" customHeight="1" x14ac:dyDescent="0.3">
      <c r="A113" s="135" t="s">
        <v>127</v>
      </c>
      <c r="B113" s="311" t="s">
        <v>812</v>
      </c>
      <c r="C113" s="312"/>
      <c r="D113" s="312"/>
      <c r="E113" s="312"/>
      <c r="F113" s="313"/>
      <c r="G113" s="325" t="s">
        <v>813</v>
      </c>
      <c r="H113" s="325"/>
      <c r="I113" s="325"/>
      <c r="J113" s="325"/>
      <c r="K113" s="325"/>
      <c r="L113" s="325" t="s">
        <v>185</v>
      </c>
      <c r="M113" s="325"/>
      <c r="N113" s="325"/>
      <c r="O113" s="325"/>
      <c r="P113" s="325" t="s">
        <v>184</v>
      </c>
      <c r="Q113" s="325"/>
      <c r="R113" s="325"/>
      <c r="S113" s="325"/>
      <c r="T113" s="325" t="s">
        <v>665</v>
      </c>
      <c r="U113" s="325"/>
      <c r="V113" s="325"/>
      <c r="W113" s="325"/>
      <c r="X113" s="325"/>
      <c r="Y113" s="325"/>
      <c r="Z113" s="325"/>
      <c r="AA113" s="325" t="s">
        <v>664</v>
      </c>
      <c r="AB113" s="325"/>
      <c r="AC113" s="325"/>
      <c r="AD113" s="325"/>
      <c r="AE113" s="325"/>
      <c r="AF113" s="325"/>
      <c r="AG113" s="325"/>
      <c r="AH113" s="325" t="s">
        <v>179</v>
      </c>
      <c r="AI113" s="325"/>
      <c r="AJ113" s="325"/>
      <c r="AK113" s="325" t="s">
        <v>186</v>
      </c>
      <c r="AL113" s="325"/>
      <c r="AM113" s="144" t="s">
        <v>221</v>
      </c>
      <c r="AN113" s="172"/>
      <c r="AO113" s="172"/>
    </row>
    <row r="114" spans="1:41" s="158" customFormat="1" ht="14.1" customHeight="1" x14ac:dyDescent="0.3">
      <c r="A114" s="135">
        <v>1</v>
      </c>
      <c r="B114" s="311">
        <v>2</v>
      </c>
      <c r="C114" s="312"/>
      <c r="D114" s="312"/>
      <c r="E114" s="312"/>
      <c r="F114" s="312"/>
      <c r="G114" s="311">
        <v>3</v>
      </c>
      <c r="H114" s="312"/>
      <c r="I114" s="312"/>
      <c r="J114" s="312"/>
      <c r="K114" s="313"/>
      <c r="L114" s="311">
        <v>4</v>
      </c>
      <c r="M114" s="312"/>
      <c r="N114" s="312"/>
      <c r="O114" s="313"/>
      <c r="P114" s="311">
        <v>5</v>
      </c>
      <c r="Q114" s="312"/>
      <c r="R114" s="312"/>
      <c r="S114" s="313"/>
      <c r="T114" s="311">
        <v>6</v>
      </c>
      <c r="U114" s="312"/>
      <c r="V114" s="312"/>
      <c r="W114" s="312"/>
      <c r="X114" s="312"/>
      <c r="Y114" s="312"/>
      <c r="Z114" s="313"/>
      <c r="AA114" s="311" t="s">
        <v>821</v>
      </c>
      <c r="AB114" s="312"/>
      <c r="AC114" s="312"/>
      <c r="AD114" s="312"/>
      <c r="AE114" s="312"/>
      <c r="AF114" s="312"/>
      <c r="AG114" s="313"/>
      <c r="AH114" s="311">
        <v>8</v>
      </c>
      <c r="AI114" s="312"/>
      <c r="AJ114" s="313"/>
      <c r="AK114" s="311" t="s">
        <v>666</v>
      </c>
      <c r="AL114" s="313"/>
      <c r="AM114" s="144"/>
      <c r="AN114" s="172"/>
      <c r="AO114" s="172"/>
    </row>
    <row r="115" spans="1:41" s="227" customFormat="1" ht="36" customHeight="1" x14ac:dyDescent="0.3">
      <c r="A115" s="128">
        <v>1</v>
      </c>
      <c r="B115" s="303"/>
      <c r="C115" s="304"/>
      <c r="D115" s="304"/>
      <c r="E115" s="304"/>
      <c r="F115" s="305"/>
      <c r="G115" s="300"/>
      <c r="H115" s="301"/>
      <c r="I115" s="301"/>
      <c r="J115" s="301"/>
      <c r="K115" s="302"/>
      <c r="L115" s="306"/>
      <c r="M115" s="307"/>
      <c r="N115" s="307"/>
      <c r="O115" s="307"/>
      <c r="P115" s="294">
        <f>IF(OR(B115=Słowniki!A$46,B115=Słowniki!A$56,B115=Słowniki!A$58),0.08,0.23)</f>
        <v>0.23</v>
      </c>
      <c r="Q115" s="295"/>
      <c r="R115" s="295"/>
      <c r="S115" s="295"/>
      <c r="T115" s="528">
        <v>1</v>
      </c>
      <c r="U115" s="528"/>
      <c r="V115" s="528"/>
      <c r="W115" s="528"/>
      <c r="X115" s="528"/>
      <c r="Y115" s="528"/>
      <c r="Z115" s="529"/>
      <c r="AA115" s="526">
        <f>L115+ROUND(L115*P115*T115,2)</f>
        <v>0</v>
      </c>
      <c r="AB115" s="530"/>
      <c r="AC115" s="530"/>
      <c r="AD115" s="530"/>
      <c r="AE115" s="530"/>
      <c r="AF115" s="530"/>
      <c r="AG115" s="527"/>
      <c r="AH115" s="531" t="e">
        <f>IF(OR(B115=Słowniki!A$57,B115=Słowniki!A$58),(AJ$108*AJ$109),AJ$108)</f>
        <v>#DIV/0!</v>
      </c>
      <c r="AI115" s="532"/>
      <c r="AJ115" s="533"/>
      <c r="AK115" s="526" t="e">
        <f>ROUND(AA115*AH115,2)</f>
        <v>#DIV/0!</v>
      </c>
      <c r="AL115" s="527"/>
      <c r="AM115" s="221"/>
      <c r="AN115" s="225"/>
      <c r="AO115" s="226"/>
    </row>
    <row r="116" spans="1:41" s="227" customFormat="1" ht="36" customHeight="1" x14ac:dyDescent="0.3">
      <c r="A116" s="128">
        <v>2</v>
      </c>
      <c r="B116" s="303"/>
      <c r="C116" s="304"/>
      <c r="D116" s="304"/>
      <c r="E116" s="304"/>
      <c r="F116" s="305"/>
      <c r="G116" s="300"/>
      <c r="H116" s="301"/>
      <c r="I116" s="301"/>
      <c r="J116" s="301"/>
      <c r="K116" s="302"/>
      <c r="L116" s="306"/>
      <c r="M116" s="307"/>
      <c r="N116" s="307"/>
      <c r="O116" s="307"/>
      <c r="P116" s="294">
        <f>IF(OR(B116=Słowniki!A$46,B116=Słowniki!A$56,B116=Słowniki!A$58),0.08,0.23)</f>
        <v>0.23</v>
      </c>
      <c r="Q116" s="295"/>
      <c r="R116" s="295"/>
      <c r="S116" s="295"/>
      <c r="T116" s="528">
        <v>1</v>
      </c>
      <c r="U116" s="528"/>
      <c r="V116" s="528"/>
      <c r="W116" s="528"/>
      <c r="X116" s="528"/>
      <c r="Y116" s="528"/>
      <c r="Z116" s="529"/>
      <c r="AA116" s="526">
        <f t="shared" ref="AA116:AA136" si="0">L116+ROUND(L116*P116*T116,2)</f>
        <v>0</v>
      </c>
      <c r="AB116" s="530"/>
      <c r="AC116" s="530"/>
      <c r="AD116" s="530"/>
      <c r="AE116" s="530"/>
      <c r="AF116" s="530"/>
      <c r="AG116" s="527"/>
      <c r="AH116" s="531" t="e">
        <f>IF(OR(B116=Słowniki!A$57,B116=Słowniki!A$58),(AJ$108*AJ$109),AJ$108)</f>
        <v>#DIV/0!</v>
      </c>
      <c r="AI116" s="532"/>
      <c r="AJ116" s="533"/>
      <c r="AK116" s="526" t="e">
        <f t="shared" ref="AK116:AK136" si="1">ROUND(AA116*AH116,2)</f>
        <v>#DIV/0!</v>
      </c>
      <c r="AL116" s="527"/>
      <c r="AM116" s="221"/>
      <c r="AN116" s="225"/>
      <c r="AO116" s="226"/>
    </row>
    <row r="117" spans="1:41" s="227" customFormat="1" ht="36" customHeight="1" x14ac:dyDescent="0.3">
      <c r="A117" s="128">
        <v>3</v>
      </c>
      <c r="B117" s="303"/>
      <c r="C117" s="304"/>
      <c r="D117" s="304"/>
      <c r="E117" s="304"/>
      <c r="F117" s="305"/>
      <c r="G117" s="300"/>
      <c r="H117" s="301"/>
      <c r="I117" s="301"/>
      <c r="J117" s="301"/>
      <c r="K117" s="302"/>
      <c r="L117" s="306"/>
      <c r="M117" s="307"/>
      <c r="N117" s="307"/>
      <c r="O117" s="307"/>
      <c r="P117" s="294">
        <f>IF(OR(B117=Słowniki!A$46,B117=Słowniki!A$56,B117=Słowniki!A$58),0.08,0.23)</f>
        <v>0.23</v>
      </c>
      <c r="Q117" s="295"/>
      <c r="R117" s="295"/>
      <c r="S117" s="295"/>
      <c r="T117" s="528">
        <v>1</v>
      </c>
      <c r="U117" s="528"/>
      <c r="V117" s="528"/>
      <c r="W117" s="528"/>
      <c r="X117" s="528"/>
      <c r="Y117" s="528"/>
      <c r="Z117" s="529"/>
      <c r="AA117" s="526">
        <f t="shared" si="0"/>
        <v>0</v>
      </c>
      <c r="AB117" s="530"/>
      <c r="AC117" s="530"/>
      <c r="AD117" s="530"/>
      <c r="AE117" s="530"/>
      <c r="AF117" s="530"/>
      <c r="AG117" s="527"/>
      <c r="AH117" s="531" t="e">
        <f>IF(OR(B117=Słowniki!A$57,B117=Słowniki!A$58),(AJ$108*AJ$109),AJ$108)</f>
        <v>#DIV/0!</v>
      </c>
      <c r="AI117" s="532"/>
      <c r="AJ117" s="533"/>
      <c r="AK117" s="526" t="e">
        <f t="shared" si="1"/>
        <v>#DIV/0!</v>
      </c>
      <c r="AL117" s="527"/>
      <c r="AM117" s="221"/>
      <c r="AN117" s="225"/>
      <c r="AO117" s="226"/>
    </row>
    <row r="118" spans="1:41" s="227" customFormat="1" ht="36" customHeight="1" x14ac:dyDescent="0.3">
      <c r="A118" s="128">
        <v>4</v>
      </c>
      <c r="B118" s="303"/>
      <c r="C118" s="304"/>
      <c r="D118" s="304"/>
      <c r="E118" s="304"/>
      <c r="F118" s="305"/>
      <c r="G118" s="300"/>
      <c r="H118" s="301"/>
      <c r="I118" s="301"/>
      <c r="J118" s="301"/>
      <c r="K118" s="302"/>
      <c r="L118" s="306"/>
      <c r="M118" s="307"/>
      <c r="N118" s="307"/>
      <c r="O118" s="307"/>
      <c r="P118" s="294">
        <f>IF(OR(B118=Słowniki!A$46,B118=Słowniki!A$56,B118=Słowniki!A$58),0.08,0.23)</f>
        <v>0.23</v>
      </c>
      <c r="Q118" s="295"/>
      <c r="R118" s="295"/>
      <c r="S118" s="295"/>
      <c r="T118" s="528">
        <v>1</v>
      </c>
      <c r="U118" s="528"/>
      <c r="V118" s="528"/>
      <c r="W118" s="528"/>
      <c r="X118" s="528"/>
      <c r="Y118" s="528"/>
      <c r="Z118" s="529"/>
      <c r="AA118" s="526">
        <f t="shared" si="0"/>
        <v>0</v>
      </c>
      <c r="AB118" s="530"/>
      <c r="AC118" s="530"/>
      <c r="AD118" s="530"/>
      <c r="AE118" s="530"/>
      <c r="AF118" s="530"/>
      <c r="AG118" s="527"/>
      <c r="AH118" s="531" t="e">
        <f>IF(OR(B118=Słowniki!A$57,B118=Słowniki!A$58),(AJ$108*AJ$109),AJ$108)</f>
        <v>#DIV/0!</v>
      </c>
      <c r="AI118" s="532"/>
      <c r="AJ118" s="533"/>
      <c r="AK118" s="526" t="e">
        <f t="shared" si="1"/>
        <v>#DIV/0!</v>
      </c>
      <c r="AL118" s="527"/>
      <c r="AM118" s="221"/>
      <c r="AN118" s="225"/>
      <c r="AO118" s="226"/>
    </row>
    <row r="119" spans="1:41" s="227" customFormat="1" ht="36" customHeight="1" x14ac:dyDescent="0.3">
      <c r="A119" s="128">
        <v>5</v>
      </c>
      <c r="B119" s="303"/>
      <c r="C119" s="304"/>
      <c r="D119" s="304"/>
      <c r="E119" s="304"/>
      <c r="F119" s="305"/>
      <c r="G119" s="300"/>
      <c r="H119" s="301"/>
      <c r="I119" s="301"/>
      <c r="J119" s="301"/>
      <c r="K119" s="302"/>
      <c r="L119" s="306"/>
      <c r="M119" s="307"/>
      <c r="N119" s="307"/>
      <c r="O119" s="307"/>
      <c r="P119" s="294">
        <f>IF(OR(B119=Słowniki!A$46,B119=Słowniki!A$56,B119=Słowniki!A$58),0.08,0.23)</f>
        <v>0.23</v>
      </c>
      <c r="Q119" s="295"/>
      <c r="R119" s="295"/>
      <c r="S119" s="295"/>
      <c r="T119" s="528">
        <v>1</v>
      </c>
      <c r="U119" s="528"/>
      <c r="V119" s="528"/>
      <c r="W119" s="528"/>
      <c r="X119" s="528"/>
      <c r="Y119" s="528"/>
      <c r="Z119" s="529"/>
      <c r="AA119" s="526">
        <f t="shared" si="0"/>
        <v>0</v>
      </c>
      <c r="AB119" s="530"/>
      <c r="AC119" s="530"/>
      <c r="AD119" s="530"/>
      <c r="AE119" s="530"/>
      <c r="AF119" s="530"/>
      <c r="AG119" s="527"/>
      <c r="AH119" s="531" t="e">
        <f>IF(OR(B119=Słowniki!A$57,B119=Słowniki!A$58),(AJ$108*AJ$109),AJ$108)</f>
        <v>#DIV/0!</v>
      </c>
      <c r="AI119" s="532"/>
      <c r="AJ119" s="533"/>
      <c r="AK119" s="526" t="e">
        <f t="shared" si="1"/>
        <v>#DIV/0!</v>
      </c>
      <c r="AL119" s="527"/>
      <c r="AM119" s="221"/>
      <c r="AN119" s="225"/>
      <c r="AO119" s="226"/>
    </row>
    <row r="120" spans="1:41" s="227" customFormat="1" ht="36" customHeight="1" x14ac:dyDescent="0.3">
      <c r="A120" s="128">
        <v>6</v>
      </c>
      <c r="B120" s="303"/>
      <c r="C120" s="304"/>
      <c r="D120" s="304"/>
      <c r="E120" s="304"/>
      <c r="F120" s="305"/>
      <c r="G120" s="300"/>
      <c r="H120" s="301"/>
      <c r="I120" s="301"/>
      <c r="J120" s="301"/>
      <c r="K120" s="302"/>
      <c r="L120" s="306"/>
      <c r="M120" s="307"/>
      <c r="N120" s="307"/>
      <c r="O120" s="307"/>
      <c r="P120" s="294">
        <f>IF(OR(B120=Słowniki!A$46,B120=Słowniki!A$56,B120=Słowniki!A$58),0.08,0.23)</f>
        <v>0.23</v>
      </c>
      <c r="Q120" s="295"/>
      <c r="R120" s="295"/>
      <c r="S120" s="295"/>
      <c r="T120" s="528">
        <v>1</v>
      </c>
      <c r="U120" s="528"/>
      <c r="V120" s="528"/>
      <c r="W120" s="528"/>
      <c r="X120" s="528"/>
      <c r="Y120" s="528"/>
      <c r="Z120" s="529"/>
      <c r="AA120" s="526">
        <f t="shared" si="0"/>
        <v>0</v>
      </c>
      <c r="AB120" s="530"/>
      <c r="AC120" s="530"/>
      <c r="AD120" s="530"/>
      <c r="AE120" s="530"/>
      <c r="AF120" s="530"/>
      <c r="AG120" s="527"/>
      <c r="AH120" s="531" t="e">
        <f>IF(OR(B120=Słowniki!A$57,B120=Słowniki!A$58),(AJ$108*AJ$109),AJ$108)</f>
        <v>#DIV/0!</v>
      </c>
      <c r="AI120" s="532"/>
      <c r="AJ120" s="533"/>
      <c r="AK120" s="526" t="e">
        <f t="shared" si="1"/>
        <v>#DIV/0!</v>
      </c>
      <c r="AL120" s="527"/>
      <c r="AM120" s="221"/>
      <c r="AN120" s="225"/>
      <c r="AO120" s="226"/>
    </row>
    <row r="121" spans="1:41" s="227" customFormat="1" ht="36" customHeight="1" x14ac:dyDescent="0.3">
      <c r="A121" s="128">
        <v>7</v>
      </c>
      <c r="B121" s="303"/>
      <c r="C121" s="304"/>
      <c r="D121" s="304"/>
      <c r="E121" s="304"/>
      <c r="F121" s="305"/>
      <c r="G121" s="300"/>
      <c r="H121" s="301"/>
      <c r="I121" s="301"/>
      <c r="J121" s="301"/>
      <c r="K121" s="302"/>
      <c r="L121" s="306"/>
      <c r="M121" s="307"/>
      <c r="N121" s="307"/>
      <c r="O121" s="307"/>
      <c r="P121" s="294">
        <f>IF(OR(B121=Słowniki!A$46,B121=Słowniki!A$56,B121=Słowniki!A$58),0.08,0.23)</f>
        <v>0.23</v>
      </c>
      <c r="Q121" s="295"/>
      <c r="R121" s="295"/>
      <c r="S121" s="295"/>
      <c r="T121" s="528">
        <v>1</v>
      </c>
      <c r="U121" s="528"/>
      <c r="V121" s="528"/>
      <c r="W121" s="528"/>
      <c r="X121" s="528"/>
      <c r="Y121" s="528"/>
      <c r="Z121" s="529"/>
      <c r="AA121" s="526">
        <f t="shared" si="0"/>
        <v>0</v>
      </c>
      <c r="AB121" s="530"/>
      <c r="AC121" s="530"/>
      <c r="AD121" s="530"/>
      <c r="AE121" s="530"/>
      <c r="AF121" s="530"/>
      <c r="AG121" s="527"/>
      <c r="AH121" s="531" t="e">
        <f>IF(OR(B121=Słowniki!A$57,B121=Słowniki!A$58),(AJ$108*AJ$109),AJ$108)</f>
        <v>#DIV/0!</v>
      </c>
      <c r="AI121" s="532"/>
      <c r="AJ121" s="533"/>
      <c r="AK121" s="526" t="e">
        <f t="shared" si="1"/>
        <v>#DIV/0!</v>
      </c>
      <c r="AL121" s="527"/>
      <c r="AM121" s="221"/>
      <c r="AN121" s="225"/>
      <c r="AO121" s="226"/>
    </row>
    <row r="122" spans="1:41" s="227" customFormat="1" ht="36" customHeight="1" x14ac:dyDescent="0.3">
      <c r="A122" s="128">
        <v>8</v>
      </c>
      <c r="B122" s="303"/>
      <c r="C122" s="304"/>
      <c r="D122" s="304"/>
      <c r="E122" s="304"/>
      <c r="F122" s="305"/>
      <c r="G122" s="300"/>
      <c r="H122" s="301"/>
      <c r="I122" s="301"/>
      <c r="J122" s="301"/>
      <c r="K122" s="302"/>
      <c r="L122" s="306"/>
      <c r="M122" s="307"/>
      <c r="N122" s="307"/>
      <c r="O122" s="307"/>
      <c r="P122" s="294">
        <f>IF(OR(B122=Słowniki!A$46,B122=Słowniki!A$56,B122=Słowniki!A$58),0.08,0.23)</f>
        <v>0.23</v>
      </c>
      <c r="Q122" s="295"/>
      <c r="R122" s="295"/>
      <c r="S122" s="295"/>
      <c r="T122" s="528">
        <v>1</v>
      </c>
      <c r="U122" s="528"/>
      <c r="V122" s="528"/>
      <c r="W122" s="528"/>
      <c r="X122" s="528"/>
      <c r="Y122" s="528"/>
      <c r="Z122" s="529"/>
      <c r="AA122" s="526">
        <f t="shared" si="0"/>
        <v>0</v>
      </c>
      <c r="AB122" s="530"/>
      <c r="AC122" s="530"/>
      <c r="AD122" s="530"/>
      <c r="AE122" s="530"/>
      <c r="AF122" s="530"/>
      <c r="AG122" s="527"/>
      <c r="AH122" s="531" t="e">
        <f>IF(OR(B122=Słowniki!A$57,B122=Słowniki!A$58),(AJ$108*AJ$109),AJ$108)</f>
        <v>#DIV/0!</v>
      </c>
      <c r="AI122" s="532"/>
      <c r="AJ122" s="533"/>
      <c r="AK122" s="526" t="e">
        <f t="shared" si="1"/>
        <v>#DIV/0!</v>
      </c>
      <c r="AL122" s="527"/>
      <c r="AM122" s="221"/>
      <c r="AN122" s="225"/>
      <c r="AO122" s="226"/>
    </row>
    <row r="123" spans="1:41" s="227" customFormat="1" ht="36" customHeight="1" x14ac:dyDescent="0.3">
      <c r="A123" s="128">
        <v>9</v>
      </c>
      <c r="B123" s="303"/>
      <c r="C123" s="304"/>
      <c r="D123" s="304"/>
      <c r="E123" s="304"/>
      <c r="F123" s="305"/>
      <c r="G123" s="300"/>
      <c r="H123" s="301"/>
      <c r="I123" s="301"/>
      <c r="J123" s="301"/>
      <c r="K123" s="302"/>
      <c r="L123" s="306"/>
      <c r="M123" s="307"/>
      <c r="N123" s="307"/>
      <c r="O123" s="307"/>
      <c r="P123" s="294">
        <f>IF(OR(B123=Słowniki!A$46,B123=Słowniki!A$56,B123=Słowniki!A$58),0.08,0.23)</f>
        <v>0.23</v>
      </c>
      <c r="Q123" s="295"/>
      <c r="R123" s="295"/>
      <c r="S123" s="295"/>
      <c r="T123" s="528">
        <v>1</v>
      </c>
      <c r="U123" s="528"/>
      <c r="V123" s="528"/>
      <c r="W123" s="528"/>
      <c r="X123" s="528"/>
      <c r="Y123" s="528"/>
      <c r="Z123" s="529"/>
      <c r="AA123" s="526">
        <f t="shared" si="0"/>
        <v>0</v>
      </c>
      <c r="AB123" s="530"/>
      <c r="AC123" s="530"/>
      <c r="AD123" s="530"/>
      <c r="AE123" s="530"/>
      <c r="AF123" s="530"/>
      <c r="AG123" s="527"/>
      <c r="AH123" s="531" t="e">
        <f>IF(OR(B123=Słowniki!A$57,B123=Słowniki!A$58),(AJ$108*AJ$109),AJ$108)</f>
        <v>#DIV/0!</v>
      </c>
      <c r="AI123" s="532"/>
      <c r="AJ123" s="533"/>
      <c r="AK123" s="526" t="e">
        <f t="shared" si="1"/>
        <v>#DIV/0!</v>
      </c>
      <c r="AL123" s="527"/>
      <c r="AM123" s="221"/>
      <c r="AN123" s="225"/>
      <c r="AO123" s="226"/>
    </row>
    <row r="124" spans="1:41" s="227" customFormat="1" ht="36" customHeight="1" x14ac:dyDescent="0.3">
      <c r="A124" s="128">
        <v>10</v>
      </c>
      <c r="B124" s="303"/>
      <c r="C124" s="304"/>
      <c r="D124" s="304"/>
      <c r="E124" s="304"/>
      <c r="F124" s="305"/>
      <c r="G124" s="300"/>
      <c r="H124" s="301"/>
      <c r="I124" s="301"/>
      <c r="J124" s="301"/>
      <c r="K124" s="302"/>
      <c r="L124" s="306"/>
      <c r="M124" s="307"/>
      <c r="N124" s="307"/>
      <c r="O124" s="307"/>
      <c r="P124" s="294">
        <f>IF(OR(B124=Słowniki!A$46,B124=Słowniki!A$56,B124=Słowniki!A$58),0.08,0.23)</f>
        <v>0.23</v>
      </c>
      <c r="Q124" s="295"/>
      <c r="R124" s="295"/>
      <c r="S124" s="295"/>
      <c r="T124" s="528">
        <v>1</v>
      </c>
      <c r="U124" s="528"/>
      <c r="V124" s="528"/>
      <c r="W124" s="528"/>
      <c r="X124" s="528"/>
      <c r="Y124" s="528"/>
      <c r="Z124" s="529"/>
      <c r="AA124" s="526">
        <f>L124+ROUND(L124*P124*T124,2)</f>
        <v>0</v>
      </c>
      <c r="AB124" s="530"/>
      <c r="AC124" s="530"/>
      <c r="AD124" s="530"/>
      <c r="AE124" s="530"/>
      <c r="AF124" s="530"/>
      <c r="AG124" s="527"/>
      <c r="AH124" s="531" t="e">
        <f>IF(OR(B124=Słowniki!A$57,B124=Słowniki!A$58),(AJ$108*AJ$109),AJ$108)</f>
        <v>#DIV/0!</v>
      </c>
      <c r="AI124" s="532"/>
      <c r="AJ124" s="533"/>
      <c r="AK124" s="526" t="e">
        <f t="shared" si="1"/>
        <v>#DIV/0!</v>
      </c>
      <c r="AL124" s="527"/>
      <c r="AM124" s="221"/>
      <c r="AN124" s="225"/>
      <c r="AO124" s="226"/>
    </row>
    <row r="125" spans="1:41" s="227" customFormat="1" ht="36" customHeight="1" x14ac:dyDescent="0.3">
      <c r="A125" s="128">
        <v>11</v>
      </c>
      <c r="B125" s="303"/>
      <c r="C125" s="304"/>
      <c r="D125" s="304"/>
      <c r="E125" s="304"/>
      <c r="F125" s="305"/>
      <c r="G125" s="300"/>
      <c r="H125" s="301"/>
      <c r="I125" s="301"/>
      <c r="J125" s="301"/>
      <c r="K125" s="302"/>
      <c r="L125" s="306"/>
      <c r="M125" s="307"/>
      <c r="N125" s="307"/>
      <c r="O125" s="307"/>
      <c r="P125" s="294">
        <f>IF(OR(B125=Słowniki!A$46,B125=Słowniki!A$56,B125=Słowniki!A$58),0.08,0.23)</f>
        <v>0.23</v>
      </c>
      <c r="Q125" s="295"/>
      <c r="R125" s="295"/>
      <c r="S125" s="295"/>
      <c r="T125" s="528">
        <v>1</v>
      </c>
      <c r="U125" s="528"/>
      <c r="V125" s="528"/>
      <c r="W125" s="528"/>
      <c r="X125" s="528"/>
      <c r="Y125" s="528"/>
      <c r="Z125" s="529"/>
      <c r="AA125" s="526">
        <f t="shared" si="0"/>
        <v>0</v>
      </c>
      <c r="AB125" s="530"/>
      <c r="AC125" s="530"/>
      <c r="AD125" s="530"/>
      <c r="AE125" s="530"/>
      <c r="AF125" s="530"/>
      <c r="AG125" s="527"/>
      <c r="AH125" s="531" t="e">
        <f>IF(OR(B125=Słowniki!A$57,B125=Słowniki!A$58),(AJ$108*AJ$109),AJ$108)</f>
        <v>#DIV/0!</v>
      </c>
      <c r="AI125" s="532"/>
      <c r="AJ125" s="533"/>
      <c r="AK125" s="526" t="e">
        <f t="shared" si="1"/>
        <v>#DIV/0!</v>
      </c>
      <c r="AL125" s="527"/>
      <c r="AM125" s="221"/>
      <c r="AN125" s="225"/>
      <c r="AO125" s="226"/>
    </row>
    <row r="126" spans="1:41" s="227" customFormat="1" ht="36" customHeight="1" x14ac:dyDescent="0.3">
      <c r="A126" s="128">
        <v>12</v>
      </c>
      <c r="B126" s="303"/>
      <c r="C126" s="304"/>
      <c r="D126" s="304"/>
      <c r="E126" s="304"/>
      <c r="F126" s="305"/>
      <c r="G126" s="300"/>
      <c r="H126" s="301"/>
      <c r="I126" s="301"/>
      <c r="J126" s="301"/>
      <c r="K126" s="302"/>
      <c r="L126" s="306"/>
      <c r="M126" s="307"/>
      <c r="N126" s="307"/>
      <c r="O126" s="307"/>
      <c r="P126" s="294">
        <f>IF(OR(B126=Słowniki!A$46,B126=Słowniki!A$56,B126=Słowniki!A$58),0.08,0.23)</f>
        <v>0.23</v>
      </c>
      <c r="Q126" s="295"/>
      <c r="R126" s="295"/>
      <c r="S126" s="295"/>
      <c r="T126" s="528">
        <v>1</v>
      </c>
      <c r="U126" s="528"/>
      <c r="V126" s="528"/>
      <c r="W126" s="528"/>
      <c r="X126" s="528"/>
      <c r="Y126" s="528"/>
      <c r="Z126" s="529"/>
      <c r="AA126" s="526">
        <f t="shared" si="0"/>
        <v>0</v>
      </c>
      <c r="AB126" s="530"/>
      <c r="AC126" s="530"/>
      <c r="AD126" s="530"/>
      <c r="AE126" s="530"/>
      <c r="AF126" s="530"/>
      <c r="AG126" s="527"/>
      <c r="AH126" s="531" t="e">
        <f>IF(OR(B126=Słowniki!A$57,B126=Słowniki!A$58),(AJ$108*AJ$109),AJ$108)</f>
        <v>#DIV/0!</v>
      </c>
      <c r="AI126" s="532"/>
      <c r="AJ126" s="533"/>
      <c r="AK126" s="526" t="e">
        <f t="shared" si="1"/>
        <v>#DIV/0!</v>
      </c>
      <c r="AL126" s="527"/>
      <c r="AM126" s="221"/>
      <c r="AN126" s="225"/>
      <c r="AO126" s="226"/>
    </row>
    <row r="127" spans="1:41" s="227" customFormat="1" ht="36" customHeight="1" x14ac:dyDescent="0.3">
      <c r="A127" s="128">
        <v>13</v>
      </c>
      <c r="B127" s="303"/>
      <c r="C127" s="304"/>
      <c r="D127" s="304"/>
      <c r="E127" s="304"/>
      <c r="F127" s="305"/>
      <c r="G127" s="300"/>
      <c r="H127" s="301"/>
      <c r="I127" s="301"/>
      <c r="J127" s="301"/>
      <c r="K127" s="302"/>
      <c r="L127" s="306"/>
      <c r="M127" s="307"/>
      <c r="N127" s="307"/>
      <c r="O127" s="307"/>
      <c r="P127" s="294">
        <f>IF(OR(B127=Słowniki!A$46,B127=Słowniki!A$56,B127=Słowniki!A$58),0.08,0.23)</f>
        <v>0.23</v>
      </c>
      <c r="Q127" s="295"/>
      <c r="R127" s="295"/>
      <c r="S127" s="295"/>
      <c r="T127" s="528">
        <v>1</v>
      </c>
      <c r="U127" s="528"/>
      <c r="V127" s="528"/>
      <c r="W127" s="528"/>
      <c r="X127" s="528"/>
      <c r="Y127" s="528"/>
      <c r="Z127" s="529"/>
      <c r="AA127" s="526">
        <f t="shared" si="0"/>
        <v>0</v>
      </c>
      <c r="AB127" s="530"/>
      <c r="AC127" s="530"/>
      <c r="AD127" s="530"/>
      <c r="AE127" s="530"/>
      <c r="AF127" s="530"/>
      <c r="AG127" s="527"/>
      <c r="AH127" s="531" t="e">
        <f>IF(OR(B127=Słowniki!A$57,B127=Słowniki!A$58),(AJ$108*AJ$109),AJ$108)</f>
        <v>#DIV/0!</v>
      </c>
      <c r="AI127" s="532"/>
      <c r="AJ127" s="533"/>
      <c r="AK127" s="526" t="e">
        <f t="shared" si="1"/>
        <v>#DIV/0!</v>
      </c>
      <c r="AL127" s="527"/>
      <c r="AM127" s="221"/>
      <c r="AN127" s="225"/>
      <c r="AO127" s="226"/>
    </row>
    <row r="128" spans="1:41" s="227" customFormat="1" ht="36" customHeight="1" x14ac:dyDescent="0.3">
      <c r="A128" s="128">
        <v>14</v>
      </c>
      <c r="B128" s="303"/>
      <c r="C128" s="304"/>
      <c r="D128" s="304"/>
      <c r="E128" s="304"/>
      <c r="F128" s="305"/>
      <c r="G128" s="300"/>
      <c r="H128" s="301"/>
      <c r="I128" s="301"/>
      <c r="J128" s="301"/>
      <c r="K128" s="302"/>
      <c r="L128" s="306"/>
      <c r="M128" s="307"/>
      <c r="N128" s="307"/>
      <c r="O128" s="307"/>
      <c r="P128" s="294">
        <f>IF(OR(B128=Słowniki!A$46,B128=Słowniki!A$56,B128=Słowniki!A$58),0.08,0.23)</f>
        <v>0.23</v>
      </c>
      <c r="Q128" s="295"/>
      <c r="R128" s="295"/>
      <c r="S128" s="295"/>
      <c r="T128" s="528">
        <v>1</v>
      </c>
      <c r="U128" s="528"/>
      <c r="V128" s="528"/>
      <c r="W128" s="528"/>
      <c r="X128" s="528"/>
      <c r="Y128" s="528"/>
      <c r="Z128" s="529"/>
      <c r="AA128" s="526">
        <f t="shared" si="0"/>
        <v>0</v>
      </c>
      <c r="AB128" s="530"/>
      <c r="AC128" s="530"/>
      <c r="AD128" s="530"/>
      <c r="AE128" s="530"/>
      <c r="AF128" s="530"/>
      <c r="AG128" s="527"/>
      <c r="AH128" s="531" t="e">
        <f>IF(OR(B128=Słowniki!A$57,B128=Słowniki!A$58),(AJ$108*AJ$109),AJ$108)</f>
        <v>#DIV/0!</v>
      </c>
      <c r="AI128" s="532"/>
      <c r="AJ128" s="533"/>
      <c r="AK128" s="526" t="e">
        <f t="shared" si="1"/>
        <v>#DIV/0!</v>
      </c>
      <c r="AL128" s="527"/>
      <c r="AM128" s="221"/>
      <c r="AN128" s="225"/>
      <c r="AO128" s="226"/>
    </row>
    <row r="129" spans="1:41" s="227" customFormat="1" ht="36" customHeight="1" x14ac:dyDescent="0.3">
      <c r="A129" s="128">
        <v>15</v>
      </c>
      <c r="B129" s="303"/>
      <c r="C129" s="304"/>
      <c r="D129" s="304"/>
      <c r="E129" s="304"/>
      <c r="F129" s="305"/>
      <c r="G129" s="300"/>
      <c r="H129" s="301"/>
      <c r="I129" s="301"/>
      <c r="J129" s="301"/>
      <c r="K129" s="302"/>
      <c r="L129" s="306"/>
      <c r="M129" s="307"/>
      <c r="N129" s="307"/>
      <c r="O129" s="307"/>
      <c r="P129" s="294">
        <f>IF(OR(B129=Słowniki!A$46,B129=Słowniki!A$56,B129=Słowniki!A$58),0.08,0.23)</f>
        <v>0.23</v>
      </c>
      <c r="Q129" s="295"/>
      <c r="R129" s="295"/>
      <c r="S129" s="295"/>
      <c r="T129" s="528">
        <v>1</v>
      </c>
      <c r="U129" s="528"/>
      <c r="V129" s="528"/>
      <c r="W129" s="528"/>
      <c r="X129" s="528"/>
      <c r="Y129" s="528"/>
      <c r="Z129" s="529"/>
      <c r="AA129" s="526">
        <f t="shared" si="0"/>
        <v>0</v>
      </c>
      <c r="AB129" s="530"/>
      <c r="AC129" s="530"/>
      <c r="AD129" s="530"/>
      <c r="AE129" s="530"/>
      <c r="AF129" s="530"/>
      <c r="AG129" s="527"/>
      <c r="AH129" s="531" t="e">
        <f>IF(OR(B129=Słowniki!A$57,B129=Słowniki!A$58),(AJ$108*AJ$109),AJ$108)</f>
        <v>#DIV/0!</v>
      </c>
      <c r="AI129" s="532"/>
      <c r="AJ129" s="533"/>
      <c r="AK129" s="526" t="e">
        <f t="shared" si="1"/>
        <v>#DIV/0!</v>
      </c>
      <c r="AL129" s="527"/>
      <c r="AM129" s="221"/>
      <c r="AN129" s="225"/>
      <c r="AO129" s="226"/>
    </row>
    <row r="130" spans="1:41" s="227" customFormat="1" ht="36" customHeight="1" x14ac:dyDescent="0.3">
      <c r="A130" s="128">
        <v>16</v>
      </c>
      <c r="B130" s="303"/>
      <c r="C130" s="304"/>
      <c r="D130" s="304"/>
      <c r="E130" s="304"/>
      <c r="F130" s="305"/>
      <c r="G130" s="300"/>
      <c r="H130" s="301"/>
      <c r="I130" s="301"/>
      <c r="J130" s="301"/>
      <c r="K130" s="302"/>
      <c r="L130" s="306"/>
      <c r="M130" s="307"/>
      <c r="N130" s="307"/>
      <c r="O130" s="307"/>
      <c r="P130" s="294">
        <f>IF(OR(B130=Słowniki!A$46,B130=Słowniki!A$56,B130=Słowniki!A$58),0.08,0.23)</f>
        <v>0.23</v>
      </c>
      <c r="Q130" s="295"/>
      <c r="R130" s="295"/>
      <c r="S130" s="295"/>
      <c r="T130" s="528">
        <v>1</v>
      </c>
      <c r="U130" s="528"/>
      <c r="V130" s="528"/>
      <c r="W130" s="528"/>
      <c r="X130" s="528"/>
      <c r="Y130" s="528"/>
      <c r="Z130" s="529"/>
      <c r="AA130" s="526">
        <f t="shared" si="0"/>
        <v>0</v>
      </c>
      <c r="AB130" s="530"/>
      <c r="AC130" s="530"/>
      <c r="AD130" s="530"/>
      <c r="AE130" s="530"/>
      <c r="AF130" s="530"/>
      <c r="AG130" s="527"/>
      <c r="AH130" s="531" t="e">
        <f>IF(OR(B130=Słowniki!A$57,B130=Słowniki!A$58),(AJ$108*AJ$109),AJ$108)</f>
        <v>#DIV/0!</v>
      </c>
      <c r="AI130" s="532"/>
      <c r="AJ130" s="533"/>
      <c r="AK130" s="526" t="e">
        <f t="shared" si="1"/>
        <v>#DIV/0!</v>
      </c>
      <c r="AL130" s="527"/>
      <c r="AM130" s="221"/>
      <c r="AN130" s="225"/>
      <c r="AO130" s="226"/>
    </row>
    <row r="131" spans="1:41" s="227" customFormat="1" ht="36" customHeight="1" x14ac:dyDescent="0.3">
      <c r="A131" s="128">
        <v>17</v>
      </c>
      <c r="B131" s="303"/>
      <c r="C131" s="304"/>
      <c r="D131" s="304"/>
      <c r="E131" s="304"/>
      <c r="F131" s="305"/>
      <c r="G131" s="300"/>
      <c r="H131" s="301"/>
      <c r="I131" s="301"/>
      <c r="J131" s="301"/>
      <c r="K131" s="302"/>
      <c r="L131" s="306"/>
      <c r="M131" s="307"/>
      <c r="N131" s="307"/>
      <c r="O131" s="307"/>
      <c r="P131" s="294">
        <f>IF(OR(B131=Słowniki!A$46,B131=Słowniki!A$56,B131=Słowniki!A$58),0.08,0.23)</f>
        <v>0.23</v>
      </c>
      <c r="Q131" s="295"/>
      <c r="R131" s="295"/>
      <c r="S131" s="295"/>
      <c r="T131" s="528">
        <v>1</v>
      </c>
      <c r="U131" s="528"/>
      <c r="V131" s="528"/>
      <c r="W131" s="528"/>
      <c r="X131" s="528"/>
      <c r="Y131" s="528"/>
      <c r="Z131" s="529"/>
      <c r="AA131" s="526">
        <f t="shared" si="0"/>
        <v>0</v>
      </c>
      <c r="AB131" s="530"/>
      <c r="AC131" s="530"/>
      <c r="AD131" s="530"/>
      <c r="AE131" s="530"/>
      <c r="AF131" s="530"/>
      <c r="AG131" s="527"/>
      <c r="AH131" s="531" t="e">
        <f>IF(OR(B131=Słowniki!A$57,B131=Słowniki!A$58),(AJ$108*AJ$109),AJ$108)</f>
        <v>#DIV/0!</v>
      </c>
      <c r="AI131" s="532"/>
      <c r="AJ131" s="533"/>
      <c r="AK131" s="526" t="e">
        <f t="shared" si="1"/>
        <v>#DIV/0!</v>
      </c>
      <c r="AL131" s="527"/>
      <c r="AM131" s="221"/>
      <c r="AN131" s="225"/>
      <c r="AO131" s="226"/>
    </row>
    <row r="132" spans="1:41" s="227" customFormat="1" ht="36" customHeight="1" x14ac:dyDescent="0.3">
      <c r="A132" s="128">
        <v>18</v>
      </c>
      <c r="B132" s="303"/>
      <c r="C132" s="304"/>
      <c r="D132" s="304"/>
      <c r="E132" s="304"/>
      <c r="F132" s="305"/>
      <c r="G132" s="300"/>
      <c r="H132" s="301"/>
      <c r="I132" s="301"/>
      <c r="J132" s="301"/>
      <c r="K132" s="302"/>
      <c r="L132" s="306"/>
      <c r="M132" s="307"/>
      <c r="N132" s="307"/>
      <c r="O132" s="307"/>
      <c r="P132" s="294">
        <f>IF(OR(B132=Słowniki!A$46,B132=Słowniki!A$56,B132=Słowniki!A$58),0.08,0.23)</f>
        <v>0.23</v>
      </c>
      <c r="Q132" s="295"/>
      <c r="R132" s="295"/>
      <c r="S132" s="295"/>
      <c r="T132" s="528">
        <v>1</v>
      </c>
      <c r="U132" s="528"/>
      <c r="V132" s="528"/>
      <c r="W132" s="528"/>
      <c r="X132" s="528"/>
      <c r="Y132" s="528"/>
      <c r="Z132" s="529"/>
      <c r="AA132" s="526">
        <f t="shared" si="0"/>
        <v>0</v>
      </c>
      <c r="AB132" s="530"/>
      <c r="AC132" s="530"/>
      <c r="AD132" s="530"/>
      <c r="AE132" s="530"/>
      <c r="AF132" s="530"/>
      <c r="AG132" s="527"/>
      <c r="AH132" s="531" t="e">
        <f>IF(OR(B132=Słowniki!A$57,B132=Słowniki!A$58),(AJ$108*AJ$109),AJ$108)</f>
        <v>#DIV/0!</v>
      </c>
      <c r="AI132" s="532"/>
      <c r="AJ132" s="533"/>
      <c r="AK132" s="526" t="e">
        <f t="shared" si="1"/>
        <v>#DIV/0!</v>
      </c>
      <c r="AL132" s="527"/>
      <c r="AM132" s="221"/>
      <c r="AN132" s="225"/>
      <c r="AO132" s="226"/>
    </row>
    <row r="133" spans="1:41" s="227" customFormat="1" ht="36" customHeight="1" x14ac:dyDescent="0.3">
      <c r="A133" s="128">
        <v>19</v>
      </c>
      <c r="B133" s="303"/>
      <c r="C133" s="304"/>
      <c r="D133" s="304"/>
      <c r="E133" s="304"/>
      <c r="F133" s="305"/>
      <c r="G133" s="300"/>
      <c r="H133" s="301"/>
      <c r="I133" s="301"/>
      <c r="J133" s="301"/>
      <c r="K133" s="302"/>
      <c r="L133" s="306"/>
      <c r="M133" s="307"/>
      <c r="N133" s="307"/>
      <c r="O133" s="307"/>
      <c r="P133" s="294">
        <f>IF(OR(B133=Słowniki!A$46,B133=Słowniki!A$56,B133=Słowniki!A$58),0.08,0.23)</f>
        <v>0.23</v>
      </c>
      <c r="Q133" s="295"/>
      <c r="R133" s="295"/>
      <c r="S133" s="295"/>
      <c r="T133" s="528">
        <v>1</v>
      </c>
      <c r="U133" s="528"/>
      <c r="V133" s="528"/>
      <c r="W133" s="528"/>
      <c r="X133" s="528"/>
      <c r="Y133" s="528"/>
      <c r="Z133" s="529"/>
      <c r="AA133" s="526">
        <f t="shared" si="0"/>
        <v>0</v>
      </c>
      <c r="AB133" s="530"/>
      <c r="AC133" s="530"/>
      <c r="AD133" s="530"/>
      <c r="AE133" s="530"/>
      <c r="AF133" s="530"/>
      <c r="AG133" s="527"/>
      <c r="AH133" s="531" t="e">
        <f>IF(OR(B133=Słowniki!A$57,B133=Słowniki!A$58),(AJ$108*AJ$109),AJ$108)</f>
        <v>#DIV/0!</v>
      </c>
      <c r="AI133" s="532"/>
      <c r="AJ133" s="533"/>
      <c r="AK133" s="526" t="e">
        <f t="shared" si="1"/>
        <v>#DIV/0!</v>
      </c>
      <c r="AL133" s="527"/>
      <c r="AM133" s="221"/>
      <c r="AN133" s="225"/>
      <c r="AO133" s="226"/>
    </row>
    <row r="134" spans="1:41" s="227" customFormat="1" ht="36" customHeight="1" x14ac:dyDescent="0.3">
      <c r="A134" s="128">
        <v>20</v>
      </c>
      <c r="B134" s="303"/>
      <c r="C134" s="304"/>
      <c r="D134" s="304"/>
      <c r="E134" s="304"/>
      <c r="F134" s="305"/>
      <c r="G134" s="300"/>
      <c r="H134" s="301"/>
      <c r="I134" s="301"/>
      <c r="J134" s="301"/>
      <c r="K134" s="302"/>
      <c r="L134" s="306"/>
      <c r="M134" s="307"/>
      <c r="N134" s="307"/>
      <c r="O134" s="307"/>
      <c r="P134" s="294">
        <f>IF(OR(B134=Słowniki!A$46,B134=Słowniki!A$56,B134=Słowniki!A$58),0.08,0.23)</f>
        <v>0.23</v>
      </c>
      <c r="Q134" s="295"/>
      <c r="R134" s="295"/>
      <c r="S134" s="295"/>
      <c r="T134" s="528">
        <v>1</v>
      </c>
      <c r="U134" s="528"/>
      <c r="V134" s="528"/>
      <c r="W134" s="528"/>
      <c r="X134" s="528"/>
      <c r="Y134" s="528"/>
      <c r="Z134" s="529"/>
      <c r="AA134" s="526">
        <f t="shared" si="0"/>
        <v>0</v>
      </c>
      <c r="AB134" s="530"/>
      <c r="AC134" s="530"/>
      <c r="AD134" s="530"/>
      <c r="AE134" s="530"/>
      <c r="AF134" s="530"/>
      <c r="AG134" s="527"/>
      <c r="AH134" s="531" t="e">
        <f>IF(OR(B134=Słowniki!A$57,B134=Słowniki!A$58),(AJ$108*AJ$109),AJ$108)</f>
        <v>#DIV/0!</v>
      </c>
      <c r="AI134" s="532"/>
      <c r="AJ134" s="533"/>
      <c r="AK134" s="526" t="e">
        <f t="shared" si="1"/>
        <v>#DIV/0!</v>
      </c>
      <c r="AL134" s="527"/>
      <c r="AM134" s="221"/>
      <c r="AN134" s="225"/>
      <c r="AO134" s="226"/>
    </row>
    <row r="135" spans="1:41" s="227" customFormat="1" ht="36" customHeight="1" x14ac:dyDescent="0.3">
      <c r="A135" s="128">
        <v>21</v>
      </c>
      <c r="B135" s="303"/>
      <c r="C135" s="304"/>
      <c r="D135" s="304"/>
      <c r="E135" s="304"/>
      <c r="F135" s="305"/>
      <c r="G135" s="300"/>
      <c r="H135" s="301"/>
      <c r="I135" s="301"/>
      <c r="J135" s="301"/>
      <c r="K135" s="302"/>
      <c r="L135" s="306"/>
      <c r="M135" s="307"/>
      <c r="N135" s="307"/>
      <c r="O135" s="307"/>
      <c r="P135" s="294">
        <f>IF(OR(B135=Słowniki!A$46,B135=Słowniki!A$56,B135=Słowniki!A$58),0.08,0.23)</f>
        <v>0.23</v>
      </c>
      <c r="Q135" s="295"/>
      <c r="R135" s="295"/>
      <c r="S135" s="295"/>
      <c r="T135" s="528">
        <v>1</v>
      </c>
      <c r="U135" s="528"/>
      <c r="V135" s="528"/>
      <c r="W135" s="528"/>
      <c r="X135" s="528"/>
      <c r="Y135" s="528"/>
      <c r="Z135" s="529"/>
      <c r="AA135" s="526">
        <f t="shared" si="0"/>
        <v>0</v>
      </c>
      <c r="AB135" s="530"/>
      <c r="AC135" s="530"/>
      <c r="AD135" s="530"/>
      <c r="AE135" s="530"/>
      <c r="AF135" s="530"/>
      <c r="AG135" s="527"/>
      <c r="AH135" s="531" t="e">
        <f>IF(OR(B135=Słowniki!A$57,B135=Słowniki!A$58),(AJ$108*AJ$109),AJ$108)</f>
        <v>#DIV/0!</v>
      </c>
      <c r="AI135" s="532"/>
      <c r="AJ135" s="533"/>
      <c r="AK135" s="526" t="e">
        <f t="shared" si="1"/>
        <v>#DIV/0!</v>
      </c>
      <c r="AL135" s="527"/>
      <c r="AM135" s="221"/>
      <c r="AN135" s="225"/>
      <c r="AO135" s="226"/>
    </row>
    <row r="136" spans="1:41" s="227" customFormat="1" ht="36" customHeight="1" x14ac:dyDescent="0.3">
      <c r="A136" s="128">
        <v>22</v>
      </c>
      <c r="B136" s="303"/>
      <c r="C136" s="304"/>
      <c r="D136" s="304"/>
      <c r="E136" s="304"/>
      <c r="F136" s="305"/>
      <c r="G136" s="300"/>
      <c r="H136" s="301"/>
      <c r="I136" s="301"/>
      <c r="J136" s="301"/>
      <c r="K136" s="302"/>
      <c r="L136" s="306"/>
      <c r="M136" s="307"/>
      <c r="N136" s="307"/>
      <c r="O136" s="307"/>
      <c r="P136" s="294">
        <f>IF(OR(B136=Słowniki!A$46,B136=Słowniki!A$56,B136=Słowniki!A$58),0.08,0.23)</f>
        <v>0.23</v>
      </c>
      <c r="Q136" s="295"/>
      <c r="R136" s="295"/>
      <c r="S136" s="295"/>
      <c r="T136" s="528">
        <v>1</v>
      </c>
      <c r="U136" s="528"/>
      <c r="V136" s="528"/>
      <c r="W136" s="528"/>
      <c r="X136" s="528"/>
      <c r="Y136" s="528"/>
      <c r="Z136" s="529"/>
      <c r="AA136" s="526">
        <f t="shared" si="0"/>
        <v>0</v>
      </c>
      <c r="AB136" s="530"/>
      <c r="AC136" s="530"/>
      <c r="AD136" s="530"/>
      <c r="AE136" s="530"/>
      <c r="AF136" s="530"/>
      <c r="AG136" s="527"/>
      <c r="AH136" s="531" t="e">
        <f>IF(OR(B136=Słowniki!A$57,B136=Słowniki!A$58),(AJ$108*AJ$109),AJ$108)</f>
        <v>#DIV/0!</v>
      </c>
      <c r="AI136" s="532"/>
      <c r="AJ136" s="533"/>
      <c r="AK136" s="526" t="e">
        <f t="shared" si="1"/>
        <v>#DIV/0!</v>
      </c>
      <c r="AL136" s="527"/>
      <c r="AM136" s="221"/>
      <c r="AN136" s="225"/>
      <c r="AO136" s="226"/>
    </row>
    <row r="137" spans="1:41" s="158" customFormat="1" ht="14.7" customHeight="1" x14ac:dyDescent="0.3">
      <c r="A137" s="128">
        <v>23</v>
      </c>
      <c r="B137" s="451" t="s">
        <v>128</v>
      </c>
      <c r="C137" s="452"/>
      <c r="D137" s="452"/>
      <c r="E137" s="452"/>
      <c r="F137" s="452"/>
      <c r="G137" s="452"/>
      <c r="H137" s="452"/>
      <c r="I137" s="452"/>
      <c r="J137" s="452"/>
      <c r="K137" s="452"/>
      <c r="L137" s="296">
        <f>SUM(L115:O136)</f>
        <v>0</v>
      </c>
      <c r="M137" s="296"/>
      <c r="N137" s="296"/>
      <c r="O137" s="297"/>
      <c r="P137" s="463" t="s">
        <v>129</v>
      </c>
      <c r="Q137" s="463"/>
      <c r="R137" s="463"/>
      <c r="S137" s="463"/>
      <c r="T137" s="462" t="s">
        <v>129</v>
      </c>
      <c r="U137" s="462"/>
      <c r="V137" s="462"/>
      <c r="W137" s="462"/>
      <c r="X137" s="462"/>
      <c r="Y137" s="462"/>
      <c r="Z137" s="462"/>
      <c r="AA137" s="457">
        <f>SUM(AA115:AG136)</f>
        <v>0</v>
      </c>
      <c r="AB137" s="457"/>
      <c r="AC137" s="457"/>
      <c r="AD137" s="457"/>
      <c r="AE137" s="457"/>
      <c r="AF137" s="457"/>
      <c r="AG137" s="457"/>
      <c r="AH137" s="461" t="s">
        <v>129</v>
      </c>
      <c r="AI137" s="461"/>
      <c r="AJ137" s="461"/>
      <c r="AK137" s="457" t="e">
        <f>ROUND(SUM(AK115:AL136),2)</f>
        <v>#DIV/0!</v>
      </c>
      <c r="AL137" s="457"/>
      <c r="AM137" s="166"/>
      <c r="AN137" s="172"/>
      <c r="AO137" s="172"/>
    </row>
    <row r="138" spans="1:41" s="158" customFormat="1" ht="121.2" customHeight="1" x14ac:dyDescent="0.3">
      <c r="A138" s="334" t="s">
        <v>1111</v>
      </c>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c r="AI138" s="334"/>
      <c r="AJ138" s="334"/>
      <c r="AK138" s="334"/>
      <c r="AL138" s="334"/>
      <c r="AM138" s="166"/>
      <c r="AN138" s="172"/>
      <c r="AO138" s="172"/>
    </row>
    <row r="139" spans="1:41" s="158" customFormat="1" ht="14.7" customHeight="1" x14ac:dyDescent="0.3">
      <c r="A139" s="129"/>
      <c r="B139" s="676" t="s">
        <v>181</v>
      </c>
      <c r="C139" s="676"/>
      <c r="D139" s="676"/>
      <c r="E139" s="676"/>
      <c r="F139" s="676"/>
      <c r="G139" s="676"/>
      <c r="H139" s="676"/>
      <c r="I139" s="676"/>
      <c r="J139" s="676"/>
      <c r="K139" s="676"/>
      <c r="L139" s="676"/>
      <c r="M139" s="676"/>
      <c r="N139" s="676"/>
      <c r="O139" s="676"/>
      <c r="P139" s="676"/>
      <c r="Q139" s="676"/>
      <c r="R139" s="676"/>
      <c r="S139" s="676"/>
      <c r="T139" s="652">
        <v>0.8</v>
      </c>
      <c r="U139" s="652"/>
      <c r="V139" s="652"/>
      <c r="W139" s="652"/>
      <c r="X139" s="652"/>
      <c r="Y139" s="652"/>
      <c r="Z139" s="652"/>
      <c r="AA139" s="652"/>
      <c r="AB139" s="652"/>
      <c r="AC139" s="652"/>
      <c r="AD139" s="652"/>
      <c r="AE139" s="652"/>
      <c r="AF139" s="652"/>
      <c r="AG139" s="652"/>
      <c r="AH139" s="652"/>
      <c r="AI139" s="652"/>
      <c r="AJ139" s="652"/>
      <c r="AK139" s="130"/>
      <c r="AL139" s="131"/>
      <c r="AM139" s="166"/>
      <c r="AN139" s="172"/>
      <c r="AO139" s="172"/>
    </row>
    <row r="140" spans="1:41" s="158" customFormat="1" ht="14.7" customHeight="1" x14ac:dyDescent="0.3">
      <c r="A140" s="129"/>
      <c r="B140" s="453" t="s">
        <v>183</v>
      </c>
      <c r="C140" s="453"/>
      <c r="D140" s="453"/>
      <c r="E140" s="453"/>
      <c r="F140" s="453"/>
      <c r="G140" s="453"/>
      <c r="H140" s="453"/>
      <c r="I140" s="453"/>
      <c r="J140" s="453"/>
      <c r="K140" s="453"/>
      <c r="L140" s="453"/>
      <c r="M140" s="453"/>
      <c r="N140" s="453"/>
      <c r="O140" s="453"/>
      <c r="P140" s="453"/>
      <c r="Q140" s="453"/>
      <c r="R140" s="453"/>
      <c r="S140" s="453"/>
      <c r="T140" s="459"/>
      <c r="U140" s="459"/>
      <c r="V140" s="459"/>
      <c r="W140" s="459"/>
      <c r="X140" s="459"/>
      <c r="Y140" s="459"/>
      <c r="Z140" s="459"/>
      <c r="AA140" s="459"/>
      <c r="AB140" s="459"/>
      <c r="AC140" s="459"/>
      <c r="AD140" s="459"/>
      <c r="AE140" s="459"/>
      <c r="AF140" s="459"/>
      <c r="AG140" s="459"/>
      <c r="AH140" s="459"/>
      <c r="AI140" s="459"/>
      <c r="AJ140" s="459"/>
      <c r="AK140" s="130"/>
      <c r="AL140" s="131"/>
      <c r="AM140" s="133" t="s">
        <v>215</v>
      </c>
      <c r="AN140" s="172"/>
      <c r="AO140" s="172"/>
    </row>
    <row r="141" spans="1:41" s="158" customFormat="1" ht="18" customHeight="1" x14ac:dyDescent="0.3">
      <c r="A141" s="129"/>
      <c r="B141" s="453" t="s">
        <v>182</v>
      </c>
      <c r="C141" s="453"/>
      <c r="D141" s="453"/>
      <c r="E141" s="453"/>
      <c r="F141" s="453"/>
      <c r="G141" s="453"/>
      <c r="H141" s="453"/>
      <c r="I141" s="453"/>
      <c r="J141" s="453"/>
      <c r="K141" s="453"/>
      <c r="L141" s="453"/>
      <c r="M141" s="453"/>
      <c r="N141" s="453"/>
      <c r="O141" s="453"/>
      <c r="P141" s="453"/>
      <c r="Q141" s="453"/>
      <c r="R141" s="453"/>
      <c r="S141" s="453"/>
      <c r="T141" s="466" t="e">
        <f>ROUNDDOWN(AK137*(T139+T140),2)</f>
        <v>#DIV/0!</v>
      </c>
      <c r="U141" s="466"/>
      <c r="V141" s="466"/>
      <c r="W141" s="466"/>
      <c r="X141" s="466"/>
      <c r="Y141" s="466"/>
      <c r="Z141" s="466"/>
      <c r="AA141" s="466"/>
      <c r="AB141" s="466"/>
      <c r="AC141" s="466"/>
      <c r="AD141" s="466"/>
      <c r="AE141" s="466"/>
      <c r="AF141" s="466"/>
      <c r="AG141" s="466"/>
      <c r="AH141" s="466"/>
      <c r="AI141" s="466"/>
      <c r="AJ141" s="466"/>
      <c r="AK141" s="130"/>
      <c r="AL141" s="131"/>
      <c r="AM141" s="166"/>
      <c r="AN141" s="172"/>
      <c r="AO141" s="172"/>
    </row>
    <row r="142" spans="1:41" ht="45" customHeight="1" x14ac:dyDescent="0.3">
      <c r="A142" s="332" t="s">
        <v>786</v>
      </c>
      <c r="B142" s="332"/>
      <c r="C142" s="332"/>
      <c r="D142" s="332"/>
      <c r="E142" s="332"/>
      <c r="F142" s="332"/>
      <c r="G142" s="332"/>
      <c r="H142" s="332"/>
      <c r="I142" s="332"/>
      <c r="J142" s="332"/>
      <c r="K142" s="332"/>
      <c r="L142" s="332"/>
      <c r="M142" s="332"/>
      <c r="N142" s="332"/>
      <c r="O142" s="332"/>
      <c r="P142" s="332"/>
      <c r="Q142" s="332"/>
      <c r="R142" s="332"/>
      <c r="S142" s="332"/>
      <c r="T142" s="332"/>
      <c r="U142" s="332"/>
      <c r="V142" s="332"/>
      <c r="W142" s="332"/>
      <c r="X142" s="332"/>
      <c r="Y142" s="332"/>
      <c r="Z142" s="332"/>
      <c r="AA142" s="332"/>
      <c r="AB142" s="332"/>
      <c r="AC142" s="332"/>
      <c r="AD142" s="332"/>
      <c r="AE142" s="332"/>
      <c r="AF142" s="332"/>
      <c r="AG142" s="332"/>
      <c r="AH142" s="332"/>
      <c r="AI142" s="332"/>
      <c r="AJ142" s="332"/>
      <c r="AK142" s="332"/>
      <c r="AL142" s="332"/>
      <c r="AM142" s="164"/>
    </row>
    <row r="143" spans="1:41" ht="46.95" customHeight="1" x14ac:dyDescent="0.3">
      <c r="A143" s="333" t="s">
        <v>827</v>
      </c>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675"/>
    </row>
    <row r="144" spans="1:41" ht="35.700000000000003" customHeight="1" x14ac:dyDescent="0.3">
      <c r="A144" s="332" t="s">
        <v>1115</v>
      </c>
      <c r="B144" s="332"/>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c r="AM144" s="101"/>
    </row>
    <row r="145" spans="1:39" ht="45" customHeight="1" x14ac:dyDescent="0.3">
      <c r="A145" s="579" t="s">
        <v>961</v>
      </c>
      <c r="B145" s="579"/>
      <c r="C145" s="579"/>
      <c r="D145" s="579"/>
      <c r="E145" s="579"/>
      <c r="F145" s="579"/>
      <c r="G145" s="579"/>
      <c r="H145" s="579"/>
      <c r="I145" s="579"/>
      <c r="J145" s="579"/>
      <c r="K145" s="579"/>
      <c r="L145" s="579"/>
      <c r="M145" s="579"/>
      <c r="N145" s="579"/>
      <c r="O145" s="579"/>
      <c r="P145" s="579"/>
      <c r="Q145" s="579"/>
      <c r="R145" s="579"/>
      <c r="S145" s="579"/>
      <c r="T145" s="579"/>
      <c r="U145" s="579"/>
      <c r="V145" s="579"/>
      <c r="W145" s="579"/>
      <c r="X145" s="579"/>
      <c r="Y145" s="579"/>
      <c r="Z145" s="579"/>
      <c r="AA145" s="579"/>
      <c r="AB145" s="579"/>
      <c r="AC145" s="579"/>
      <c r="AD145" s="579"/>
      <c r="AE145" s="579"/>
      <c r="AF145" s="579"/>
      <c r="AG145" s="579"/>
      <c r="AH145" s="579"/>
      <c r="AI145" s="579"/>
      <c r="AJ145" s="579"/>
      <c r="AK145" s="579"/>
      <c r="AL145" s="579"/>
      <c r="AM145" s="164"/>
    </row>
    <row r="146" spans="1:39" ht="45" customHeight="1" x14ac:dyDescent="0.3">
      <c r="A146" s="668" t="s">
        <v>1124</v>
      </c>
      <c r="B146" s="668"/>
      <c r="C146" s="668"/>
      <c r="D146" s="668"/>
      <c r="E146" s="668"/>
      <c r="F146" s="668"/>
      <c r="G146" s="668"/>
      <c r="H146" s="668"/>
      <c r="I146" s="668"/>
      <c r="J146" s="668"/>
      <c r="K146" s="668"/>
      <c r="L146" s="668"/>
      <c r="M146" s="668"/>
      <c r="N146" s="668"/>
      <c r="O146" s="668"/>
      <c r="P146" s="668"/>
      <c r="Q146" s="668"/>
      <c r="R146" s="668"/>
      <c r="S146" s="668"/>
      <c r="T146" s="668"/>
      <c r="U146" s="668"/>
      <c r="V146" s="668"/>
      <c r="W146" s="668"/>
      <c r="X146" s="668"/>
      <c r="Y146" s="668"/>
      <c r="Z146" s="668"/>
      <c r="AA146" s="668"/>
      <c r="AB146" s="668"/>
      <c r="AC146" s="668"/>
      <c r="AD146" s="668"/>
      <c r="AE146" s="668"/>
      <c r="AF146" s="668"/>
      <c r="AG146" s="668"/>
      <c r="AH146" s="668"/>
      <c r="AI146" s="668"/>
      <c r="AJ146" s="668"/>
      <c r="AK146" s="668"/>
      <c r="AL146" s="668"/>
      <c r="AM146" s="101"/>
    </row>
    <row r="147" spans="1:39" ht="46.2" customHeight="1" x14ac:dyDescent="0.3">
      <c r="A147" s="618" t="s">
        <v>782</v>
      </c>
      <c r="B147" s="619"/>
      <c r="C147" s="619"/>
      <c r="D147" s="619"/>
      <c r="E147" s="619"/>
      <c r="F147" s="619"/>
      <c r="G147" s="619"/>
      <c r="H147" s="619"/>
      <c r="I147" s="619"/>
      <c r="J147" s="619"/>
      <c r="K147" s="619"/>
      <c r="L147" s="619"/>
      <c r="M147" s="619"/>
      <c r="N147" s="619"/>
      <c r="O147" s="619"/>
      <c r="P147" s="619"/>
      <c r="Q147" s="619"/>
      <c r="R147" s="619"/>
      <c r="S147" s="619"/>
      <c r="T147" s="619"/>
      <c r="U147" s="619"/>
      <c r="V147" s="619"/>
      <c r="W147" s="619"/>
      <c r="X147" s="619"/>
      <c r="Y147" s="619"/>
      <c r="Z147" s="619"/>
      <c r="AA147" s="619"/>
      <c r="AB147" s="619"/>
      <c r="AC147" s="619"/>
      <c r="AD147" s="619"/>
      <c r="AE147" s="619"/>
      <c r="AF147" s="619"/>
      <c r="AG147" s="619"/>
      <c r="AH147" s="619"/>
      <c r="AI147" s="619"/>
      <c r="AJ147" s="619"/>
      <c r="AK147" s="619"/>
      <c r="AL147" s="620"/>
      <c r="AM147" s="101"/>
    </row>
    <row r="148" spans="1:39" ht="61.5" customHeight="1" x14ac:dyDescent="0.3">
      <c r="A148" s="332" t="s">
        <v>1128</v>
      </c>
      <c r="B148" s="332"/>
      <c r="C148" s="332"/>
      <c r="D148" s="332"/>
      <c r="E148" s="332"/>
      <c r="F148" s="332"/>
      <c r="G148" s="332"/>
      <c r="H148" s="332"/>
      <c r="I148" s="332"/>
      <c r="J148" s="332"/>
      <c r="K148" s="332"/>
      <c r="L148" s="332"/>
      <c r="M148" s="332"/>
      <c r="N148" s="332"/>
      <c r="O148" s="332"/>
      <c r="P148" s="332"/>
      <c r="Q148" s="332"/>
      <c r="R148" s="332"/>
      <c r="S148" s="332"/>
      <c r="T148" s="332"/>
      <c r="U148" s="332"/>
      <c r="V148" s="332"/>
      <c r="W148" s="332"/>
      <c r="X148" s="332"/>
      <c r="Y148" s="332"/>
      <c r="Z148" s="332"/>
      <c r="AA148" s="332"/>
      <c r="AB148" s="332"/>
      <c r="AC148" s="332"/>
      <c r="AD148" s="332"/>
      <c r="AE148" s="332"/>
      <c r="AF148" s="332"/>
      <c r="AG148" s="332"/>
      <c r="AH148" s="332"/>
      <c r="AI148" s="332"/>
      <c r="AJ148" s="332"/>
      <c r="AK148" s="332"/>
      <c r="AL148" s="332"/>
      <c r="AM148" s="101"/>
    </row>
    <row r="149" spans="1:39" ht="61.95" customHeight="1" x14ac:dyDescent="0.3">
      <c r="A149" s="579" t="str">
        <f>IF(B17=Słowniki!A7,Słowniki!Z3,Słowniki!Z4)</f>
        <v>NIE DOTYCZY</v>
      </c>
      <c r="B149" s="579"/>
      <c r="C149" s="579"/>
      <c r="D149" s="579"/>
      <c r="E149" s="579"/>
      <c r="F149" s="579"/>
      <c r="G149" s="579"/>
      <c r="H149" s="579"/>
      <c r="I149" s="579"/>
      <c r="J149" s="579"/>
      <c r="K149" s="579"/>
      <c r="L149" s="579"/>
      <c r="M149" s="579"/>
      <c r="N149" s="579"/>
      <c r="O149" s="579"/>
      <c r="P149" s="579"/>
      <c r="Q149" s="579"/>
      <c r="R149" s="579"/>
      <c r="S149" s="579"/>
      <c r="T149" s="579"/>
      <c r="U149" s="579"/>
      <c r="V149" s="579"/>
      <c r="W149" s="579"/>
      <c r="X149" s="579"/>
      <c r="Y149" s="579"/>
      <c r="Z149" s="579"/>
      <c r="AA149" s="579"/>
      <c r="AB149" s="579"/>
      <c r="AC149" s="579"/>
      <c r="AD149" s="579"/>
      <c r="AE149" s="579"/>
      <c r="AF149" s="579"/>
      <c r="AG149" s="579"/>
      <c r="AH149" s="579"/>
      <c r="AI149" s="579"/>
      <c r="AJ149" s="579"/>
      <c r="AK149" s="579"/>
      <c r="AL149" s="579"/>
      <c r="AM149" s="101"/>
    </row>
    <row r="150" spans="1:39" ht="45" customHeight="1" x14ac:dyDescent="0.3">
      <c r="A150" s="332" t="s">
        <v>1129</v>
      </c>
      <c r="B150" s="332"/>
      <c r="C150" s="332"/>
      <c r="D150" s="332"/>
      <c r="E150" s="332"/>
      <c r="F150" s="332"/>
      <c r="G150" s="332"/>
      <c r="H150" s="332"/>
      <c r="I150" s="332"/>
      <c r="J150" s="332"/>
      <c r="K150" s="332"/>
      <c r="L150" s="332"/>
      <c r="M150" s="332"/>
      <c r="N150" s="332"/>
      <c r="O150" s="332"/>
      <c r="P150" s="332"/>
      <c r="Q150" s="332"/>
      <c r="R150" s="332"/>
      <c r="S150" s="332"/>
      <c r="T150" s="332"/>
      <c r="U150" s="332"/>
      <c r="V150" s="332"/>
      <c r="W150" s="332"/>
      <c r="X150" s="332"/>
      <c r="Y150" s="332"/>
      <c r="Z150" s="332"/>
      <c r="AA150" s="332"/>
      <c r="AB150" s="332"/>
      <c r="AC150" s="332"/>
      <c r="AD150" s="332"/>
      <c r="AE150" s="332"/>
      <c r="AF150" s="332"/>
      <c r="AG150" s="332"/>
      <c r="AH150" s="332"/>
      <c r="AI150" s="332"/>
      <c r="AJ150" s="332"/>
      <c r="AK150" s="332"/>
      <c r="AL150" s="332"/>
      <c r="AM150" s="101"/>
    </row>
    <row r="151" spans="1:39" ht="45" customHeight="1" x14ac:dyDescent="0.3">
      <c r="A151" s="381" t="s">
        <v>169</v>
      </c>
      <c r="B151" s="382"/>
      <c r="C151" s="382"/>
      <c r="D151" s="382"/>
      <c r="E151" s="382"/>
      <c r="F151" s="382"/>
      <c r="G151" s="382"/>
      <c r="H151" s="382"/>
      <c r="I151" s="382"/>
      <c r="J151" s="382"/>
      <c r="K151" s="382"/>
      <c r="L151" s="382"/>
      <c r="M151" s="382"/>
      <c r="N151" s="382"/>
      <c r="O151" s="382"/>
      <c r="P151" s="382"/>
      <c r="Q151" s="382"/>
      <c r="R151" s="382"/>
      <c r="S151" s="382"/>
      <c r="T151" s="382"/>
      <c r="U151" s="382"/>
      <c r="V151" s="382"/>
      <c r="W151" s="382"/>
      <c r="X151" s="382"/>
      <c r="Y151" s="382"/>
      <c r="Z151" s="382"/>
      <c r="AA151" s="382"/>
      <c r="AB151" s="382"/>
      <c r="AC151" s="382"/>
      <c r="AD151" s="382"/>
      <c r="AE151" s="382"/>
      <c r="AF151" s="382"/>
      <c r="AG151" s="382"/>
      <c r="AH151" s="382"/>
      <c r="AI151" s="382"/>
      <c r="AJ151" s="382"/>
      <c r="AK151" s="382"/>
      <c r="AL151" s="383"/>
      <c r="AM151" s="101"/>
    </row>
    <row r="152" spans="1:39" ht="45" customHeight="1" x14ac:dyDescent="0.3">
      <c r="A152" s="728"/>
      <c r="B152" s="729"/>
      <c r="C152" s="729"/>
      <c r="D152" s="729"/>
      <c r="E152" s="729"/>
      <c r="F152" s="729"/>
      <c r="G152" s="729"/>
      <c r="H152" s="729"/>
      <c r="I152" s="729"/>
      <c r="J152" s="729"/>
      <c r="K152" s="729"/>
      <c r="L152" s="729"/>
      <c r="M152" s="729"/>
      <c r="N152" s="729"/>
      <c r="O152" s="729"/>
      <c r="P152" s="729"/>
      <c r="Q152" s="729"/>
      <c r="R152" s="729"/>
      <c r="S152" s="729"/>
      <c r="T152" s="729"/>
      <c r="U152" s="729"/>
      <c r="V152" s="729"/>
      <c r="W152" s="729"/>
      <c r="X152" s="729"/>
      <c r="Y152" s="729"/>
      <c r="Z152" s="729"/>
      <c r="AA152" s="729"/>
      <c r="AB152" s="729"/>
      <c r="AC152" s="729"/>
      <c r="AD152" s="729"/>
      <c r="AE152" s="729"/>
      <c r="AF152" s="729"/>
      <c r="AG152" s="729"/>
      <c r="AH152" s="729"/>
      <c r="AI152" s="729"/>
      <c r="AJ152" s="729"/>
      <c r="AK152" s="729"/>
      <c r="AL152" s="730"/>
      <c r="AM152" s="101"/>
    </row>
    <row r="153" spans="1:39" ht="70.5" customHeight="1" x14ac:dyDescent="0.3">
      <c r="A153" s="332" t="s">
        <v>1130</v>
      </c>
      <c r="B153" s="332"/>
      <c r="C153" s="332"/>
      <c r="D153" s="332"/>
      <c r="E153" s="332"/>
      <c r="F153" s="332"/>
      <c r="G153" s="332"/>
      <c r="H153" s="332"/>
      <c r="I153" s="332"/>
      <c r="J153" s="332"/>
      <c r="K153" s="332"/>
      <c r="L153" s="332"/>
      <c r="M153" s="332"/>
      <c r="N153" s="332"/>
      <c r="O153" s="332"/>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101"/>
    </row>
    <row r="154" spans="1:39" ht="71.7" customHeight="1" x14ac:dyDescent="0.3">
      <c r="A154" s="618"/>
      <c r="B154" s="619"/>
      <c r="C154" s="619"/>
      <c r="D154" s="619"/>
      <c r="E154" s="619"/>
      <c r="F154" s="619"/>
      <c r="G154" s="619"/>
      <c r="H154" s="619"/>
      <c r="I154" s="619"/>
      <c r="J154" s="619"/>
      <c r="K154" s="619"/>
      <c r="L154" s="619"/>
      <c r="M154" s="619"/>
      <c r="N154" s="619"/>
      <c r="O154" s="619"/>
      <c r="P154" s="619"/>
      <c r="Q154" s="619"/>
      <c r="R154" s="619"/>
      <c r="S154" s="619"/>
      <c r="T154" s="619"/>
      <c r="U154" s="619"/>
      <c r="V154" s="619"/>
      <c r="W154" s="619"/>
      <c r="X154" s="619"/>
      <c r="Y154" s="619"/>
      <c r="Z154" s="619"/>
      <c r="AA154" s="619"/>
      <c r="AB154" s="619"/>
      <c r="AC154" s="619"/>
      <c r="AD154" s="619"/>
      <c r="AE154" s="619"/>
      <c r="AF154" s="619"/>
      <c r="AG154" s="619"/>
      <c r="AH154" s="619"/>
      <c r="AI154" s="619"/>
      <c r="AJ154" s="619"/>
      <c r="AK154" s="619"/>
      <c r="AL154" s="620"/>
      <c r="AM154" s="101"/>
    </row>
    <row r="155" spans="1:39" ht="62.7" customHeight="1" x14ac:dyDescent="0.3">
      <c r="A155" s="315" t="s">
        <v>1135</v>
      </c>
      <c r="B155" s="315"/>
      <c r="C155" s="315"/>
      <c r="D155" s="315"/>
      <c r="E155" s="315"/>
      <c r="F155" s="315"/>
      <c r="G155" s="315"/>
      <c r="H155" s="315"/>
      <c r="I155" s="315"/>
      <c r="J155" s="315"/>
      <c r="K155" s="315"/>
      <c r="L155" s="315"/>
      <c r="M155" s="315"/>
      <c r="N155" s="315"/>
      <c r="O155" s="315"/>
      <c r="P155" s="315"/>
      <c r="Q155" s="315"/>
      <c r="R155" s="315"/>
      <c r="S155" s="315"/>
      <c r="T155" s="315"/>
      <c r="U155" s="315"/>
      <c r="V155" s="315"/>
      <c r="W155" s="315"/>
      <c r="X155" s="315"/>
      <c r="Y155" s="315"/>
      <c r="Z155" s="315"/>
      <c r="AA155" s="315"/>
      <c r="AB155" s="315"/>
      <c r="AC155" s="315"/>
      <c r="AD155" s="315"/>
      <c r="AE155" s="315"/>
      <c r="AF155" s="315"/>
      <c r="AG155" s="315"/>
      <c r="AH155" s="315"/>
      <c r="AI155" s="315"/>
      <c r="AJ155" s="315"/>
      <c r="AK155" s="315"/>
      <c r="AL155" s="315"/>
      <c r="AM155" s="101"/>
    </row>
    <row r="156" spans="1:39" ht="94.95" customHeight="1" x14ac:dyDescent="0.3">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101"/>
    </row>
    <row r="157" spans="1:39" ht="47.7" customHeight="1" x14ac:dyDescent="0.3">
      <c r="A157" s="308" t="s">
        <v>1138</v>
      </c>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101"/>
    </row>
    <row r="158" spans="1:39" ht="55.2" customHeight="1" x14ac:dyDescent="0.3">
      <c r="A158" s="333" t="s">
        <v>1139</v>
      </c>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101"/>
    </row>
    <row r="159" spans="1:39" ht="35.700000000000003" customHeight="1" x14ac:dyDescent="0.3">
      <c r="A159" s="649" t="s">
        <v>752</v>
      </c>
      <c r="B159" s="649"/>
      <c r="C159" s="649"/>
      <c r="D159" s="649"/>
      <c r="E159" s="649"/>
      <c r="F159" s="649"/>
      <c r="G159" s="649"/>
      <c r="H159" s="649"/>
      <c r="I159" s="649"/>
      <c r="J159" s="649"/>
      <c r="K159" s="649"/>
      <c r="L159" s="649"/>
      <c r="M159" s="649"/>
      <c r="N159" s="649"/>
      <c r="O159" s="649"/>
      <c r="P159" s="649"/>
      <c r="Q159" s="649"/>
      <c r="R159" s="649"/>
      <c r="S159" s="649"/>
      <c r="T159" s="649"/>
      <c r="U159" s="649"/>
      <c r="V159" s="649"/>
      <c r="W159" s="649"/>
      <c r="X159" s="649"/>
      <c r="Y159" s="649"/>
      <c r="Z159" s="649"/>
      <c r="AA159" s="649"/>
      <c r="AB159" s="649"/>
      <c r="AC159" s="649"/>
      <c r="AD159" s="649"/>
      <c r="AE159" s="649"/>
      <c r="AF159" s="649"/>
      <c r="AG159" s="649"/>
      <c r="AH159" s="649"/>
      <c r="AI159" s="649"/>
      <c r="AJ159" s="649"/>
      <c r="AK159" s="649"/>
      <c r="AL159" s="649"/>
      <c r="AM159" s="101"/>
    </row>
    <row r="160" spans="1:39" ht="67.5" customHeight="1" x14ac:dyDescent="0.3">
      <c r="A160" s="308" t="s">
        <v>979</v>
      </c>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c r="AH160" s="308"/>
      <c r="AI160" s="308"/>
      <c r="AJ160" s="308"/>
      <c r="AK160" s="308"/>
      <c r="AL160" s="308"/>
      <c r="AM160" s="101"/>
    </row>
    <row r="161" spans="1:39" ht="34.950000000000003" customHeight="1" x14ac:dyDescent="0.3">
      <c r="A161" s="308" t="s">
        <v>1024</v>
      </c>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c r="AH161" s="308"/>
      <c r="AI161" s="308"/>
      <c r="AJ161" s="308"/>
      <c r="AK161" s="308"/>
      <c r="AL161" s="308"/>
      <c r="AM161" s="101"/>
    </row>
    <row r="162" spans="1:39" ht="75" customHeight="1" x14ac:dyDescent="0.3">
      <c r="A162" s="308" t="s">
        <v>1153</v>
      </c>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c r="AH162" s="308"/>
      <c r="AI162" s="308"/>
      <c r="AJ162" s="308"/>
      <c r="AK162" s="308"/>
      <c r="AL162" s="308"/>
      <c r="AM162" s="101"/>
    </row>
    <row r="163" spans="1:39" ht="76.95" customHeight="1" x14ac:dyDescent="0.3">
      <c r="A163" s="651" t="s">
        <v>1002</v>
      </c>
      <c r="B163" s="517"/>
      <c r="C163" s="517"/>
      <c r="D163" s="517"/>
      <c r="E163" s="517"/>
      <c r="F163" s="517"/>
      <c r="G163" s="517"/>
      <c r="H163" s="517"/>
      <c r="I163" s="517"/>
      <c r="J163" s="517"/>
      <c r="K163" s="517"/>
      <c r="L163" s="517"/>
      <c r="M163" s="517"/>
      <c r="N163" s="517"/>
      <c r="O163" s="517"/>
      <c r="P163" s="517"/>
      <c r="Q163" s="517"/>
      <c r="R163" s="517"/>
      <c r="S163" s="517"/>
      <c r="T163" s="517"/>
      <c r="U163" s="517"/>
      <c r="V163" s="517"/>
      <c r="W163" s="517"/>
      <c r="X163" s="517"/>
      <c r="Y163" s="517"/>
      <c r="Z163" s="517"/>
      <c r="AA163" s="517"/>
      <c r="AB163" s="517"/>
      <c r="AC163" s="517"/>
      <c r="AD163" s="517"/>
      <c r="AE163" s="517"/>
      <c r="AF163" s="517"/>
      <c r="AG163" s="517"/>
      <c r="AH163" s="517"/>
      <c r="AI163" s="517"/>
      <c r="AJ163" s="517"/>
      <c r="AK163" s="517"/>
      <c r="AL163" s="517"/>
      <c r="AM163" s="101"/>
    </row>
    <row r="164" spans="1:39" ht="23.7" customHeight="1" x14ac:dyDescent="0.3">
      <c r="A164" s="308" t="s">
        <v>1051</v>
      </c>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c r="AJ164" s="308"/>
      <c r="AK164" s="308"/>
      <c r="AL164" s="308"/>
      <c r="AM164" s="101"/>
    </row>
    <row r="165" spans="1:39" ht="43.5" customHeight="1" x14ac:dyDescent="0.3">
      <c r="A165" s="549" t="str">
        <f>IF(B17="Gmina","1)  w przypadku gminy - wójta (burmistrza, prezydenta miasta)",IF(B17="Związek międzygminny","2)  w przypadku związku międzygminnego - zarząd związku",IF(B17="Organizacja pozarządowa","4)  w przypadku organizacji pożytku publicznego - osobę lub osoby uprawnione do składania oświadczeń woli w imieniu organizacji (należy dołączyć aktualny dokument potwierdzający uprawnienia)",IF(B17="Jednoosobowa spółka gminna","4)  w przypadku jednoosobowej spółki gminnej - osobę lub osoby uprawnione do składania oświadczeń woli w imieniu spółki (należy dołączyć aktualny dokument potwierdzający uprawnienia)",IF(B17="Podmioty, o których mowa w art. 3 ust. 3 ustawy  o działalności pożytku publicznego i wolontariacie","4)  w przypadku podmiotów - osobę lub osoby uprawnione do składania oświadczeń woli w imieniu organizacji (należy dołączyć aktualny dokument potwierdzający uprawnienia)",IF(B17="",""))))))</f>
        <v/>
      </c>
      <c r="B165" s="550"/>
      <c r="C165" s="550"/>
      <c r="D165" s="550"/>
      <c r="E165" s="550"/>
      <c r="F165" s="550"/>
      <c r="G165" s="550"/>
      <c r="H165" s="550"/>
      <c r="I165" s="550"/>
      <c r="J165" s="550"/>
      <c r="K165" s="550"/>
      <c r="L165" s="550"/>
      <c r="M165" s="550"/>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1"/>
      <c r="AM165" s="454" t="s">
        <v>974</v>
      </c>
    </row>
    <row r="166" spans="1:39" ht="45" customHeight="1" x14ac:dyDescent="0.3">
      <c r="A166" s="546" t="s">
        <v>753</v>
      </c>
      <c r="B166" s="547"/>
      <c r="C166" s="547"/>
      <c r="D166" s="547"/>
      <c r="E166" s="547"/>
      <c r="F166" s="547"/>
      <c r="G166" s="547"/>
      <c r="H166" s="547"/>
      <c r="I166" s="547"/>
      <c r="J166" s="547"/>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8"/>
      <c r="AM166" s="455"/>
    </row>
    <row r="167" spans="1:39" ht="14.7" customHeight="1" x14ac:dyDescent="0.3">
      <c r="A167" s="449" t="s">
        <v>1148</v>
      </c>
      <c r="B167" s="449"/>
      <c r="C167" s="449"/>
      <c r="D167" s="449"/>
      <c r="E167" s="449"/>
      <c r="F167" s="449"/>
      <c r="G167" s="449"/>
      <c r="H167" s="449"/>
      <c r="I167" s="449"/>
      <c r="J167" s="449"/>
      <c r="K167" s="449"/>
      <c r="L167" s="449"/>
      <c r="M167" s="449"/>
      <c r="N167" s="449"/>
      <c r="O167" s="449"/>
      <c r="P167" s="449"/>
      <c r="Q167" s="449"/>
      <c r="R167" s="449"/>
      <c r="S167" s="449"/>
      <c r="T167" s="449"/>
      <c r="U167" s="449"/>
      <c r="V167" s="449"/>
      <c r="W167" s="449"/>
      <c r="X167" s="449"/>
      <c r="Y167" s="449"/>
      <c r="Z167" s="449"/>
      <c r="AA167" s="449"/>
      <c r="AB167" s="449"/>
      <c r="AC167" s="449"/>
      <c r="AD167" s="449"/>
      <c r="AE167" s="449"/>
      <c r="AF167" s="449"/>
      <c r="AG167" s="449"/>
      <c r="AH167" s="449"/>
      <c r="AI167" s="449"/>
      <c r="AJ167" s="449"/>
      <c r="AK167" s="449"/>
      <c r="AL167" s="449"/>
      <c r="AM167" s="164"/>
    </row>
    <row r="168" spans="1:39" ht="14.7" customHeight="1" x14ac:dyDescent="0.3">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c r="W168" s="450"/>
      <c r="X168" s="450"/>
      <c r="Y168" s="450"/>
      <c r="Z168" s="450"/>
      <c r="AA168" s="450"/>
      <c r="AB168" s="450"/>
      <c r="AC168" s="450"/>
      <c r="AD168" s="450"/>
      <c r="AE168" s="450"/>
      <c r="AF168" s="450"/>
      <c r="AG168" s="450"/>
      <c r="AH168" s="450"/>
      <c r="AI168" s="450"/>
      <c r="AJ168" s="450"/>
      <c r="AK168" s="450"/>
      <c r="AL168" s="450"/>
      <c r="AM168" s="164"/>
    </row>
    <row r="169" spans="1:39" ht="14.7" customHeight="1" x14ac:dyDescent="0.3">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c r="W169" s="450"/>
      <c r="X169" s="450"/>
      <c r="Y169" s="450"/>
      <c r="Z169" s="450"/>
      <c r="AA169" s="450"/>
      <c r="AB169" s="450"/>
      <c r="AC169" s="450"/>
      <c r="AD169" s="450"/>
      <c r="AE169" s="450"/>
      <c r="AF169" s="450"/>
      <c r="AG169" s="450"/>
      <c r="AH169" s="450"/>
      <c r="AI169" s="450"/>
      <c r="AJ169" s="450"/>
      <c r="AK169" s="450"/>
      <c r="AL169" s="450"/>
      <c r="AM169" s="164"/>
    </row>
    <row r="170" spans="1:39" ht="14.7" customHeight="1" x14ac:dyDescent="0.3">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c r="W170" s="450"/>
      <c r="X170" s="450"/>
      <c r="Y170" s="450"/>
      <c r="Z170" s="450"/>
      <c r="AA170" s="450"/>
      <c r="AB170" s="450"/>
      <c r="AC170" s="450"/>
      <c r="AD170" s="450"/>
      <c r="AE170" s="450"/>
      <c r="AF170" s="450"/>
      <c r="AG170" s="450"/>
      <c r="AH170" s="450"/>
      <c r="AI170" s="450"/>
      <c r="AJ170" s="450"/>
      <c r="AK170" s="450"/>
      <c r="AL170" s="450"/>
      <c r="AM170" s="256" t="s">
        <v>1155</v>
      </c>
    </row>
    <row r="171" spans="1:39" ht="150.44999999999999" customHeight="1" x14ac:dyDescent="0.3">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c r="W171" s="450"/>
      <c r="X171" s="450"/>
      <c r="Y171" s="450"/>
      <c r="Z171" s="450"/>
      <c r="AA171" s="450"/>
      <c r="AB171" s="450"/>
      <c r="AC171" s="450"/>
      <c r="AD171" s="450"/>
      <c r="AE171" s="450"/>
      <c r="AF171" s="450"/>
      <c r="AG171" s="450"/>
      <c r="AH171" s="450"/>
      <c r="AI171" s="450"/>
      <c r="AJ171" s="450"/>
      <c r="AK171" s="450"/>
      <c r="AL171" s="450"/>
      <c r="AM171" s="255" t="s">
        <v>1156</v>
      </c>
    </row>
    <row r="172" spans="1:39" x14ac:dyDescent="0.3">
      <c r="B172" s="158"/>
      <c r="C172" s="158"/>
      <c r="D172" s="158"/>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64"/>
    </row>
    <row r="173" spans="1:39" x14ac:dyDescent="0.3">
      <c r="B173" s="158"/>
      <c r="C173" s="158"/>
      <c r="D173" s="158"/>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64"/>
    </row>
    <row r="174" spans="1:39" x14ac:dyDescent="0.3">
      <c r="B174" s="158"/>
      <c r="C174" s="158"/>
      <c r="D174" s="158"/>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64"/>
    </row>
    <row r="175" spans="1:39" x14ac:dyDescent="0.3">
      <c r="B175" s="158"/>
      <c r="C175" s="158"/>
      <c r="D175" s="158"/>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64"/>
    </row>
    <row r="176" spans="1:39" x14ac:dyDescent="0.3">
      <c r="B176" s="158"/>
      <c r="C176" s="158"/>
      <c r="D176" s="158"/>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64"/>
    </row>
    <row r="177" spans="2:39" x14ac:dyDescent="0.3">
      <c r="B177" s="158"/>
      <c r="C177" s="158"/>
      <c r="D177" s="158"/>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64"/>
    </row>
    <row r="178" spans="2:39" x14ac:dyDescent="0.3">
      <c r="B178" s="158"/>
      <c r="C178" s="158"/>
      <c r="D178" s="158"/>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64"/>
    </row>
    <row r="179" spans="2:39" x14ac:dyDescent="0.3">
      <c r="B179" s="158"/>
      <c r="C179" s="158"/>
      <c r="D179" s="158"/>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64"/>
    </row>
    <row r="180" spans="2:39" x14ac:dyDescent="0.3">
      <c r="B180" s="158"/>
      <c r="C180" s="158"/>
      <c r="D180" s="158"/>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64"/>
    </row>
    <row r="181" spans="2:39" x14ac:dyDescent="0.3">
      <c r="B181" s="158"/>
      <c r="C181" s="158"/>
      <c r="D181" s="158"/>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64"/>
    </row>
    <row r="182" spans="2:39" x14ac:dyDescent="0.3">
      <c r="B182" s="158"/>
      <c r="C182" s="158"/>
      <c r="D182" s="158"/>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64"/>
    </row>
    <row r="183" spans="2:39" x14ac:dyDescent="0.3">
      <c r="B183" s="158"/>
      <c r="C183" s="158"/>
      <c r="D183" s="158"/>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64"/>
    </row>
    <row r="184" spans="2:39" x14ac:dyDescent="0.3">
      <c r="B184" s="158"/>
      <c r="C184" s="158"/>
      <c r="D184" s="158"/>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64"/>
    </row>
    <row r="185" spans="2:39" x14ac:dyDescent="0.3">
      <c r="B185" s="158"/>
      <c r="C185" s="158"/>
      <c r="D185" s="158"/>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64"/>
    </row>
    <row r="186" spans="2:39" x14ac:dyDescent="0.3">
      <c r="B186" s="158"/>
      <c r="C186" s="158"/>
      <c r="D186" s="158"/>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64"/>
    </row>
    <row r="187" spans="2:39" x14ac:dyDescent="0.3">
      <c r="B187" s="158"/>
      <c r="C187" s="158"/>
      <c r="D187" s="158"/>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64"/>
    </row>
    <row r="188" spans="2:39" x14ac:dyDescent="0.3">
      <c r="B188" s="158"/>
      <c r="C188" s="158"/>
      <c r="D188" s="158"/>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64"/>
    </row>
    <row r="189" spans="2:39" x14ac:dyDescent="0.3">
      <c r="B189" s="158"/>
      <c r="C189" s="158"/>
      <c r="D189" s="158"/>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64"/>
    </row>
    <row r="190" spans="2:39" x14ac:dyDescent="0.3">
      <c r="B190" s="158"/>
      <c r="C190" s="158"/>
      <c r="D190" s="158"/>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64"/>
    </row>
    <row r="191" spans="2:39" x14ac:dyDescent="0.3">
      <c r="B191" s="158"/>
      <c r="C191" s="158"/>
      <c r="D191" s="158"/>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64"/>
    </row>
    <row r="192" spans="2:39" x14ac:dyDescent="0.3">
      <c r="B192" s="158"/>
      <c r="C192" s="158"/>
      <c r="D192" s="158"/>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64"/>
    </row>
    <row r="193" spans="2:39" x14ac:dyDescent="0.3">
      <c r="B193" s="158"/>
      <c r="C193" s="158"/>
      <c r="D193" s="158"/>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64"/>
    </row>
    <row r="194" spans="2:39" x14ac:dyDescent="0.3">
      <c r="B194" s="158"/>
      <c r="C194" s="158"/>
      <c r="D194" s="158"/>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64"/>
    </row>
    <row r="195" spans="2:39" x14ac:dyDescent="0.3">
      <c r="B195" s="158"/>
      <c r="C195" s="158"/>
      <c r="D195" s="158"/>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64"/>
    </row>
    <row r="196" spans="2:39" x14ac:dyDescent="0.3">
      <c r="B196" s="158"/>
      <c r="C196" s="158"/>
      <c r="D196" s="158"/>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64"/>
    </row>
    <row r="197" spans="2:39" x14ac:dyDescent="0.3">
      <c r="B197" s="158"/>
      <c r="C197" s="158"/>
      <c r="D197" s="158"/>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64"/>
    </row>
    <row r="198" spans="2:39" x14ac:dyDescent="0.3">
      <c r="B198" s="158"/>
      <c r="C198" s="158"/>
      <c r="D198" s="158"/>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64"/>
    </row>
    <row r="199" spans="2:39" x14ac:dyDescent="0.3">
      <c r="B199" s="158"/>
      <c r="C199" s="158"/>
      <c r="D199" s="158"/>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64"/>
    </row>
    <row r="200" spans="2:39" x14ac:dyDescent="0.3">
      <c r="B200" s="158"/>
      <c r="C200" s="158"/>
      <c r="D200" s="158"/>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64"/>
    </row>
    <row r="201" spans="2:39" x14ac:dyDescent="0.3">
      <c r="B201" s="158"/>
      <c r="C201" s="158"/>
      <c r="D201" s="158"/>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64"/>
    </row>
    <row r="202" spans="2:39" x14ac:dyDescent="0.3">
      <c r="B202" s="158"/>
      <c r="C202" s="158"/>
      <c r="D202" s="158"/>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64"/>
    </row>
    <row r="203" spans="2:39" x14ac:dyDescent="0.3">
      <c r="B203" s="158"/>
      <c r="C203" s="158"/>
      <c r="D203" s="158"/>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64"/>
    </row>
    <row r="204" spans="2:39" x14ac:dyDescent="0.3">
      <c r="B204" s="158"/>
      <c r="C204" s="158"/>
      <c r="D204" s="158"/>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64"/>
    </row>
    <row r="205" spans="2:39" x14ac:dyDescent="0.3">
      <c r="B205" s="158"/>
      <c r="C205" s="158"/>
      <c r="D205" s="158"/>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64"/>
    </row>
    <row r="206" spans="2:39" x14ac:dyDescent="0.3">
      <c r="B206" s="158"/>
      <c r="C206" s="158"/>
      <c r="D206" s="158"/>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64"/>
    </row>
    <row r="207" spans="2:39" x14ac:dyDescent="0.3">
      <c r="B207" s="158"/>
      <c r="C207" s="158"/>
      <c r="D207" s="158"/>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64"/>
    </row>
    <row r="208" spans="2:39" x14ac:dyDescent="0.3">
      <c r="B208" s="158"/>
      <c r="C208" s="158"/>
      <c r="D208" s="158"/>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64"/>
    </row>
    <row r="209" spans="2:39" x14ac:dyDescent="0.3">
      <c r="B209" s="158"/>
      <c r="C209" s="158"/>
      <c r="D209" s="158"/>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64"/>
    </row>
    <row r="210" spans="2:39" x14ac:dyDescent="0.3">
      <c r="B210" s="158"/>
      <c r="C210" s="158"/>
      <c r="D210" s="158"/>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64"/>
    </row>
    <row r="211" spans="2:39" x14ac:dyDescent="0.3">
      <c r="B211" s="158"/>
      <c r="C211" s="158"/>
      <c r="D211" s="158"/>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64"/>
    </row>
    <row r="212" spans="2:39" x14ac:dyDescent="0.3">
      <c r="B212" s="158"/>
      <c r="C212" s="158"/>
      <c r="D212" s="158"/>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64"/>
    </row>
    <row r="213" spans="2:39" x14ac:dyDescent="0.3">
      <c r="B213" s="158"/>
      <c r="C213" s="158"/>
      <c r="D213" s="158"/>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64"/>
    </row>
    <row r="214" spans="2:39" x14ac:dyDescent="0.3">
      <c r="B214" s="158"/>
      <c r="C214" s="158"/>
      <c r="D214" s="158"/>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64"/>
    </row>
    <row r="215" spans="2:39" x14ac:dyDescent="0.3">
      <c r="B215" s="158"/>
      <c r="C215" s="158"/>
      <c r="D215" s="158"/>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64"/>
    </row>
    <row r="216" spans="2:39" x14ac:dyDescent="0.3">
      <c r="B216" s="158"/>
      <c r="C216" s="158"/>
      <c r="D216" s="158"/>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64"/>
    </row>
    <row r="217" spans="2:39" x14ac:dyDescent="0.3">
      <c r="B217" s="158"/>
      <c r="C217" s="158"/>
      <c r="D217" s="158"/>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64"/>
    </row>
    <row r="218" spans="2:39" x14ac:dyDescent="0.3">
      <c r="B218" s="158"/>
      <c r="C218" s="158"/>
      <c r="D218" s="158"/>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64"/>
    </row>
    <row r="219" spans="2:39" x14ac:dyDescent="0.3">
      <c r="B219" s="158"/>
      <c r="C219" s="158"/>
      <c r="D219" s="158"/>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64"/>
    </row>
    <row r="220" spans="2:39" x14ac:dyDescent="0.3">
      <c r="B220" s="158"/>
      <c r="C220" s="158"/>
      <c r="D220" s="158"/>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64"/>
    </row>
    <row r="221" spans="2:39" x14ac:dyDescent="0.3">
      <c r="B221" s="158"/>
      <c r="C221" s="158"/>
      <c r="D221" s="158"/>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64"/>
    </row>
    <row r="222" spans="2:39" x14ac:dyDescent="0.3">
      <c r="B222" s="158"/>
      <c r="C222" s="158"/>
      <c r="D222" s="158"/>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64"/>
    </row>
    <row r="223" spans="2:39" x14ac:dyDescent="0.3">
      <c r="B223" s="158"/>
      <c r="C223" s="158"/>
      <c r="D223" s="158"/>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64"/>
    </row>
    <row r="224" spans="2:39" x14ac:dyDescent="0.3">
      <c r="B224" s="158"/>
      <c r="C224" s="158"/>
      <c r="D224" s="158"/>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64"/>
    </row>
    <row r="225" spans="2:39" x14ac:dyDescent="0.3">
      <c r="B225" s="158"/>
      <c r="C225" s="158"/>
      <c r="D225" s="158"/>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64"/>
    </row>
    <row r="226" spans="2:39" x14ac:dyDescent="0.3">
      <c r="B226" s="158"/>
      <c r="C226" s="158"/>
      <c r="D226" s="158"/>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64"/>
    </row>
    <row r="227" spans="2:39" x14ac:dyDescent="0.3">
      <c r="B227" s="158"/>
      <c r="C227" s="158"/>
      <c r="D227" s="158"/>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64"/>
    </row>
    <row r="228" spans="2:39" x14ac:dyDescent="0.3">
      <c r="B228" s="158"/>
      <c r="C228" s="158"/>
      <c r="D228" s="158"/>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64"/>
    </row>
    <row r="229" spans="2:39" x14ac:dyDescent="0.3">
      <c r="B229" s="158"/>
      <c r="C229" s="158"/>
      <c r="D229" s="158"/>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64"/>
    </row>
    <row r="230" spans="2:39" x14ac:dyDescent="0.3">
      <c r="B230" s="158"/>
      <c r="C230" s="158"/>
      <c r="D230" s="158"/>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64"/>
    </row>
    <row r="231" spans="2:39" x14ac:dyDescent="0.3">
      <c r="B231" s="158"/>
      <c r="C231" s="158"/>
      <c r="D231" s="158"/>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64"/>
    </row>
    <row r="232" spans="2:39" x14ac:dyDescent="0.3">
      <c r="B232" s="158"/>
      <c r="C232" s="158"/>
      <c r="D232" s="158"/>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64"/>
    </row>
    <row r="233" spans="2:39" x14ac:dyDescent="0.3">
      <c r="B233" s="158"/>
      <c r="C233" s="158"/>
      <c r="D233" s="158"/>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64"/>
    </row>
    <row r="234" spans="2:39" x14ac:dyDescent="0.3">
      <c r="B234" s="158"/>
      <c r="C234" s="158"/>
      <c r="D234" s="158"/>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64"/>
    </row>
    <row r="235" spans="2:39" x14ac:dyDescent="0.3">
      <c r="B235" s="158"/>
      <c r="C235" s="158"/>
      <c r="D235" s="158"/>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64"/>
    </row>
    <row r="236" spans="2:39" x14ac:dyDescent="0.3">
      <c r="B236" s="158"/>
      <c r="C236" s="158"/>
      <c r="D236" s="158"/>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64"/>
    </row>
    <row r="237" spans="2:39" x14ac:dyDescent="0.3">
      <c r="B237" s="158"/>
      <c r="C237" s="158"/>
      <c r="D237" s="158"/>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64"/>
    </row>
    <row r="238" spans="2:39" x14ac:dyDescent="0.3">
      <c r="B238" s="158"/>
      <c r="C238" s="158"/>
      <c r="D238" s="158"/>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64"/>
    </row>
    <row r="239" spans="2:39" x14ac:dyDescent="0.3">
      <c r="B239" s="158"/>
      <c r="C239" s="158"/>
      <c r="D239" s="158"/>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64"/>
    </row>
    <row r="240" spans="2:39" x14ac:dyDescent="0.3">
      <c r="B240" s="158"/>
      <c r="C240" s="158"/>
      <c r="D240" s="158"/>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64"/>
    </row>
    <row r="241" spans="2:39" x14ac:dyDescent="0.3">
      <c r="B241" s="158"/>
      <c r="C241" s="158"/>
      <c r="D241" s="158"/>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64"/>
    </row>
    <row r="242" spans="2:39" x14ac:dyDescent="0.3">
      <c r="B242" s="158"/>
      <c r="C242" s="158"/>
      <c r="D242" s="158"/>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64"/>
    </row>
    <row r="243" spans="2:39" x14ac:dyDescent="0.3">
      <c r="B243" s="158"/>
      <c r="C243" s="158"/>
      <c r="D243" s="158"/>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64"/>
    </row>
    <row r="244" spans="2:39" x14ac:dyDescent="0.3">
      <c r="B244" s="158"/>
      <c r="C244" s="158"/>
      <c r="D244" s="158"/>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64"/>
    </row>
    <row r="245" spans="2:39" x14ac:dyDescent="0.3">
      <c r="B245" s="158"/>
      <c r="C245" s="158"/>
      <c r="D245" s="158"/>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64"/>
    </row>
    <row r="246" spans="2:39" x14ac:dyDescent="0.3">
      <c r="B246" s="158"/>
      <c r="C246" s="158"/>
      <c r="D246" s="158"/>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64"/>
    </row>
    <row r="247" spans="2:39" x14ac:dyDescent="0.3">
      <c r="B247" s="158"/>
      <c r="C247" s="158"/>
      <c r="D247" s="158"/>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64"/>
    </row>
    <row r="248" spans="2:39" x14ac:dyDescent="0.3">
      <c r="B248" s="158"/>
      <c r="C248" s="158"/>
      <c r="D248" s="158"/>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64"/>
    </row>
    <row r="249" spans="2:39" x14ac:dyDescent="0.3">
      <c r="B249" s="158"/>
      <c r="C249" s="158"/>
      <c r="D249" s="158"/>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64"/>
    </row>
    <row r="250" spans="2:39" x14ac:dyDescent="0.3">
      <c r="B250" s="158"/>
      <c r="C250" s="158"/>
      <c r="D250" s="158"/>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64"/>
    </row>
    <row r="251" spans="2:39" x14ac:dyDescent="0.3">
      <c r="B251" s="158"/>
      <c r="C251" s="158"/>
      <c r="D251" s="158"/>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64"/>
    </row>
    <row r="252" spans="2:39" x14ac:dyDescent="0.3">
      <c r="B252" s="158"/>
      <c r="C252" s="158"/>
      <c r="D252" s="158"/>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64"/>
    </row>
    <row r="253" spans="2:39" x14ac:dyDescent="0.3">
      <c r="B253" s="158"/>
      <c r="C253" s="158"/>
      <c r="D253" s="158"/>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64"/>
    </row>
    <row r="254" spans="2:39" x14ac:dyDescent="0.3">
      <c r="B254" s="158"/>
      <c r="C254" s="158"/>
      <c r="D254" s="158"/>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64"/>
    </row>
    <row r="255" spans="2:39" x14ac:dyDescent="0.3">
      <c r="B255" s="158"/>
      <c r="C255" s="158"/>
      <c r="D255" s="158"/>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64"/>
    </row>
    <row r="256" spans="2:39" x14ac:dyDescent="0.3">
      <c r="B256" s="158"/>
      <c r="C256" s="158"/>
      <c r="D256" s="158"/>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64"/>
    </row>
    <row r="257" spans="2:39" x14ac:dyDescent="0.3">
      <c r="B257" s="158"/>
      <c r="C257" s="158"/>
      <c r="D257" s="158"/>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64"/>
    </row>
    <row r="258" spans="2:39" x14ac:dyDescent="0.3">
      <c r="B258" s="158"/>
      <c r="C258" s="158"/>
      <c r="D258" s="158"/>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64"/>
    </row>
    <row r="259" spans="2:39" x14ac:dyDescent="0.3">
      <c r="B259" s="158"/>
      <c r="C259" s="158"/>
      <c r="D259" s="158"/>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64"/>
    </row>
    <row r="260" spans="2:39" x14ac:dyDescent="0.3">
      <c r="B260" s="158"/>
      <c r="C260" s="158"/>
      <c r="D260" s="158"/>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64"/>
    </row>
    <row r="261" spans="2:39" x14ac:dyDescent="0.3">
      <c r="B261" s="158"/>
      <c r="C261" s="158"/>
      <c r="D261" s="158"/>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64"/>
    </row>
    <row r="262" spans="2:39" x14ac:dyDescent="0.3">
      <c r="B262" s="158"/>
      <c r="C262" s="158"/>
      <c r="D262" s="158"/>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64"/>
    </row>
    <row r="263" spans="2:39" x14ac:dyDescent="0.3">
      <c r="B263" s="158"/>
      <c r="C263" s="158"/>
      <c r="D263" s="158"/>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64"/>
    </row>
    <row r="264" spans="2:39" x14ac:dyDescent="0.3">
      <c r="B264" s="158"/>
      <c r="C264" s="158"/>
      <c r="D264" s="158"/>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64"/>
    </row>
    <row r="265" spans="2:39" x14ac:dyDescent="0.3">
      <c r="B265" s="158"/>
      <c r="C265" s="158"/>
      <c r="D265" s="158"/>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64"/>
    </row>
    <row r="266" spans="2:39" x14ac:dyDescent="0.3">
      <c r="B266" s="158"/>
      <c r="C266" s="158"/>
      <c r="D266" s="158"/>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64"/>
    </row>
    <row r="267" spans="2:39" x14ac:dyDescent="0.3">
      <c r="B267" s="158"/>
      <c r="C267" s="158"/>
      <c r="D267" s="158"/>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64"/>
    </row>
    <row r="268" spans="2:39" x14ac:dyDescent="0.3">
      <c r="B268" s="158"/>
      <c r="C268" s="158"/>
      <c r="D268" s="158"/>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64"/>
    </row>
    <row r="269" spans="2:39" x14ac:dyDescent="0.3">
      <c r="B269" s="158"/>
      <c r="C269" s="158"/>
      <c r="D269" s="158"/>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64"/>
    </row>
    <row r="270" spans="2:39" x14ac:dyDescent="0.3">
      <c r="B270" s="158"/>
      <c r="C270" s="158"/>
      <c r="D270" s="158"/>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64"/>
    </row>
    <row r="271" spans="2:39" x14ac:dyDescent="0.3">
      <c r="B271" s="158"/>
      <c r="C271" s="158"/>
      <c r="D271" s="158"/>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64"/>
    </row>
    <row r="272" spans="2:39" x14ac:dyDescent="0.3">
      <c r="B272" s="158"/>
      <c r="C272" s="158"/>
      <c r="D272" s="158"/>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64"/>
    </row>
    <row r="273" spans="2:39" x14ac:dyDescent="0.3">
      <c r="B273" s="158"/>
      <c r="C273" s="158"/>
      <c r="D273" s="158"/>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64"/>
    </row>
    <row r="274" spans="2:39" x14ac:dyDescent="0.3">
      <c r="B274" s="158"/>
      <c r="C274" s="158"/>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64"/>
    </row>
    <row r="275" spans="2:39" x14ac:dyDescent="0.3">
      <c r="B275" s="158"/>
      <c r="C275" s="158"/>
      <c r="D275" s="158"/>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64"/>
    </row>
    <row r="276" spans="2:39" x14ac:dyDescent="0.3">
      <c r="B276" s="158"/>
      <c r="C276" s="158"/>
      <c r="D276" s="158"/>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64"/>
    </row>
    <row r="277" spans="2:39" x14ac:dyDescent="0.3">
      <c r="B277" s="158"/>
      <c r="C277" s="158"/>
      <c r="D277" s="158"/>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64"/>
    </row>
    <row r="278" spans="2:39" x14ac:dyDescent="0.3">
      <c r="B278" s="158"/>
      <c r="C278" s="158"/>
      <c r="D278" s="158"/>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64"/>
    </row>
    <row r="279" spans="2:39" x14ac:dyDescent="0.3">
      <c r="B279" s="158"/>
      <c r="C279" s="158"/>
      <c r="D279" s="158"/>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64"/>
    </row>
    <row r="280" spans="2:39" x14ac:dyDescent="0.3">
      <c r="B280" s="158"/>
      <c r="C280" s="158"/>
      <c r="D280" s="158"/>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64"/>
    </row>
    <row r="281" spans="2:39" x14ac:dyDescent="0.3">
      <c r="B281" s="158"/>
      <c r="C281" s="158"/>
      <c r="D281" s="158"/>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64"/>
    </row>
    <row r="282" spans="2:39" x14ac:dyDescent="0.3">
      <c r="B282" s="158"/>
      <c r="C282" s="158"/>
      <c r="D282" s="158"/>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64"/>
    </row>
    <row r="283" spans="2:39" x14ac:dyDescent="0.3">
      <c r="B283" s="158"/>
      <c r="C283" s="158"/>
      <c r="D283" s="158"/>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64"/>
    </row>
    <row r="284" spans="2:39" x14ac:dyDescent="0.3">
      <c r="B284" s="158"/>
      <c r="C284" s="158"/>
      <c r="D284" s="158"/>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64"/>
    </row>
    <row r="285" spans="2:39" x14ac:dyDescent="0.3">
      <c r="B285" s="158"/>
      <c r="C285" s="158"/>
      <c r="D285" s="158"/>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64"/>
    </row>
    <row r="286" spans="2:39" x14ac:dyDescent="0.3">
      <c r="B286" s="158"/>
      <c r="C286" s="158"/>
      <c r="D286" s="158"/>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64"/>
    </row>
    <row r="287" spans="2:39" x14ac:dyDescent="0.3">
      <c r="B287" s="158"/>
      <c r="C287" s="158"/>
      <c r="D287" s="158"/>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64"/>
    </row>
    <row r="288" spans="2:39" x14ac:dyDescent="0.3">
      <c r="B288" s="158"/>
      <c r="C288" s="158"/>
      <c r="D288" s="158"/>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64"/>
    </row>
    <row r="289" spans="2:39" x14ac:dyDescent="0.3">
      <c r="B289" s="158"/>
      <c r="C289" s="158"/>
      <c r="D289" s="158"/>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64"/>
    </row>
    <row r="290" spans="2:39" x14ac:dyDescent="0.3">
      <c r="B290" s="158"/>
      <c r="C290" s="158"/>
      <c r="D290" s="158"/>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64"/>
    </row>
    <row r="291" spans="2:39" x14ac:dyDescent="0.3">
      <c r="B291" s="158"/>
      <c r="C291" s="158"/>
      <c r="D291" s="158"/>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64"/>
    </row>
    <row r="292" spans="2:39" x14ac:dyDescent="0.3">
      <c r="B292" s="158"/>
      <c r="C292" s="158"/>
      <c r="D292" s="158"/>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64"/>
    </row>
    <row r="293" spans="2:39" x14ac:dyDescent="0.3">
      <c r="B293" s="158"/>
      <c r="C293" s="158"/>
      <c r="D293" s="158"/>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64"/>
    </row>
    <row r="294" spans="2:39" x14ac:dyDescent="0.3">
      <c r="B294" s="158"/>
      <c r="C294" s="158"/>
      <c r="D294" s="158"/>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64"/>
    </row>
    <row r="295" spans="2:39" x14ac:dyDescent="0.3">
      <c r="B295" s="158"/>
      <c r="C295" s="158"/>
      <c r="D295" s="158"/>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64"/>
    </row>
    <row r="296" spans="2:39" x14ac:dyDescent="0.3">
      <c r="B296" s="158"/>
      <c r="C296" s="158"/>
      <c r="D296" s="158"/>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64"/>
    </row>
    <row r="297" spans="2:39" x14ac:dyDescent="0.3">
      <c r="B297" s="158"/>
      <c r="C297" s="158"/>
      <c r="D297" s="158"/>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64"/>
    </row>
    <row r="298" spans="2:39" x14ac:dyDescent="0.3">
      <c r="B298" s="158"/>
      <c r="C298" s="158"/>
      <c r="D298" s="158"/>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64"/>
    </row>
    <row r="299" spans="2:39" x14ac:dyDescent="0.3">
      <c r="B299" s="158"/>
      <c r="C299" s="158"/>
      <c r="D299" s="158"/>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64"/>
    </row>
    <row r="300" spans="2:39" x14ac:dyDescent="0.3">
      <c r="B300" s="158"/>
      <c r="C300" s="158"/>
      <c r="D300" s="158"/>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64"/>
    </row>
    <row r="301" spans="2:39" x14ac:dyDescent="0.3">
      <c r="B301" s="158"/>
      <c r="C301" s="158"/>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64"/>
    </row>
    <row r="302" spans="2:39" x14ac:dyDescent="0.3">
      <c r="B302" s="158"/>
      <c r="C302" s="158"/>
      <c r="D302" s="158"/>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64"/>
    </row>
    <row r="303" spans="2:39" x14ac:dyDescent="0.3">
      <c r="B303" s="158"/>
      <c r="C303" s="158"/>
      <c r="D303" s="158"/>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64"/>
    </row>
    <row r="304" spans="2:39" x14ac:dyDescent="0.3">
      <c r="B304" s="158"/>
      <c r="C304" s="158"/>
      <c r="D304" s="158"/>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64"/>
    </row>
    <row r="305" spans="2:39" x14ac:dyDescent="0.3">
      <c r="B305" s="158"/>
      <c r="C305" s="158"/>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64"/>
    </row>
    <row r="306" spans="2:39" x14ac:dyDescent="0.3">
      <c r="B306" s="158"/>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64"/>
    </row>
    <row r="307" spans="2:39" x14ac:dyDescent="0.3">
      <c r="B307" s="158"/>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64"/>
    </row>
    <row r="308" spans="2:39" x14ac:dyDescent="0.3">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64"/>
    </row>
    <row r="309" spans="2:39" x14ac:dyDescent="0.3">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64"/>
    </row>
    <row r="310" spans="2:39" x14ac:dyDescent="0.3">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64"/>
    </row>
    <row r="311" spans="2:39" x14ac:dyDescent="0.3">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64"/>
    </row>
    <row r="312" spans="2:39" x14ac:dyDescent="0.3">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64"/>
    </row>
    <row r="313" spans="2:39" x14ac:dyDescent="0.3">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64"/>
    </row>
    <row r="314" spans="2:39" x14ac:dyDescent="0.3">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64"/>
    </row>
    <row r="315" spans="2:39" x14ac:dyDescent="0.3">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64"/>
    </row>
    <row r="316" spans="2:39" x14ac:dyDescent="0.3">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64"/>
    </row>
    <row r="317" spans="2:39" x14ac:dyDescent="0.3">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64"/>
    </row>
    <row r="318" spans="2:39" x14ac:dyDescent="0.3">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64"/>
    </row>
    <row r="319" spans="2:39" x14ac:dyDescent="0.3">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64"/>
    </row>
    <row r="320" spans="2:39" x14ac:dyDescent="0.3">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64"/>
    </row>
    <row r="321" spans="2:39" x14ac:dyDescent="0.3">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64"/>
    </row>
    <row r="322" spans="2:39" x14ac:dyDescent="0.3">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64"/>
    </row>
    <row r="323" spans="2:39" x14ac:dyDescent="0.3">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64"/>
    </row>
    <row r="324" spans="2:39" x14ac:dyDescent="0.3">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64"/>
    </row>
    <row r="325" spans="2:39" x14ac:dyDescent="0.3">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64"/>
    </row>
    <row r="326" spans="2:39" x14ac:dyDescent="0.3">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64"/>
    </row>
    <row r="327" spans="2:39" x14ac:dyDescent="0.3">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64"/>
    </row>
    <row r="328" spans="2:39" x14ac:dyDescent="0.3">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64"/>
    </row>
    <row r="329" spans="2:39" x14ac:dyDescent="0.3">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64"/>
    </row>
    <row r="330" spans="2:39" x14ac:dyDescent="0.3">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64"/>
    </row>
    <row r="331" spans="2:39" x14ac:dyDescent="0.3">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64"/>
    </row>
    <row r="332" spans="2:39" x14ac:dyDescent="0.3">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64"/>
    </row>
    <row r="333" spans="2:39" x14ac:dyDescent="0.3">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64"/>
    </row>
    <row r="334" spans="2:39" x14ac:dyDescent="0.3">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64"/>
    </row>
    <row r="335" spans="2:39" x14ac:dyDescent="0.3">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64"/>
    </row>
    <row r="336" spans="2:39" x14ac:dyDescent="0.3">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64"/>
    </row>
    <row r="337" spans="2:39" x14ac:dyDescent="0.3">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64"/>
    </row>
    <row r="338" spans="2:39" x14ac:dyDescent="0.3">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64"/>
    </row>
    <row r="339" spans="2:39" x14ac:dyDescent="0.3">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64"/>
    </row>
    <row r="340" spans="2:39" x14ac:dyDescent="0.3">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64"/>
    </row>
    <row r="341" spans="2:39" x14ac:dyDescent="0.3">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64"/>
    </row>
    <row r="342" spans="2:39" x14ac:dyDescent="0.3">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64"/>
    </row>
    <row r="343" spans="2:39" x14ac:dyDescent="0.3">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64"/>
    </row>
    <row r="344" spans="2:39" x14ac:dyDescent="0.3">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64"/>
    </row>
    <row r="345" spans="2:39" x14ac:dyDescent="0.3">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64"/>
    </row>
    <row r="346" spans="2:39" x14ac:dyDescent="0.3">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64"/>
    </row>
    <row r="347" spans="2:39" x14ac:dyDescent="0.3">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64"/>
    </row>
    <row r="348" spans="2:39" x14ac:dyDescent="0.3">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64"/>
    </row>
    <row r="349" spans="2:39" x14ac:dyDescent="0.3">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64"/>
    </row>
    <row r="350" spans="2:39" x14ac:dyDescent="0.3">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64"/>
    </row>
    <row r="351" spans="2:39" x14ac:dyDescent="0.3">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64"/>
    </row>
    <row r="352" spans="2:39" x14ac:dyDescent="0.3">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64"/>
    </row>
    <row r="353" spans="2:39" x14ac:dyDescent="0.3">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64"/>
    </row>
    <row r="354" spans="2:39" x14ac:dyDescent="0.3">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64"/>
    </row>
    <row r="355" spans="2:39" x14ac:dyDescent="0.3">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64"/>
    </row>
    <row r="356" spans="2:39" x14ac:dyDescent="0.3">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64"/>
    </row>
    <row r="357" spans="2:39" x14ac:dyDescent="0.3">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64"/>
    </row>
    <row r="358" spans="2:39" x14ac:dyDescent="0.3">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64"/>
    </row>
    <row r="359" spans="2:39" x14ac:dyDescent="0.3">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64"/>
    </row>
    <row r="360" spans="2:39" x14ac:dyDescent="0.3">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64"/>
    </row>
    <row r="361" spans="2:39" x14ac:dyDescent="0.3">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64"/>
    </row>
    <row r="362" spans="2:39" x14ac:dyDescent="0.3">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64"/>
    </row>
    <row r="363" spans="2:39" x14ac:dyDescent="0.3">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64"/>
    </row>
    <row r="364" spans="2:39" x14ac:dyDescent="0.3">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64"/>
    </row>
    <row r="365" spans="2:39" x14ac:dyDescent="0.3">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64"/>
    </row>
    <row r="366" spans="2:39" x14ac:dyDescent="0.3">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64"/>
    </row>
    <row r="367" spans="2:39" x14ac:dyDescent="0.3">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64"/>
    </row>
    <row r="368" spans="2:39" x14ac:dyDescent="0.3">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64"/>
    </row>
    <row r="369" spans="2:39" x14ac:dyDescent="0.3">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64"/>
    </row>
    <row r="370" spans="2:39" x14ac:dyDescent="0.3">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64"/>
    </row>
    <row r="371" spans="2:39" x14ac:dyDescent="0.3">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64"/>
    </row>
    <row r="372" spans="2:39" x14ac:dyDescent="0.3">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64"/>
    </row>
    <row r="373" spans="2:39" x14ac:dyDescent="0.3">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64"/>
    </row>
    <row r="374" spans="2:39" x14ac:dyDescent="0.3">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64"/>
    </row>
    <row r="375" spans="2:39" x14ac:dyDescent="0.3">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64"/>
    </row>
    <row r="376" spans="2:39" x14ac:dyDescent="0.3">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64"/>
    </row>
    <row r="377" spans="2:39" x14ac:dyDescent="0.3">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64"/>
    </row>
    <row r="378" spans="2:39" x14ac:dyDescent="0.3">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64"/>
    </row>
    <row r="379" spans="2:39" x14ac:dyDescent="0.3">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64"/>
    </row>
    <row r="380" spans="2:39" x14ac:dyDescent="0.3">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64"/>
    </row>
    <row r="381" spans="2:39" x14ac:dyDescent="0.3">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64"/>
    </row>
    <row r="382" spans="2:39" x14ac:dyDescent="0.3">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64"/>
    </row>
    <row r="383" spans="2:39" x14ac:dyDescent="0.3">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64"/>
    </row>
    <row r="384" spans="2:39" x14ac:dyDescent="0.3">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64"/>
    </row>
    <row r="385" spans="2:39" x14ac:dyDescent="0.3">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64"/>
    </row>
    <row r="386" spans="2:39" x14ac:dyDescent="0.3">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64"/>
    </row>
    <row r="387" spans="2:39" x14ac:dyDescent="0.3">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64"/>
    </row>
    <row r="388" spans="2:39" x14ac:dyDescent="0.3">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64"/>
    </row>
    <row r="389" spans="2:39" x14ac:dyDescent="0.3">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64"/>
    </row>
    <row r="390" spans="2:39" x14ac:dyDescent="0.3">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64"/>
    </row>
    <row r="391" spans="2:39" x14ac:dyDescent="0.3">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64"/>
    </row>
    <row r="392" spans="2:39" x14ac:dyDescent="0.3">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64"/>
    </row>
    <row r="393" spans="2:39" x14ac:dyDescent="0.3">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64"/>
    </row>
    <row r="394" spans="2:39" x14ac:dyDescent="0.3">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64"/>
    </row>
    <row r="395" spans="2:39" x14ac:dyDescent="0.3">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64"/>
    </row>
    <row r="396" spans="2:39" x14ac:dyDescent="0.3">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64"/>
    </row>
    <row r="397" spans="2:39" x14ac:dyDescent="0.3">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64"/>
    </row>
    <row r="398" spans="2:39" x14ac:dyDescent="0.3">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64"/>
    </row>
    <row r="399" spans="2:39" x14ac:dyDescent="0.3">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64"/>
    </row>
    <row r="400" spans="2:39" x14ac:dyDescent="0.3">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64"/>
    </row>
    <row r="401" spans="2:39" x14ac:dyDescent="0.3">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64"/>
    </row>
    <row r="402" spans="2:39" x14ac:dyDescent="0.3">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64"/>
    </row>
    <row r="403" spans="2:39" x14ac:dyDescent="0.3">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64"/>
    </row>
    <row r="404" spans="2:39" x14ac:dyDescent="0.3">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64"/>
    </row>
    <row r="405" spans="2:39" x14ac:dyDescent="0.3">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64"/>
    </row>
    <row r="406" spans="2:39" x14ac:dyDescent="0.3">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64"/>
    </row>
    <row r="407" spans="2:39" x14ac:dyDescent="0.3">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64"/>
    </row>
    <row r="408" spans="2:39" x14ac:dyDescent="0.3">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64"/>
    </row>
    <row r="409" spans="2:39" x14ac:dyDescent="0.3">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64"/>
    </row>
    <row r="410" spans="2:39" x14ac:dyDescent="0.3">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64"/>
    </row>
    <row r="411" spans="2:39" x14ac:dyDescent="0.3">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64"/>
    </row>
    <row r="412" spans="2:39" x14ac:dyDescent="0.3">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64"/>
    </row>
    <row r="413" spans="2:39" x14ac:dyDescent="0.3">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64"/>
    </row>
    <row r="414" spans="2:39" x14ac:dyDescent="0.3">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64"/>
    </row>
    <row r="415" spans="2:39" x14ac:dyDescent="0.3">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64"/>
    </row>
    <row r="416" spans="2:39" x14ac:dyDescent="0.3">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64"/>
    </row>
    <row r="417" spans="2:39" x14ac:dyDescent="0.3">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64"/>
    </row>
    <row r="418" spans="2:39" x14ac:dyDescent="0.3">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64"/>
    </row>
    <row r="419" spans="2:39" x14ac:dyDescent="0.3">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64"/>
    </row>
    <row r="420" spans="2:39" x14ac:dyDescent="0.3">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64"/>
    </row>
    <row r="421" spans="2:39" x14ac:dyDescent="0.3">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64"/>
    </row>
    <row r="422" spans="2:39" x14ac:dyDescent="0.3">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64"/>
    </row>
    <row r="423" spans="2:39" x14ac:dyDescent="0.3">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64"/>
    </row>
    <row r="424" spans="2:39" x14ac:dyDescent="0.3">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64"/>
    </row>
    <row r="425" spans="2:39" x14ac:dyDescent="0.3">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64"/>
    </row>
    <row r="426" spans="2:39" x14ac:dyDescent="0.3">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64"/>
    </row>
    <row r="427" spans="2:39" x14ac:dyDescent="0.3">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64"/>
    </row>
    <row r="428" spans="2:39" x14ac:dyDescent="0.3">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64"/>
    </row>
    <row r="429" spans="2:39" x14ac:dyDescent="0.3">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64"/>
    </row>
    <row r="430" spans="2:39" x14ac:dyDescent="0.3">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64"/>
    </row>
    <row r="431" spans="2:39" x14ac:dyDescent="0.3">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64"/>
    </row>
    <row r="432" spans="2:39" x14ac:dyDescent="0.3">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64"/>
    </row>
    <row r="433" spans="2:39" x14ac:dyDescent="0.3">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64"/>
    </row>
    <row r="434" spans="2:39" x14ac:dyDescent="0.3">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64"/>
    </row>
    <row r="435" spans="2:39" x14ac:dyDescent="0.3">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64"/>
    </row>
    <row r="436" spans="2:39" x14ac:dyDescent="0.3">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64"/>
    </row>
    <row r="437" spans="2:39" x14ac:dyDescent="0.3">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64"/>
    </row>
    <row r="438" spans="2:39" x14ac:dyDescent="0.3">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64"/>
    </row>
    <row r="439" spans="2:39" x14ac:dyDescent="0.3">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64"/>
    </row>
    <row r="440" spans="2:39" x14ac:dyDescent="0.3">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64"/>
    </row>
    <row r="441" spans="2:39" x14ac:dyDescent="0.3">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64"/>
    </row>
    <row r="442" spans="2:39" x14ac:dyDescent="0.3">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64"/>
    </row>
    <row r="443" spans="2:39" x14ac:dyDescent="0.3">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64"/>
    </row>
    <row r="444" spans="2:39" x14ac:dyDescent="0.3">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64"/>
    </row>
    <row r="445" spans="2:39" x14ac:dyDescent="0.3">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64"/>
    </row>
    <row r="446" spans="2:39" x14ac:dyDescent="0.3">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64"/>
    </row>
    <row r="447" spans="2:39" x14ac:dyDescent="0.3">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64"/>
    </row>
    <row r="448" spans="2:39" x14ac:dyDescent="0.3">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64"/>
    </row>
    <row r="449" spans="2:39" x14ac:dyDescent="0.3">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64"/>
    </row>
    <row r="450" spans="2:39" x14ac:dyDescent="0.3">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64"/>
    </row>
    <row r="451" spans="2:39" x14ac:dyDescent="0.3">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64"/>
    </row>
    <row r="452" spans="2:39" x14ac:dyDescent="0.3">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64"/>
    </row>
    <row r="453" spans="2:39" x14ac:dyDescent="0.3">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64"/>
    </row>
    <row r="454" spans="2:39" x14ac:dyDescent="0.3">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64"/>
    </row>
    <row r="455" spans="2:39" x14ac:dyDescent="0.3">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64"/>
    </row>
    <row r="456" spans="2:39" x14ac:dyDescent="0.3">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64"/>
    </row>
    <row r="457" spans="2:39" x14ac:dyDescent="0.3">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64"/>
    </row>
    <row r="458" spans="2:39" x14ac:dyDescent="0.3">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64"/>
    </row>
    <row r="459" spans="2:39" x14ac:dyDescent="0.3">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64"/>
    </row>
    <row r="460" spans="2:39" x14ac:dyDescent="0.3">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64"/>
    </row>
    <row r="461" spans="2:39" x14ac:dyDescent="0.3">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64"/>
    </row>
    <row r="462" spans="2:39" x14ac:dyDescent="0.3">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64"/>
    </row>
    <row r="463" spans="2:39" x14ac:dyDescent="0.3">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64"/>
    </row>
    <row r="464" spans="2:39" x14ac:dyDescent="0.3">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64"/>
    </row>
    <row r="465" spans="2:39" x14ac:dyDescent="0.3">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64"/>
    </row>
    <row r="466" spans="2:39" x14ac:dyDescent="0.3">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64"/>
    </row>
    <row r="467" spans="2:39" x14ac:dyDescent="0.3">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64"/>
    </row>
    <row r="468" spans="2:39" x14ac:dyDescent="0.3">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64"/>
    </row>
    <row r="469" spans="2:39" x14ac:dyDescent="0.3">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64"/>
    </row>
    <row r="470" spans="2:39" x14ac:dyDescent="0.3">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64"/>
    </row>
    <row r="471" spans="2:39" x14ac:dyDescent="0.3">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64"/>
    </row>
    <row r="472" spans="2:39" x14ac:dyDescent="0.3">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64"/>
    </row>
    <row r="473" spans="2:39" x14ac:dyDescent="0.3">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64"/>
    </row>
    <row r="474" spans="2:39" x14ac:dyDescent="0.3">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64"/>
    </row>
    <row r="475" spans="2:39" x14ac:dyDescent="0.3">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64"/>
    </row>
    <row r="476" spans="2:39" x14ac:dyDescent="0.3">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64"/>
    </row>
    <row r="477" spans="2:39" x14ac:dyDescent="0.3">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64"/>
    </row>
    <row r="478" spans="2:39" x14ac:dyDescent="0.3">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64"/>
    </row>
    <row r="479" spans="2:39" x14ac:dyDescent="0.3">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64"/>
    </row>
    <row r="480" spans="2:39" x14ac:dyDescent="0.3">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64"/>
    </row>
    <row r="481" spans="2:39" x14ac:dyDescent="0.3">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64"/>
    </row>
    <row r="482" spans="2:39" x14ac:dyDescent="0.3">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64"/>
    </row>
    <row r="483" spans="2:39" x14ac:dyDescent="0.3">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64"/>
    </row>
    <row r="484" spans="2:39" x14ac:dyDescent="0.3">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64"/>
    </row>
    <row r="485" spans="2:39" x14ac:dyDescent="0.3">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64"/>
    </row>
    <row r="486" spans="2:39" x14ac:dyDescent="0.3">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64"/>
    </row>
    <row r="487" spans="2:39" x14ac:dyDescent="0.3">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64"/>
    </row>
    <row r="488" spans="2:39" x14ac:dyDescent="0.3">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64"/>
    </row>
    <row r="489" spans="2:39" x14ac:dyDescent="0.3">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64"/>
    </row>
    <row r="490" spans="2:39" x14ac:dyDescent="0.3">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64"/>
    </row>
    <row r="491" spans="2:39" x14ac:dyDescent="0.3">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64"/>
    </row>
    <row r="492" spans="2:39" x14ac:dyDescent="0.3">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64"/>
    </row>
    <row r="493" spans="2:39" x14ac:dyDescent="0.3">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64"/>
    </row>
    <row r="494" spans="2:39" x14ac:dyDescent="0.3">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64"/>
    </row>
    <row r="495" spans="2:39" x14ac:dyDescent="0.3">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64"/>
    </row>
    <row r="496" spans="2:39" x14ac:dyDescent="0.3">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64"/>
    </row>
    <row r="497" spans="2:39" x14ac:dyDescent="0.3">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64"/>
    </row>
    <row r="498" spans="2:39" x14ac:dyDescent="0.3">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64"/>
    </row>
    <row r="499" spans="2:39" x14ac:dyDescent="0.3">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64"/>
    </row>
    <row r="500" spans="2:39" x14ac:dyDescent="0.3">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64"/>
    </row>
    <row r="501" spans="2:39" x14ac:dyDescent="0.3">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64"/>
    </row>
    <row r="502" spans="2:39" x14ac:dyDescent="0.3">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64"/>
    </row>
    <row r="503" spans="2:39" x14ac:dyDescent="0.3">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64"/>
    </row>
    <row r="504" spans="2:39" x14ac:dyDescent="0.3">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64"/>
    </row>
    <row r="505" spans="2:39" x14ac:dyDescent="0.3">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64"/>
    </row>
    <row r="506" spans="2:39" x14ac:dyDescent="0.3">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64"/>
    </row>
    <row r="507" spans="2:39" x14ac:dyDescent="0.3">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64"/>
    </row>
    <row r="508" spans="2:39" x14ac:dyDescent="0.3">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64"/>
    </row>
    <row r="509" spans="2:39" x14ac:dyDescent="0.3">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64"/>
    </row>
    <row r="510" spans="2:39" x14ac:dyDescent="0.3">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64"/>
    </row>
    <row r="511" spans="2:39" x14ac:dyDescent="0.3">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64"/>
    </row>
    <row r="512" spans="2:39" x14ac:dyDescent="0.3">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64"/>
    </row>
    <row r="513" spans="2:39" x14ac:dyDescent="0.3">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64"/>
    </row>
    <row r="514" spans="2:39" x14ac:dyDescent="0.3">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64"/>
    </row>
    <row r="515" spans="2:39" x14ac:dyDescent="0.3">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64"/>
    </row>
    <row r="516" spans="2:39" x14ac:dyDescent="0.3">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64"/>
    </row>
    <row r="517" spans="2:39" x14ac:dyDescent="0.3">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64"/>
    </row>
    <row r="518" spans="2:39" x14ac:dyDescent="0.3">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64"/>
    </row>
    <row r="519" spans="2:39" x14ac:dyDescent="0.3">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64"/>
    </row>
    <row r="520" spans="2:39" x14ac:dyDescent="0.3">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64"/>
    </row>
    <row r="521" spans="2:39" x14ac:dyDescent="0.3">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64"/>
    </row>
    <row r="522" spans="2:39" x14ac:dyDescent="0.3">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64"/>
    </row>
    <row r="523" spans="2:39" x14ac:dyDescent="0.3">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64"/>
    </row>
    <row r="524" spans="2:39" x14ac:dyDescent="0.3">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64"/>
    </row>
    <row r="525" spans="2:39" x14ac:dyDescent="0.3">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64"/>
    </row>
    <row r="526" spans="2:39" x14ac:dyDescent="0.3">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64"/>
    </row>
    <row r="527" spans="2:39" x14ac:dyDescent="0.3">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64"/>
    </row>
    <row r="528" spans="2:39" x14ac:dyDescent="0.3">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64"/>
    </row>
    <row r="529" spans="2:39" x14ac:dyDescent="0.3">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64"/>
    </row>
    <row r="530" spans="2:39" x14ac:dyDescent="0.3">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64"/>
    </row>
    <row r="531" spans="2:39" x14ac:dyDescent="0.3">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64"/>
    </row>
    <row r="532" spans="2:39" x14ac:dyDescent="0.3">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64"/>
    </row>
    <row r="533" spans="2:39" x14ac:dyDescent="0.3">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64"/>
    </row>
    <row r="534" spans="2:39" x14ac:dyDescent="0.3">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64"/>
    </row>
    <row r="535" spans="2:39" x14ac:dyDescent="0.3">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64"/>
    </row>
    <row r="536" spans="2:39" x14ac:dyDescent="0.3">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64"/>
    </row>
    <row r="537" spans="2:39" x14ac:dyDescent="0.3">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64"/>
    </row>
    <row r="538" spans="2:39" x14ac:dyDescent="0.3">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64"/>
    </row>
    <row r="539" spans="2:39" x14ac:dyDescent="0.3">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64"/>
    </row>
    <row r="540" spans="2:39" x14ac:dyDescent="0.3">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64"/>
    </row>
    <row r="541" spans="2:39" x14ac:dyDescent="0.3">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64"/>
    </row>
    <row r="542" spans="2:39" x14ac:dyDescent="0.3">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64"/>
    </row>
    <row r="543" spans="2:39" x14ac:dyDescent="0.3">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64"/>
    </row>
    <row r="544" spans="2:39" x14ac:dyDescent="0.3">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64"/>
    </row>
    <row r="545" spans="2:39" x14ac:dyDescent="0.3">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64"/>
    </row>
    <row r="546" spans="2:39" x14ac:dyDescent="0.3">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64"/>
    </row>
    <row r="547" spans="2:39" x14ac:dyDescent="0.3">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64"/>
    </row>
    <row r="548" spans="2:39" x14ac:dyDescent="0.3">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64"/>
    </row>
    <row r="549" spans="2:39" x14ac:dyDescent="0.3">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64"/>
    </row>
    <row r="550" spans="2:39" x14ac:dyDescent="0.3">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64"/>
    </row>
    <row r="551" spans="2:39" x14ac:dyDescent="0.3">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64"/>
    </row>
    <row r="552" spans="2:39" x14ac:dyDescent="0.3">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64"/>
    </row>
    <row r="553" spans="2:39" x14ac:dyDescent="0.3">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64"/>
    </row>
    <row r="554" spans="2:39" x14ac:dyDescent="0.3">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64"/>
    </row>
    <row r="555" spans="2:39" x14ac:dyDescent="0.3">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64"/>
    </row>
    <row r="556" spans="2:39" x14ac:dyDescent="0.3">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64"/>
    </row>
    <row r="557" spans="2:39" x14ac:dyDescent="0.3">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64"/>
    </row>
    <row r="558" spans="2:39" x14ac:dyDescent="0.3">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64"/>
    </row>
    <row r="559" spans="2:39" x14ac:dyDescent="0.3">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64"/>
    </row>
    <row r="560" spans="2:39" x14ac:dyDescent="0.3">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64"/>
    </row>
    <row r="561" spans="2:39" x14ac:dyDescent="0.3">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64"/>
    </row>
    <row r="562" spans="2:39" x14ac:dyDescent="0.3">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64"/>
    </row>
    <row r="563" spans="2:39" x14ac:dyDescent="0.3">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64"/>
    </row>
    <row r="564" spans="2:39" x14ac:dyDescent="0.3">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64"/>
    </row>
    <row r="565" spans="2:39" x14ac:dyDescent="0.3">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64"/>
    </row>
    <row r="566" spans="2:39" x14ac:dyDescent="0.3">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64"/>
    </row>
    <row r="567" spans="2:39" x14ac:dyDescent="0.3">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64"/>
    </row>
    <row r="568" spans="2:39" x14ac:dyDescent="0.3">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64"/>
    </row>
    <row r="569" spans="2:39" x14ac:dyDescent="0.3">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64"/>
    </row>
    <row r="570" spans="2:39" x14ac:dyDescent="0.3">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64"/>
    </row>
    <row r="571" spans="2:39" x14ac:dyDescent="0.3">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64"/>
    </row>
    <row r="572" spans="2:39" x14ac:dyDescent="0.3">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64"/>
    </row>
    <row r="573" spans="2:39" x14ac:dyDescent="0.3">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64"/>
    </row>
    <row r="574" spans="2:39" x14ac:dyDescent="0.3">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64"/>
    </row>
    <row r="575" spans="2:39" x14ac:dyDescent="0.3">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64"/>
    </row>
    <row r="576" spans="2:39" x14ac:dyDescent="0.3">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64"/>
    </row>
    <row r="577" spans="2:39" x14ac:dyDescent="0.3">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64"/>
    </row>
    <row r="578" spans="2:39" x14ac:dyDescent="0.3">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64"/>
    </row>
    <row r="579" spans="2:39" x14ac:dyDescent="0.3">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64"/>
    </row>
    <row r="580" spans="2:39" x14ac:dyDescent="0.3">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64"/>
    </row>
    <row r="581" spans="2:39" x14ac:dyDescent="0.3">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64"/>
    </row>
    <row r="582" spans="2:39" x14ac:dyDescent="0.3">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64"/>
    </row>
    <row r="583" spans="2:39" x14ac:dyDescent="0.3">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64"/>
    </row>
    <row r="584" spans="2:39" x14ac:dyDescent="0.3">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64"/>
    </row>
    <row r="585" spans="2:39" x14ac:dyDescent="0.3">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64"/>
    </row>
    <row r="586" spans="2:39" x14ac:dyDescent="0.3">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64"/>
    </row>
    <row r="587" spans="2:39" x14ac:dyDescent="0.3">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64"/>
    </row>
    <row r="588" spans="2:39" x14ac:dyDescent="0.3">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64"/>
    </row>
    <row r="589" spans="2:39" x14ac:dyDescent="0.3">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64"/>
    </row>
    <row r="590" spans="2:39" x14ac:dyDescent="0.3">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64"/>
    </row>
    <row r="591" spans="2:39" x14ac:dyDescent="0.3">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64"/>
    </row>
    <row r="592" spans="2:39" x14ac:dyDescent="0.3">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64"/>
    </row>
    <row r="593" spans="2:39" x14ac:dyDescent="0.3">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64"/>
    </row>
    <row r="594" spans="2:39" x14ac:dyDescent="0.3">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64"/>
    </row>
    <row r="595" spans="2:39" x14ac:dyDescent="0.3">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64"/>
    </row>
    <row r="596" spans="2:39" x14ac:dyDescent="0.3">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64"/>
    </row>
    <row r="597" spans="2:39" x14ac:dyDescent="0.3">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64"/>
    </row>
    <row r="598" spans="2:39" x14ac:dyDescent="0.3">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64"/>
    </row>
    <row r="599" spans="2:39" x14ac:dyDescent="0.3">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64"/>
    </row>
    <row r="600" spans="2:39" x14ac:dyDescent="0.3">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64"/>
    </row>
    <row r="601" spans="2:39" x14ac:dyDescent="0.3">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64"/>
    </row>
    <row r="602" spans="2:39" x14ac:dyDescent="0.3">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64"/>
    </row>
    <row r="603" spans="2:39" x14ac:dyDescent="0.3">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64"/>
    </row>
    <row r="604" spans="2:39" x14ac:dyDescent="0.3">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64"/>
    </row>
    <row r="605" spans="2:39" x14ac:dyDescent="0.3">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64"/>
    </row>
    <row r="606" spans="2:39" x14ac:dyDescent="0.3">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64"/>
    </row>
    <row r="607" spans="2:39" x14ac:dyDescent="0.3">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64"/>
    </row>
    <row r="608" spans="2:39" x14ac:dyDescent="0.3">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64"/>
    </row>
    <row r="609" spans="2:39" x14ac:dyDescent="0.3">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64"/>
    </row>
    <row r="610" spans="2:39" x14ac:dyDescent="0.3">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64"/>
    </row>
    <row r="611" spans="2:39" x14ac:dyDescent="0.3">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64"/>
    </row>
    <row r="612" spans="2:39" x14ac:dyDescent="0.3">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64"/>
    </row>
    <row r="613" spans="2:39" x14ac:dyDescent="0.3">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64"/>
    </row>
    <row r="614" spans="2:39" x14ac:dyDescent="0.3">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64"/>
    </row>
    <row r="615" spans="2:39" x14ac:dyDescent="0.3">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64"/>
    </row>
    <row r="616" spans="2:39" x14ac:dyDescent="0.3">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64"/>
    </row>
    <row r="617" spans="2:39" x14ac:dyDescent="0.3">
      <c r="AM617" s="164"/>
    </row>
    <row r="618" spans="2:39" x14ac:dyDescent="0.3">
      <c r="AM618" s="164"/>
    </row>
    <row r="619" spans="2:39" x14ac:dyDescent="0.3">
      <c r="AM619" s="164"/>
    </row>
    <row r="620" spans="2:39" x14ac:dyDescent="0.3">
      <c r="AM620" s="164"/>
    </row>
    <row r="621" spans="2:39" x14ac:dyDescent="0.3">
      <c r="AM621" s="164"/>
    </row>
    <row r="622" spans="2:39" x14ac:dyDescent="0.3">
      <c r="AM622" s="164"/>
    </row>
    <row r="623" spans="2:39" x14ac:dyDescent="0.3">
      <c r="AM623" s="164"/>
    </row>
    <row r="624" spans="2:39" x14ac:dyDescent="0.3">
      <c r="AM624" s="164"/>
    </row>
  </sheetData>
  <sheetProtection algorithmName="SHA-512" hashValue="iDoNDnCTvHQp5xhanz6MAnG6eKQwQTZdt7CNArHlZsuYOq+IIJqkzouLiNwGeE7tryw0dN2CXkh6TutVKJEpLw==" saltValue="+hccQA/bXSO4I5KzlptHAw==" spinCount="100000" sheet="1" formatCells="0" formatRows="0" insertRows="0"/>
  <mergeCells count="408">
    <mergeCell ref="B37:AL37"/>
    <mergeCell ref="B66:AA66"/>
    <mergeCell ref="A1:AL1"/>
    <mergeCell ref="A44:A45"/>
    <mergeCell ref="B44:AL44"/>
    <mergeCell ref="B39:AL39"/>
    <mergeCell ref="B38:S38"/>
    <mergeCell ref="T38:AL38"/>
    <mergeCell ref="AM165:AM166"/>
    <mergeCell ref="B43:AL43"/>
    <mergeCell ref="B45:AL45"/>
    <mergeCell ref="B35:AL35"/>
    <mergeCell ref="B36:AL36"/>
    <mergeCell ref="B34:AL34"/>
    <mergeCell ref="AK51:AL51"/>
    <mergeCell ref="W25:AL25"/>
    <mergeCell ref="B28:AL28"/>
    <mergeCell ref="B59:AL59"/>
    <mergeCell ref="A161:AL161"/>
    <mergeCell ref="B58:R58"/>
    <mergeCell ref="S58:AL58"/>
    <mergeCell ref="B64:R64"/>
    <mergeCell ref="A157:AL157"/>
    <mergeCell ref="A158:AL158"/>
    <mergeCell ref="AK133:AL133"/>
    <mergeCell ref="P123:S123"/>
    <mergeCell ref="A40:A41"/>
    <mergeCell ref="B40:AL40"/>
    <mergeCell ref="B41:AL41"/>
    <mergeCell ref="A42:A43"/>
    <mergeCell ref="B42:AL42"/>
    <mergeCell ref="AK127:AL127"/>
    <mergeCell ref="AA127:AG127"/>
    <mergeCell ref="AK129:AL129"/>
    <mergeCell ref="B56:R56"/>
    <mergeCell ref="S56:AL56"/>
    <mergeCell ref="Z48:AJ48"/>
    <mergeCell ref="AK49:AL49"/>
    <mergeCell ref="B63:R63"/>
    <mergeCell ref="Z49:AJ49"/>
    <mergeCell ref="Z51:AJ51"/>
    <mergeCell ref="G129:K129"/>
    <mergeCell ref="L129:O129"/>
    <mergeCell ref="L115:O115"/>
    <mergeCell ref="P113:S113"/>
    <mergeCell ref="L114:O114"/>
    <mergeCell ref="L113:O113"/>
    <mergeCell ref="AK131:AL131"/>
    <mergeCell ref="P130:S130"/>
    <mergeCell ref="T130:Z130"/>
    <mergeCell ref="AA130:AG130"/>
    <mergeCell ref="G120:K120"/>
    <mergeCell ref="L121:O121"/>
    <mergeCell ref="G130:K130"/>
    <mergeCell ref="L130:O130"/>
    <mergeCell ref="AK125:AL125"/>
    <mergeCell ref="AH125:AJ125"/>
    <mergeCell ref="AK126:AL126"/>
    <mergeCell ref="AH126:AJ126"/>
    <mergeCell ref="AK124:AL124"/>
    <mergeCell ref="AA125:AG125"/>
    <mergeCell ref="AA120:AG120"/>
    <mergeCell ref="P122:S122"/>
    <mergeCell ref="T122:Z122"/>
    <mergeCell ref="AA122:AG122"/>
    <mergeCell ref="T123:Z123"/>
    <mergeCell ref="P126:S126"/>
    <mergeCell ref="P124:S124"/>
    <mergeCell ref="T124:Z124"/>
    <mergeCell ref="T126:Z126"/>
    <mergeCell ref="AH127:AJ127"/>
    <mergeCell ref="AH128:AJ128"/>
    <mergeCell ref="A146:AL146"/>
    <mergeCell ref="B139:S139"/>
    <mergeCell ref="B141:S141"/>
    <mergeCell ref="T141:AJ141"/>
    <mergeCell ref="B140:S140"/>
    <mergeCell ref="T140:AJ140"/>
    <mergeCell ref="T131:Z131"/>
    <mergeCell ref="P133:S133"/>
    <mergeCell ref="T133:Z133"/>
    <mergeCell ref="T134:Z134"/>
    <mergeCell ref="AH132:AJ132"/>
    <mergeCell ref="AH131:AJ131"/>
    <mergeCell ref="AA133:AG133"/>
    <mergeCell ref="AH133:AJ133"/>
    <mergeCell ref="P134:S134"/>
    <mergeCell ref="AH134:AJ134"/>
    <mergeCell ref="B134:F134"/>
    <mergeCell ref="G133:K133"/>
    <mergeCell ref="L133:O133"/>
    <mergeCell ref="AK132:AL132"/>
    <mergeCell ref="L134:O134"/>
    <mergeCell ref="AK134:AL134"/>
    <mergeCell ref="AA134:AG134"/>
    <mergeCell ref="AA132:AG132"/>
    <mergeCell ref="A167:AL171"/>
    <mergeCell ref="B47:Y47"/>
    <mergeCell ref="B48:Y48"/>
    <mergeCell ref="B49:Y49"/>
    <mergeCell ref="B50:Y50"/>
    <mergeCell ref="B51:Y51"/>
    <mergeCell ref="B131:F131"/>
    <mergeCell ref="G131:K131"/>
    <mergeCell ref="L131:O131"/>
    <mergeCell ref="B132:F132"/>
    <mergeCell ref="G132:K132"/>
    <mergeCell ref="L132:O132"/>
    <mergeCell ref="B137:K137"/>
    <mergeCell ref="L137:O137"/>
    <mergeCell ref="B128:F128"/>
    <mergeCell ref="G128:K128"/>
    <mergeCell ref="L128:O128"/>
    <mergeCell ref="B129:F129"/>
    <mergeCell ref="AK128:AL128"/>
    <mergeCell ref="P132:S132"/>
    <mergeCell ref="T132:Z132"/>
    <mergeCell ref="A145:AL145"/>
    <mergeCell ref="A147:AL147"/>
    <mergeCell ref="AK130:AL130"/>
    <mergeCell ref="AA129:AG129"/>
    <mergeCell ref="P127:S127"/>
    <mergeCell ref="T127:Z127"/>
    <mergeCell ref="P128:S128"/>
    <mergeCell ref="T128:Z128"/>
    <mergeCell ref="AA128:AG128"/>
    <mergeCell ref="P129:S129"/>
    <mergeCell ref="T129:Z129"/>
    <mergeCell ref="AH129:AJ129"/>
    <mergeCell ref="A149:AL149"/>
    <mergeCell ref="T135:Z135"/>
    <mergeCell ref="T139:AJ139"/>
    <mergeCell ref="AH135:AJ135"/>
    <mergeCell ref="AH136:AJ136"/>
    <mergeCell ref="AK135:AL135"/>
    <mergeCell ref="P135:S135"/>
    <mergeCell ref="AK137:AL137"/>
    <mergeCell ref="A142:AL142"/>
    <mergeCell ref="A143:AL143"/>
    <mergeCell ref="A144:AL144"/>
    <mergeCell ref="A148:AL148"/>
    <mergeCell ref="B136:F136"/>
    <mergeCell ref="G136:K136"/>
    <mergeCell ref="A138:AL138"/>
    <mergeCell ref="P137:S137"/>
    <mergeCell ref="T137:Z137"/>
    <mergeCell ref="AA137:AG137"/>
    <mergeCell ref="AH137:AJ137"/>
    <mergeCell ref="P136:S136"/>
    <mergeCell ref="T136:Z136"/>
    <mergeCell ref="AA136:AG136"/>
    <mergeCell ref="L136:O136"/>
    <mergeCell ref="AK136:AL136"/>
    <mergeCell ref="A166:AL166"/>
    <mergeCell ref="A160:AL160"/>
    <mergeCell ref="A163:AL163"/>
    <mergeCell ref="A165:AL165"/>
    <mergeCell ref="A159:AL159"/>
    <mergeCell ref="A150:AL150"/>
    <mergeCell ref="A151:AL151"/>
    <mergeCell ref="A152:AL152"/>
    <mergeCell ref="A153:AL153"/>
    <mergeCell ref="A154:AL154"/>
    <mergeCell ref="A156:AL156"/>
    <mergeCell ref="A155:AL155"/>
    <mergeCell ref="A164:AL164"/>
    <mergeCell ref="A162:AL162"/>
    <mergeCell ref="B121:F121"/>
    <mergeCell ref="L122:O122"/>
    <mergeCell ref="B135:F135"/>
    <mergeCell ref="G135:K135"/>
    <mergeCell ref="L135:O135"/>
    <mergeCell ref="G123:K123"/>
    <mergeCell ref="L123:O123"/>
    <mergeCell ref="B124:F124"/>
    <mergeCell ref="G124:K124"/>
    <mergeCell ref="L124:O124"/>
    <mergeCell ref="G121:K121"/>
    <mergeCell ref="L125:O125"/>
    <mergeCell ref="B126:F126"/>
    <mergeCell ref="G126:K126"/>
    <mergeCell ref="L126:O126"/>
    <mergeCell ref="B125:F125"/>
    <mergeCell ref="G125:K125"/>
    <mergeCell ref="B130:F130"/>
    <mergeCell ref="B127:F127"/>
    <mergeCell ref="B133:F133"/>
    <mergeCell ref="G134:K134"/>
    <mergeCell ref="B123:F123"/>
    <mergeCell ref="G127:K127"/>
    <mergeCell ref="L127:O127"/>
    <mergeCell ref="AK116:AL116"/>
    <mergeCell ref="P118:S118"/>
    <mergeCell ref="AA123:AG123"/>
    <mergeCell ref="AA121:AG121"/>
    <mergeCell ref="B117:F117"/>
    <mergeCell ref="G117:K117"/>
    <mergeCell ref="L117:O117"/>
    <mergeCell ref="B118:F118"/>
    <mergeCell ref="G118:K118"/>
    <mergeCell ref="L118:O118"/>
    <mergeCell ref="B119:F119"/>
    <mergeCell ref="G119:K119"/>
    <mergeCell ref="L119:O119"/>
    <mergeCell ref="T118:Z118"/>
    <mergeCell ref="AA119:AG119"/>
    <mergeCell ref="AK122:AL122"/>
    <mergeCell ref="AK119:AL119"/>
    <mergeCell ref="AK121:AL121"/>
    <mergeCell ref="AH123:AJ123"/>
    <mergeCell ref="AH120:AJ120"/>
    <mergeCell ref="AK120:AL120"/>
    <mergeCell ref="AK123:AL123"/>
    <mergeCell ref="B122:F122"/>
    <mergeCell ref="G122:K122"/>
    <mergeCell ref="AM89:AZ92"/>
    <mergeCell ref="A92:AL92"/>
    <mergeCell ref="A87:L87"/>
    <mergeCell ref="A90:AL90"/>
    <mergeCell ref="A91:AL91"/>
    <mergeCell ref="M87:AL87"/>
    <mergeCell ref="A89:AL89"/>
    <mergeCell ref="A86:AL86"/>
    <mergeCell ref="B120:F120"/>
    <mergeCell ref="L120:O120"/>
    <mergeCell ref="AK115:AL115"/>
    <mergeCell ref="P115:S115"/>
    <mergeCell ref="A94:AL94"/>
    <mergeCell ref="AK114:AL114"/>
    <mergeCell ref="A95:AL95"/>
    <mergeCell ref="A96:AL96"/>
    <mergeCell ref="B115:F115"/>
    <mergeCell ref="A112:AL112"/>
    <mergeCell ref="AA114:AG114"/>
    <mergeCell ref="B113:F113"/>
    <mergeCell ref="G113:K113"/>
    <mergeCell ref="G114:K114"/>
    <mergeCell ref="AK113:AL113"/>
    <mergeCell ref="G115:K115"/>
    <mergeCell ref="AM80:AT80"/>
    <mergeCell ref="B75:AL75"/>
    <mergeCell ref="A81:L81"/>
    <mergeCell ref="M81:AL81"/>
    <mergeCell ref="AM84:AV84"/>
    <mergeCell ref="A84:AL84"/>
    <mergeCell ref="A83:AL83"/>
    <mergeCell ref="AM86:AV86"/>
    <mergeCell ref="AM87:AU88"/>
    <mergeCell ref="A88:AL88"/>
    <mergeCell ref="A85:AL85"/>
    <mergeCell ref="A77:AL77"/>
    <mergeCell ref="A78:AL78"/>
    <mergeCell ref="A24:A27"/>
    <mergeCell ref="A28:A36"/>
    <mergeCell ref="B21:AL21"/>
    <mergeCell ref="B20:AL20"/>
    <mergeCell ref="AM75:AU76"/>
    <mergeCell ref="A76:AL76"/>
    <mergeCell ref="B29:AL29"/>
    <mergeCell ref="A46:A51"/>
    <mergeCell ref="B46:AL46"/>
    <mergeCell ref="AK48:AL48"/>
    <mergeCell ref="B54:R54"/>
    <mergeCell ref="S54:AL54"/>
    <mergeCell ref="S63:AL63"/>
    <mergeCell ref="Z47:AJ47"/>
    <mergeCell ref="AK47:AL47"/>
    <mergeCell ref="B52:AL52"/>
    <mergeCell ref="B53:AL53"/>
    <mergeCell ref="B61:R61"/>
    <mergeCell ref="B57:R57"/>
    <mergeCell ref="S57:AL57"/>
    <mergeCell ref="AB66:AL66"/>
    <mergeCell ref="AB67:AL67"/>
    <mergeCell ref="A65:A69"/>
    <mergeCell ref="A37:A38"/>
    <mergeCell ref="B30:AL30"/>
    <mergeCell ref="B31:AL31"/>
    <mergeCell ref="B16:AL16"/>
    <mergeCell ref="B17:AL17"/>
    <mergeCell ref="B26:AL26"/>
    <mergeCell ref="B27:AL27"/>
    <mergeCell ref="B24:V24"/>
    <mergeCell ref="W24:AL24"/>
    <mergeCell ref="B25:V25"/>
    <mergeCell ref="B22:AL22"/>
    <mergeCell ref="B23:AL23"/>
    <mergeCell ref="A4:F4"/>
    <mergeCell ref="H4:L4"/>
    <mergeCell ref="A5:F5"/>
    <mergeCell ref="H5:L5"/>
    <mergeCell ref="A11:AL11"/>
    <mergeCell ref="A7:F7"/>
    <mergeCell ref="G7:L7"/>
    <mergeCell ref="N7:P7"/>
    <mergeCell ref="Q7:AA7"/>
    <mergeCell ref="AB7:AE7"/>
    <mergeCell ref="A8:P8"/>
    <mergeCell ref="Q8:AL8"/>
    <mergeCell ref="A9:AL9"/>
    <mergeCell ref="A18:A19"/>
    <mergeCell ref="B18:AL18"/>
    <mergeCell ref="B19:AL19"/>
    <mergeCell ref="B32:AL32"/>
    <mergeCell ref="B33:AL33"/>
    <mergeCell ref="A20:A23"/>
    <mergeCell ref="AH121:AJ121"/>
    <mergeCell ref="A12:AL12"/>
    <mergeCell ref="A13:AL13"/>
    <mergeCell ref="A15:AK15"/>
    <mergeCell ref="A16:A17"/>
    <mergeCell ref="T115:Z115"/>
    <mergeCell ref="AA115:AG115"/>
    <mergeCell ref="AH115:AJ115"/>
    <mergeCell ref="P116:S116"/>
    <mergeCell ref="T116:Z116"/>
    <mergeCell ref="AA116:AG116"/>
    <mergeCell ref="P114:S114"/>
    <mergeCell ref="T114:Z114"/>
    <mergeCell ref="A71:AL71"/>
    <mergeCell ref="AH114:AJ114"/>
    <mergeCell ref="B114:F114"/>
    <mergeCell ref="B116:F116"/>
    <mergeCell ref="G116:K116"/>
    <mergeCell ref="AA113:AG113"/>
    <mergeCell ref="AH113:AJ113"/>
    <mergeCell ref="B70:AL70"/>
    <mergeCell ref="AA135:AG135"/>
    <mergeCell ref="AK118:AL118"/>
    <mergeCell ref="P131:S131"/>
    <mergeCell ref="AA131:AG131"/>
    <mergeCell ref="AH130:AJ130"/>
    <mergeCell ref="AA124:AG124"/>
    <mergeCell ref="AH124:AJ124"/>
    <mergeCell ref="AA126:AG126"/>
    <mergeCell ref="P121:S121"/>
    <mergeCell ref="T121:Z121"/>
    <mergeCell ref="P125:S125"/>
    <mergeCell ref="T125:Z125"/>
    <mergeCell ref="P120:S120"/>
    <mergeCell ref="AH122:AJ122"/>
    <mergeCell ref="T120:Z120"/>
    <mergeCell ref="AH119:AJ119"/>
    <mergeCell ref="P119:S119"/>
    <mergeCell ref="T119:Z119"/>
    <mergeCell ref="AA118:AG118"/>
    <mergeCell ref="AH118:AJ118"/>
    <mergeCell ref="L116:O116"/>
    <mergeCell ref="P117:S117"/>
    <mergeCell ref="AK117:AL117"/>
    <mergeCell ref="T117:Z117"/>
    <mergeCell ref="AA117:AG117"/>
    <mergeCell ref="AH117:AJ117"/>
    <mergeCell ref="AH116:AJ116"/>
    <mergeCell ref="A97:AL97"/>
    <mergeCell ref="A98:Z98"/>
    <mergeCell ref="AA98:AL98"/>
    <mergeCell ref="A99:Z99"/>
    <mergeCell ref="AA99:AL99"/>
    <mergeCell ref="A100:Z101"/>
    <mergeCell ref="AA100:AI100"/>
    <mergeCell ref="AJ100:AL100"/>
    <mergeCell ref="AA101:AI101"/>
    <mergeCell ref="AJ101:AL101"/>
    <mergeCell ref="A102:Z102"/>
    <mergeCell ref="AA102:AL102"/>
    <mergeCell ref="AA103:AI103"/>
    <mergeCell ref="AJ103:AL103"/>
    <mergeCell ref="AA104:AI104"/>
    <mergeCell ref="AJ104:AL104"/>
    <mergeCell ref="T113:Z113"/>
    <mergeCell ref="A111:AL111"/>
    <mergeCell ref="Z50:AJ50"/>
    <mergeCell ref="AK50:AL50"/>
    <mergeCell ref="S61:AL61"/>
    <mergeCell ref="B62:R62"/>
    <mergeCell ref="S62:AL62"/>
    <mergeCell ref="A93:AL93"/>
    <mergeCell ref="B55:R55"/>
    <mergeCell ref="B67:AA67"/>
    <mergeCell ref="A82:AL82"/>
    <mergeCell ref="A79:AL79"/>
    <mergeCell ref="A80:AL80"/>
    <mergeCell ref="B68:AA68"/>
    <mergeCell ref="AB68:AL68"/>
    <mergeCell ref="B69:AA69"/>
    <mergeCell ref="AB69:AL69"/>
    <mergeCell ref="B72:AL72"/>
    <mergeCell ref="A73:AL73"/>
    <mergeCell ref="A74:AL74"/>
    <mergeCell ref="B60:R60"/>
    <mergeCell ref="S60:AL60"/>
    <mergeCell ref="A52:A64"/>
    <mergeCell ref="S55:AL55"/>
    <mergeCell ref="S64:AL64"/>
    <mergeCell ref="B65:AL65"/>
    <mergeCell ref="A109:AI109"/>
    <mergeCell ref="AJ109:AL109"/>
    <mergeCell ref="A110:AL110"/>
    <mergeCell ref="A103:Z104"/>
    <mergeCell ref="A105:Z106"/>
    <mergeCell ref="AA105:AI105"/>
    <mergeCell ref="AJ105:AL105"/>
    <mergeCell ref="AA106:AI106"/>
    <mergeCell ref="AJ106:AL106"/>
    <mergeCell ref="A107:AL107"/>
    <mergeCell ref="A108:AI108"/>
    <mergeCell ref="AJ108:AL108"/>
  </mergeCells>
  <conditionalFormatting sqref="A4 H4 A71 A73:A74 A76 A79 A83 A85 A87 A89 A91 AJ103:AJ106">
    <cfRule type="expression" dxfId="273" priority="344">
      <formula>IF(A4="",1,0)</formula>
    </cfRule>
  </conditionalFormatting>
  <conditionalFormatting sqref="A81">
    <cfRule type="expression" dxfId="272" priority="292">
      <formula>IF(A81="",1,0)</formula>
    </cfRule>
  </conditionalFormatting>
  <conditionalFormatting sqref="A94">
    <cfRule type="expression" dxfId="271" priority="182">
      <formula>IF(A94="",1,0)</formula>
    </cfRule>
  </conditionalFormatting>
  <conditionalFormatting sqref="A96:A100">
    <cfRule type="expression" dxfId="270" priority="2">
      <formula>IF(A96="",1,0)</formula>
    </cfRule>
  </conditionalFormatting>
  <conditionalFormatting sqref="A102:A103">
    <cfRule type="expression" dxfId="269" priority="5">
      <formula>IF(A102="",1,0)</formula>
    </cfRule>
  </conditionalFormatting>
  <conditionalFormatting sqref="A105">
    <cfRule type="expression" dxfId="268" priority="26">
      <formula>IF(A105="",1,0)</formula>
    </cfRule>
  </conditionalFormatting>
  <conditionalFormatting sqref="A108:A111">
    <cfRule type="expression" dxfId="267" priority="16">
      <formula>IF(A108="",1,0)</formula>
    </cfRule>
  </conditionalFormatting>
  <conditionalFormatting sqref="A142:A150">
    <cfRule type="expression" dxfId="266" priority="7">
      <formula>IF(A142="",1,0)</formula>
    </cfRule>
  </conditionalFormatting>
  <conditionalFormatting sqref="A152:A158">
    <cfRule type="expression" dxfId="265" priority="3">
      <formula>IF(A152="",1,0)</formula>
    </cfRule>
  </conditionalFormatting>
  <conditionalFormatting sqref="A160:A162">
    <cfRule type="expression" dxfId="264" priority="1">
      <formula>IF(A160="",1,0)</formula>
    </cfRule>
  </conditionalFormatting>
  <conditionalFormatting sqref="A165:A166">
    <cfRule type="expression" dxfId="263" priority="183">
      <formula>IF(A165="",1,0)</formula>
    </cfRule>
  </conditionalFormatting>
  <conditionalFormatting sqref="B19">
    <cfRule type="expression" dxfId="258" priority="250">
      <formula>IF(B19="",1,0)</formula>
    </cfRule>
  </conditionalFormatting>
  <conditionalFormatting sqref="B21">
    <cfRule type="expression" dxfId="257" priority="31">
      <formula>IF(B21="",1,0)</formula>
    </cfRule>
  </conditionalFormatting>
  <conditionalFormatting sqref="B23">
    <cfRule type="expression" dxfId="256" priority="14">
      <formula>IF(B23="",1,0)</formula>
    </cfRule>
  </conditionalFormatting>
  <conditionalFormatting sqref="B30">
    <cfRule type="expression" dxfId="255" priority="88">
      <formula>IF(B30="",1,0)</formula>
    </cfRule>
  </conditionalFormatting>
  <conditionalFormatting sqref="B32">
    <cfRule type="expression" dxfId="254" priority="86">
      <formula>IF(B32="",1,0)</formula>
    </cfRule>
  </conditionalFormatting>
  <conditionalFormatting sqref="B34">
    <cfRule type="expression" dxfId="253" priority="87">
      <formula>IF(B34="",1,0)</formula>
    </cfRule>
  </conditionalFormatting>
  <conditionalFormatting sqref="B36">
    <cfRule type="expression" dxfId="252" priority="85">
      <formula>IF(B36="",1,0)</formula>
    </cfRule>
  </conditionalFormatting>
  <conditionalFormatting sqref="B38">
    <cfRule type="expression" dxfId="251" priority="15">
      <formula>IF(B38="",1,0)</formula>
    </cfRule>
  </conditionalFormatting>
  <conditionalFormatting sqref="B41:B43">
    <cfRule type="expression" dxfId="250" priority="77">
      <formula>IF(B41="",1,0)</formula>
    </cfRule>
  </conditionalFormatting>
  <conditionalFormatting sqref="B45">
    <cfRule type="expression" dxfId="249" priority="76">
      <formula>IF(B45="",1,0)</formula>
    </cfRule>
  </conditionalFormatting>
  <conditionalFormatting sqref="B53:B69">
    <cfRule type="expression" dxfId="248" priority="11">
      <formula>IF(B53="",1,0)</formula>
    </cfRule>
  </conditionalFormatting>
  <conditionalFormatting sqref="B115:B136">
    <cfRule type="expression" dxfId="247" priority="97">
      <formula>IF(B115="",1,0)</formula>
    </cfRule>
  </conditionalFormatting>
  <conditionalFormatting sqref="B17:AL17">
    <cfRule type="expression" dxfId="246" priority="210">
      <formula>IF(B17="",1,0)</formula>
    </cfRule>
  </conditionalFormatting>
  <conditionalFormatting sqref="G115:G136">
    <cfRule type="expression" dxfId="245" priority="109">
      <formula>IF(G115="",1,0)</formula>
    </cfRule>
  </conditionalFormatting>
  <conditionalFormatting sqref="L115:L136">
    <cfRule type="expression" dxfId="244" priority="108">
      <formula>IF(L115="",1,0)</formula>
    </cfRule>
  </conditionalFormatting>
  <conditionalFormatting sqref="M81">
    <cfRule type="expression" dxfId="243" priority="291">
      <formula>IF(M81="",1,0)</formula>
    </cfRule>
  </conditionalFormatting>
  <conditionalFormatting sqref="M87">
    <cfRule type="expression" dxfId="242" priority="336">
      <formula>IF(M87="",1,0)</formula>
    </cfRule>
  </conditionalFormatting>
  <conditionalFormatting sqref="N7">
    <cfRule type="expression" dxfId="241" priority="34">
      <formula>IF(N7="",1,0)</formula>
    </cfRule>
  </conditionalFormatting>
  <conditionalFormatting sqref="P115:P136">
    <cfRule type="expression" dxfId="240" priority="106">
      <formula>IF(P115="",1,0)</formula>
    </cfRule>
  </conditionalFormatting>
  <conditionalFormatting sqref="Q8:AL8">
    <cfRule type="expression" dxfId="239" priority="32">
      <formula>IF(Q8="",1,0)</formula>
    </cfRule>
  </conditionalFormatting>
  <conditionalFormatting sqref="S54:S58">
    <cfRule type="expression" dxfId="238" priority="70">
      <formula>IF(S54="",1,0)</formula>
    </cfRule>
  </conditionalFormatting>
  <conditionalFormatting sqref="S60:S64">
    <cfRule type="expression" dxfId="237" priority="63">
      <formula>IF(S60="",1,0)</formula>
    </cfRule>
  </conditionalFormatting>
  <conditionalFormatting sqref="T139:T140">
    <cfRule type="expression" dxfId="236" priority="178">
      <formula>IF(T139="",1,0)</formula>
    </cfRule>
  </conditionalFormatting>
  <conditionalFormatting sqref="W25 B25:B27">
    <cfRule type="expression" dxfId="235" priority="89">
      <formula>IF(B25="",1,0)</formula>
    </cfRule>
  </conditionalFormatting>
  <conditionalFormatting sqref="Z48">
    <cfRule type="expression" dxfId="234" priority="206">
      <formula>IF(Z48="",1,0)</formula>
    </cfRule>
  </conditionalFormatting>
  <conditionalFormatting sqref="Z50">
    <cfRule type="expression" dxfId="233" priority="205">
      <formula>IF(Z50="",1,0)</formula>
    </cfRule>
  </conditionalFormatting>
  <conditionalFormatting sqref="Z51">
    <cfRule type="expression" dxfId="232" priority="7376">
      <formula>IF($Z$51&lt;&gt;$AK$137,1,0)</formula>
    </cfRule>
  </conditionalFormatting>
  <conditionalFormatting sqref="AA98:AA99 AA102">
    <cfRule type="expression" dxfId="231" priority="25">
      <formula>IF(AA98="",1,0)</formula>
    </cfRule>
  </conditionalFormatting>
  <conditionalFormatting sqref="AB7">
    <cfRule type="expression" dxfId="230" priority="33">
      <formula>IF(AB7="",1,0)</formula>
    </cfRule>
  </conditionalFormatting>
  <conditionalFormatting sqref="AB66:AB69">
    <cfRule type="expression" dxfId="229" priority="56">
      <formula>IF(AB66="",1,0)</formula>
    </cfRule>
  </conditionalFormatting>
  <conditionalFormatting sqref="AH115:AH136">
    <cfRule type="expression" dxfId="228" priority="114">
      <formula>IF(AH115="",1,0)</formula>
    </cfRule>
  </conditionalFormatting>
  <conditionalFormatting sqref="AJ100:AJ101">
    <cfRule type="expression" dxfId="227" priority="23">
      <formula>IF(AJ100="",1,0)</formula>
    </cfRule>
  </conditionalFormatting>
  <conditionalFormatting sqref="AJ108:AJ109">
    <cfRule type="expression" dxfId="226" priority="20">
      <formula>IF(AJ108="",1,0)</formula>
    </cfRule>
  </conditionalFormatting>
  <dataValidations xWindow="661" yWindow="844" count="39">
    <dataValidation allowBlank="1" showInputMessage="1" showErrorMessage="1" promptTitle="Wprowadź" prompt="właściwe" sqref="A91:AL91" xr:uid="{00000000-0002-0000-0C00-000000000000}"/>
    <dataValidation allowBlank="1" showInputMessage="1" showErrorMessage="1" promptTitle="Wybierz" prompt="właściwy rodzaj" sqref="A77:AL77" xr:uid="{00000000-0002-0000-0C00-000001000000}"/>
    <dataValidation allowBlank="1" showInputMessage="1" showErrorMessage="1" promptTitle="Wprowadź" prompt="adres beneficjenta" sqref="B21" xr:uid="{00000000-0002-0000-0C00-000002000000}"/>
    <dataValidation allowBlank="1" showInputMessage="1" showErrorMessage="1" promptTitle="Wprowadź" prompt="dane" sqref="B32:AL32 B30:AL30 AJ100:AL101 AJ103:AL106 AJ108:AL109" xr:uid="{00000000-0002-0000-0C00-000003000000}"/>
    <dataValidation allowBlank="1" showInputMessage="1" showErrorMessage="1" promptTitle="Wprowadź " prompt="ilość" sqref="A74" xr:uid="{00000000-0002-0000-0C00-000004000000}"/>
    <dataValidation allowBlank="1" showInputMessage="1" showErrorMessage="1" promptTitle="Wprowadź" prompt="adres przedsięwzięcia" sqref="A79" xr:uid="{00000000-0002-0000-0C00-000005000000}"/>
    <dataValidation allowBlank="1" showInputMessage="1" showErrorMessage="1" promptTitle="Wprowadź" prompt="wielkość" sqref="A83" xr:uid="{00000000-0002-0000-0C00-000006000000}"/>
    <dataValidation type="textLength" operator="equal" allowBlank="1" showInputMessage="1" showErrorMessage="1" errorTitle="REGON" error="REGON to ciąg dziewięciu cyfr np. 571961124" promptTitle="Wprowadź" prompt="nr REGON" sqref="W25:AL25" xr:uid="{00000000-0002-0000-0C00-000007000000}">
      <formula1>9</formula1>
    </dataValidation>
    <dataValidation allowBlank="1" showInputMessage="1" showErrorMessage="1" promptTitle="Wybierz" sqref="A73:AL73" xr:uid="{00000000-0002-0000-0C00-000009000000}"/>
    <dataValidation type="textLength" operator="equal" allowBlank="1" showInputMessage="1" showErrorMessage="1" errorTitle="NIP" error="NIP to ciąg dziesięciu cyfr np. 5719611245" promptTitle="Wprowadź" prompt="NIP" sqref="B25:V25" xr:uid="{00000000-0002-0000-0C00-00000A000000}">
      <formula1>10</formula1>
    </dataValidation>
    <dataValidation type="decimal" allowBlank="1" showErrorMessage="1" promptTitle="Wprowadź" prompt="kwotę" sqref="B41:AL41" xr:uid="{00000000-0002-0000-0C00-00000B000000}">
      <formula1>0</formula1>
      <formula2>1E+153</formula2>
    </dataValidation>
    <dataValidation type="decimal" allowBlank="1" showInputMessage="1" showErrorMessage="1" promptTitle="Wprowadź" prompt="wielkość schroniska" sqref="A87:L87" xr:uid="{00000000-0002-0000-0C00-00000C000000}">
      <formula1>0</formula1>
      <formula2>1E+66</formula2>
    </dataValidation>
    <dataValidation type="decimal" allowBlank="1" showInputMessage="1" showErrorMessage="1" promptTitle="Wprowadź" prompt="wielkość powierzchni mieszkalnej" sqref="M87" xr:uid="{00000000-0002-0000-0C00-00000D000000}">
      <formula1>0</formula1>
      <formula2>1E+73</formula2>
    </dataValidation>
    <dataValidation type="whole" allowBlank="1" showInputMessage="1" showErrorMessage="1" promptTitle="Wprowadź " prompt="wielkość" sqref="A85:AL85" xr:uid="{00000000-0002-0000-0C00-00000E000000}">
      <formula1>0</formula1>
      <formula2>1.1E+36</formula2>
    </dataValidation>
    <dataValidation allowBlank="1" showInputMessage="1" sqref="A146" xr:uid="{B1D11A27-D9DD-47EB-9914-36A35E93B21D}"/>
    <dataValidation allowBlank="1" showInputMessage="1" showErrorMessage="1" promptTitle="Wprowadź" prompt="wielkość schroniska" sqref="A81:L81" xr:uid="{00000000-0002-0000-0C00-000010000000}"/>
    <dataValidation allowBlank="1" showInputMessage="1" showErrorMessage="1" promptTitle="Wprowadź" prompt="wielkość powierzchni mieszkalnej" sqref="M81" xr:uid="{00000000-0002-0000-0C00-000011000000}"/>
    <dataValidation type="decimal" allowBlank="1" showInputMessage="1" showErrorMessage="1" sqref="AH115:AJ136" xr:uid="{00000000-0002-0000-0C00-000012000000}">
      <formula1>0</formula1>
      <formula2>1</formula2>
    </dataValidation>
    <dataValidation allowBlank="1" showInputMessage="1" showErrorMessage="1" promptTitle="Wprowadź" prompt="nr księgi wieczystej - nr działki ewidencyjnej" sqref="A152:AL152" xr:uid="{00000000-0002-0000-0C00-000013000000}"/>
    <dataValidation allowBlank="1" showInputMessage="1" showErrorMessage="1" promptTitle="Wybierz" prompt="właściwe" sqref="A148:AL148" xr:uid="{00000000-0002-0000-0C00-000014000000}"/>
    <dataValidation allowBlank="1" showInputMessage="1" showErrorMessage="1" promptTitle="Wprowadź" prompt="adres ePUAP beneficjenta" sqref="B22" xr:uid="{43F605F4-4319-4978-84D0-FA66B6A2A563}"/>
    <dataValidation type="textLength" operator="equal" allowBlank="1" showInputMessage="1" errorTitle="KRS" promptTitle="Wprowadź" prompt="numer KRS" sqref="B27:AL27" xr:uid="{00000000-0002-0000-0C00-000017000000}">
      <formula1>10</formula1>
    </dataValidation>
    <dataValidation type="textLength" operator="greaterThan" allowBlank="1" showInputMessage="1" showErrorMessage="1" promptTitle="Wprowadź" prompt="nazwę beneficjenta" sqref="B19:AL19" xr:uid="{00000000-0002-0000-0C00-000018000000}">
      <formula1>3</formula1>
    </dataValidation>
    <dataValidation type="decimal" allowBlank="1" showInputMessage="1" showErrorMessage="1" promptTitle="Wprowadź" prompt="kwotę" sqref="Z50" xr:uid="{00000000-0002-0000-0C00-000019000000}">
      <formula1>0</formula1>
      <formula2>10000000000000000000</formula2>
    </dataValidation>
    <dataValidation type="decimal" allowBlank="1" showInputMessage="1" showErrorMessage="1" promptTitle="Wprowadź" prompt="kwotę" sqref="Z49" xr:uid="{00000000-0002-0000-0C00-00001A000000}">
      <formula1>0</formula1>
      <formula2>100000000000000000</formula2>
    </dataValidation>
    <dataValidation allowBlank="1" showInputMessage="1" showErrorMessage="1" promptTitle="Wprowadź" prompt="wartość_x000a_" sqref="S64 T54:AL57 S54:S58 S60:AL63 AB68" xr:uid="{00000000-0002-0000-0C00-00001B000000}"/>
    <dataValidation allowBlank="1" promptTitle="Wprowadź" prompt="numer rachunku bankowego" sqref="C60:R63 C54:R57 B54:B69" xr:uid="{00000000-0002-0000-0C00-00001C000000}"/>
    <dataValidation allowBlank="1" promptTitle="Wprowadź" sqref="B53:AL53" xr:uid="{464D2340-EB21-438F-8C78-6FEB746397C1}"/>
    <dataValidation allowBlank="1" showErrorMessage="1" promptTitle="Wybierz" prompt="właściwe" sqref="A150:AL150" xr:uid="{F26FF8AC-26A0-4BE8-856F-51C14DCC5DC0}"/>
    <dataValidation allowBlank="1" showErrorMessage="1" promptTitle="Wprowadź" prompt="nr księgi wieczystej - nr działki ewidencyjnej" sqref="A153:AL153 A160:AL160 A161:A162" xr:uid="{00000000-0002-0000-0C00-00001F000000}"/>
    <dataValidation allowBlank="1" showErrorMessage="1" promptTitle="Wybierz" prompt="właściwe oświadczenie" sqref="A142:AL142 A144:AL144" xr:uid="{00000000-0002-0000-0C00-000020000000}"/>
    <dataValidation type="decimal" allowBlank="1" showInputMessage="1" promptTitle="Wybierz" prompt="właściwą wysokość wsparcia lub wpiszmniejszą wartość" sqref="T139:AJ139" xr:uid="{00000000-0002-0000-0C00-000021000000}">
      <formula1>0</formula1>
      <formula2>0.8</formula2>
    </dataValidation>
    <dataValidation allowBlank="1" showInputMessage="1" showErrorMessage="1" promptTitle="Wprowadź" prompt="Adres do doręczeń elektronicznych" sqref="B23:AL23" xr:uid="{3A355482-0C28-48FB-9CB2-D5EDCD3E90A2}"/>
    <dataValidation operator="greaterThanOrEqual" allowBlank="1" showInputMessage="1" showErrorMessage="1" promptTitle="Wprowadź" prompt="datę w formacie rrrr-mm-dd_x000a_" sqref="B45:AL45" xr:uid="{00000000-0002-0000-0C00-000027000000}"/>
    <dataValidation type="whole" allowBlank="1" showInputMessage="1" showErrorMessage="1" promptTitle="Wprowadź" prompt="ilość miejsc w pomieszczeniach mieszkalnych" sqref="A89:AL89" xr:uid="{00000000-0002-0000-0C00-000028000000}">
      <formula1>0</formula1>
      <formula2>1E+56</formula2>
    </dataValidation>
    <dataValidation type="textLength" operator="equal" allowBlank="1" showInputMessage="1" promptTitle="Wprowadź" prompt="numer rachunku bankowego" sqref="T38:AL38" xr:uid="{E4061A50-85CF-46E0-83FA-AE3F417BC457}">
      <formula1>26</formula1>
    </dataValidation>
    <dataValidation errorStyle="information" allowBlank="1" showInputMessage="1" showErrorMessage="1" promptTitle="Wprowadź" prompt="wartość" sqref="AA98:AL98" xr:uid="{3CEDDFA0-B68B-4482-A652-4374C7F53675}"/>
    <dataValidation type="whole" errorStyle="warning" allowBlank="1" showInputMessage="1" showErrorMessage="1" errorTitle="Uwaga" error="Prawidłowa wartość to liczba całkowita, zweryfikuj wprowadzane modyfikacje." promptTitle="Wprowadź" prompt="wartość" sqref="AA99:AL99" xr:uid="{F88CA9FE-9591-45F3-AE01-4F256DB3FA1D}">
      <formula1>1</formula1>
      <formula2>1.11111111111111E+21</formula2>
    </dataValidation>
    <dataValidation type="textLength" operator="equal" showInputMessage="1" promptTitle="Wprowadź" prompt="numer rachunku bankowego tj. 26 cyfr" sqref="B38:S38" xr:uid="{0F89915A-5583-4C35-AACF-0D2D02A8B0C3}">
      <formula1>26</formula1>
    </dataValidation>
  </dataValidations>
  <hyperlinks>
    <hyperlink ref="AM41" location="Schronisko!B98" display="Kliknij &quot;tutaj&quot; i przejdź do wypełnienia zestawienia kosztów" xr:uid="{00000000-0004-0000-0C00-000000000000}"/>
    <hyperlink ref="B41:AL41" location="Schronisko!B98" display="Schronisko!B98" xr:uid="{00000000-0004-0000-0C00-000001000000}"/>
    <hyperlink ref="AM140" location="Schronisko!B41" display="Wróć do wypełniania wniosku" xr:uid="{00000000-0004-0000-0C00-000002000000}"/>
    <hyperlink ref="AM20" r:id="rId1" display="Weryfikocji można dokonać na stronie internetowej -&gt; https://eteryt.stat.gov.pl/eTeryt/rejestr_teryt/udostepnianie_danych/baza_teryt/uzytkownicy_indywidualni/wyszukiwanie/wyszukiwanie.aspx?contrast=default" xr:uid="{00000000-0004-0000-0C00-000003000000}"/>
    <hyperlink ref="AM22" r:id="rId2" xr:uid="{00000000-0004-0000-0C00-000004000000}"/>
    <hyperlink ref="AM18" r:id="rId3" xr:uid="{00000000-0004-0000-0C00-000005000000}"/>
    <hyperlink ref="AM24" r:id="rId4" xr:uid="{00000000-0004-0000-0C00-000006000000}"/>
    <hyperlink ref="AM26" r:id="rId5" xr:uid="{00000000-0004-0000-0C00-000007000000}"/>
    <hyperlink ref="AM171" r:id="rId6" xr:uid="{5A866F17-871E-4964-9FAD-B816F54DB90C}"/>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181" id="{6F1F030D-D46E-4C07-BA9C-41865B31BA99}">
            <xm:f>IF($A$116=Słowniki!$P$2,1,0)</xm:f>
            <x14:dxf>
              <font>
                <b/>
                <i val="0"/>
                <strike/>
                <color theme="1"/>
              </font>
            </x14:dxf>
          </x14:cfRule>
          <xm:sqref>A93:AL93</xm:sqref>
        </x14:conditionalFormatting>
        <x14:conditionalFormatting xmlns:xm="http://schemas.microsoft.com/office/excel/2006/main">
          <x14:cfRule type="expression" priority="10" id="{F2767814-CFE8-444C-B634-3B32ECA7B9B4}">
            <xm:f>IF($A$107=Słowniki!$P$2,1,0)</xm:f>
            <x14:dxf>
              <font>
                <strike/>
              </font>
            </x14:dxf>
          </x14:cfRule>
          <xm:sqref>A95:AL95</xm:sqref>
        </x14:conditionalFormatting>
        <x14:conditionalFormatting xmlns:xm="http://schemas.microsoft.com/office/excel/2006/main">
          <x14:cfRule type="expression" priority="28" id="{242FBAEA-FA35-42A0-9414-04B534038DE0}">
            <xm:f>IF('Wniosek art 5 budowa'!$A$151=Słowniki!$P$2,1,0)</xm:f>
            <x14:dxf>
              <font>
                <strike/>
              </font>
            </x14:dxf>
          </x14:cfRule>
          <xm:sqref>A107:AL107</xm:sqref>
        </x14:conditionalFormatting>
        <x14:conditionalFormatting xmlns:xm="http://schemas.microsoft.com/office/excel/2006/main">
          <x14:cfRule type="expression" priority="51" id="{266E1D8F-3812-467F-BFF6-C06C611D4F05}">
            <xm:f>IF(#REF!=Słowniki!$Q$2,1,0)</xm:f>
            <x14:dxf>
              <font>
                <strike/>
              </font>
            </x14:dxf>
          </x14:cfRule>
          <xm:sqref>A148:AL148</xm:sqref>
        </x14:conditionalFormatting>
        <x14:conditionalFormatting xmlns:xm="http://schemas.microsoft.com/office/excel/2006/main">
          <x14:cfRule type="expression" priority="4340" id="{5B74D3A7-9AEA-409E-B9B3-9DE85E9DD08E}">
            <xm:f>IF(AB66=Słowniki!C1048575,Słowniki!C1,0)</xm:f>
            <x14:dxf/>
          </x14:cfRule>
          <xm:sqref>AB68:AL68</xm:sqref>
        </x14:conditionalFormatting>
      </x14:conditionalFormattings>
    </ext>
    <ext xmlns:x14="http://schemas.microsoft.com/office/spreadsheetml/2009/9/main" uri="{CCE6A557-97BC-4b89-ADB6-D9C93CAAB3DF}">
      <x14:dataValidations xmlns:xm="http://schemas.microsoft.com/office/excel/2006/main" xWindow="661" yWindow="844" count="21">
        <x14:dataValidation type="list" allowBlank="1" showInputMessage="1" showErrorMessage="1" promptTitle="Wybierz" prompt="właściwy rodzaj" xr:uid="{00000000-0002-0000-0C00-000029000000}">
          <x14:formula1>
            <xm:f>Słowniki!$J$6:$J$7</xm:f>
          </x14:formula1>
          <xm:sqref>A76:AL76</xm:sqref>
        </x14:dataValidation>
        <x14:dataValidation type="list" allowBlank="1" showInputMessage="1" promptTitle="Wybierz" prompt="właściwe" xr:uid="{00000000-0002-0000-0C00-00002A000000}">
          <x14:formula1>
            <xm:f>Słowniki!$O$2:$O$5</xm:f>
          </x14:formula1>
          <xm:sqref>A165</xm:sqref>
        </x14:dataValidation>
        <x14:dataValidation type="list" allowBlank="1" showInputMessage="1" promptTitle="Wybierz" prompt="i modyfikuj" xr:uid="{00000000-0002-0000-0C00-00002B000000}">
          <x14:formula1>
            <xm:f>Słowniki!$D$2:$D$5</xm:f>
          </x14:formula1>
          <xm:sqref>A71:AL71</xm:sqref>
        </x14:dataValidation>
        <x14:dataValidation type="list" allowBlank="1" showInputMessage="1" promptTitle="Wprowadź" prompt="dane lub wybierz nie dotyczy" xr:uid="{00000000-0002-0000-0C00-00002F000000}">
          <x14:formula1>
            <xm:f>Słowniki!$F$26</xm:f>
          </x14:formula1>
          <xm:sqref>B34:AL34 B36:AL36</xm:sqref>
        </x14:dataValidation>
        <x14:dataValidation type="list" allowBlank="1" showInputMessage="1" showErrorMessage="1" promptTitle="Wybierz" prompt="beneficjenta" xr:uid="{00000000-0002-0000-0C00-000030000000}">
          <x14:formula1>
            <xm:f>'Słownik N_S_O'!$F$2:$F$6</xm:f>
          </x14:formula1>
          <xm:sqref>B17:AL17</xm:sqref>
        </x14:dataValidation>
        <x14:dataValidation type="list" allowBlank="1" showInputMessage="1" showErrorMessage="1" promptTitle="Wybierz" prompt="właściwe" xr:uid="{00000000-0002-0000-0C00-000031000000}">
          <x14:formula1>
            <xm:f>Słowniki!$C$3:$C$4</xm:f>
          </x14:formula1>
          <xm:sqref>AB66:AL67 AB7:AE7 N7:P7</xm:sqref>
        </x14:dataValidation>
        <x14:dataValidation type="list" allowBlank="1" showInputMessage="1" showErrorMessage="1" promptTitle="Wybierz" prompt="właściwe" xr:uid="{00000000-0002-0000-0C00-000032000000}">
          <x14:formula1>
            <xm:f>'Słownik N_S_O'!$Q$2:$Q$5</xm:f>
          </x14:formula1>
          <xm:sqref>A154:AL154</xm:sqref>
        </x14:dataValidation>
        <x14:dataValidation type="list" allowBlank="1" showInputMessage="1" showErrorMessage="1" promptTitle="Wybierz" prompt="właściwe" xr:uid="{00000000-0002-0000-0C00-000033000000}">
          <x14:formula1>
            <xm:f>Słowniki!$Z$3:$Z$4</xm:f>
          </x14:formula1>
          <xm:sqref>A149:AL149</xm:sqref>
        </x14:dataValidation>
        <x14:dataValidation type="list" allowBlank="1" showInputMessage="1" showErrorMessage="1" promptTitle="Wybierz" prompt="właściwe" xr:uid="{00000000-0002-0000-0C00-000034000000}">
          <x14:formula1>
            <xm:f>'Słownik N_S_O'!$O$1:$O$2</xm:f>
          </x14:formula1>
          <xm:sqref>A147:AL147</xm:sqref>
        </x14:dataValidation>
        <x14:dataValidation type="list" allowBlank="1" showInputMessage="1" showErrorMessage="1" promptTitle="Wybierz" prompt="właściwe" xr:uid="{00000000-0002-0000-0C00-000035000000}">
          <x14:formula1>
            <xm:f>Słowniki!$W$1:$W$2</xm:f>
          </x14:formula1>
          <xm:sqref>A143:AL143</xm:sqref>
        </x14:dataValidation>
        <x14:dataValidation type="list" allowBlank="1" showInputMessage="1" showErrorMessage="1" promptTitle="Wybierz" prompt="właściwe" xr:uid="{00000000-0002-0000-0C00-000036000000}">
          <x14:formula1>
            <xm:f>Słowniki!$W$3:$W$4</xm:f>
          </x14:formula1>
          <xm:sqref>A145:AL145</xm:sqref>
        </x14:dataValidation>
        <x14:dataValidation type="list" allowBlank="1" showInputMessage="1" showErrorMessage="1" promptTitle="Wybierz" prompt="właściwe" xr:uid="{00000000-0002-0000-0C00-000037000000}">
          <x14:formula1>
            <xm:f>Słowniki!$E$169:$E$170</xm:f>
          </x14:formula1>
          <xm:sqref>T140:AJ140</xm:sqref>
        </x14:dataValidation>
        <x14:dataValidation type="list" allowBlank="1" showInputMessage="1" showErrorMessage="1" promptTitle="Wybierz" prompt="właściwe" xr:uid="{00000000-0002-0000-0C00-000038000000}">
          <x14:formula1>
            <xm:f>Słowniki!$U$5:$U$6</xm:f>
          </x14:formula1>
          <xm:sqref>A96:AL96</xm:sqref>
        </x14:dataValidation>
        <x14:dataValidation type="list" allowBlank="1" showInputMessage="1" showErrorMessage="1" promptTitle="Wybierz" prompt="właściwe" xr:uid="{00000000-0002-0000-0C00-000039000000}">
          <x14:formula1>
            <xm:f>Słowniki!$U$1:$U$2</xm:f>
          </x14:formula1>
          <xm:sqref>A94:AL94</xm:sqref>
        </x14:dataValidation>
        <x14:dataValidation type="list" errorStyle="information" allowBlank="1" showInputMessage="1" showErrorMessage="1" xr:uid="{00000000-0002-0000-0C00-00003A000000}">
          <x14:formula1>
            <xm:f>Słowniki!$A$34:$A$39</xm:f>
          </x14:formula1>
          <xm:sqref>G115:K136</xm:sqref>
        </x14:dataValidation>
        <x14:dataValidation type="list" allowBlank="1" showInputMessage="1" showErrorMessage="1" promptTitle="Wybierz" prompt="właściwe" xr:uid="{00000000-0002-0000-0C00-00003D000000}">
          <x14:formula1>
            <xm:f>Słowniki!$AO$1:$AO$2</xm:f>
          </x14:formula1>
          <xm:sqref>B42:AL42</xm:sqref>
        </x14:dataValidation>
        <x14:dataValidation type="list" allowBlank="1" showInputMessage="1" showErrorMessage="1" promptTitle="Wybierz" prompt="właściwe" xr:uid="{00000000-0002-0000-0C00-00003E000000}">
          <x14:formula1>
            <xm:f>Słowniki!$W$12:$W$14</xm:f>
          </x14:formula1>
          <xm:sqref>A156:AL156</xm:sqref>
        </x14:dataValidation>
        <x14:dataValidation type="list" errorStyle="information" allowBlank="1" showInputMessage="1" showErrorMessage="1" promptTitle="Wprowadź" prompt="dane" xr:uid="{16F7931F-981E-492F-AF55-6BAA6A9AB06F}">
          <x14:formula1>
            <xm:f>Słowniki!$A$41:$A$43</xm:f>
          </x14:formula1>
          <xm:sqref>AA102:AL102</xm:sqref>
        </x14:dataValidation>
        <x14:dataValidation type="list" errorStyle="information" allowBlank="1" showInputMessage="1" showErrorMessage="1" promptTitle="Wybierz" prompt="właściwe" xr:uid="{C00B30D4-E269-4284-B56F-8B710C2529B9}">
          <x14:formula1>
            <xm:f>Słowniki!$A$46:$A$57</xm:f>
          </x14:formula1>
          <xm:sqref>B115:F136</xm:sqref>
        </x14:dataValidation>
        <x14:dataValidation type="list" allowBlank="1" showInputMessage="1" showErrorMessage="1" xr:uid="{4B3CEAAD-AB7A-4C46-8AFD-F98C3E0A604F}">
          <x14:formula1>
            <xm:f>Słowniki!$Y$9:$Y$10</xm:f>
          </x14:formula1>
          <xm:sqref>A158:AL158</xm:sqref>
        </x14:dataValidation>
        <x14:dataValidation type="date" operator="greaterThan" allowBlank="1" showInputMessage="1" showErrorMessage="1" promptTitle="Wprowadź" prompt="datę w formacie rrrr-mm-dd_x000a_" xr:uid="{00000000-0002-0000-0C00-00003F000000}">
          <x14:formula1>
            <xm:f>Słowniki!AQ1</xm:f>
          </x14:formula1>
          <xm:sqref>B43:AL43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Arkusz7"/>
  <dimension ref="A1:BK475"/>
  <sheetViews>
    <sheetView showGridLines="0" topLeftCell="A134" zoomScaleNormal="100" workbookViewId="0">
      <selection activeCell="AM141" sqref="AM141"/>
    </sheetView>
  </sheetViews>
  <sheetFormatPr defaultColWidth="9.33203125" defaultRowHeight="13.8" x14ac:dyDescent="0.25"/>
  <cols>
    <col min="1" max="1" width="3.33203125" style="68" customWidth="1"/>
    <col min="2" max="2" width="4" style="68" customWidth="1"/>
    <col min="3" max="3" width="2.33203125" style="68" customWidth="1"/>
    <col min="4" max="4" width="2.5546875" style="68" customWidth="1"/>
    <col min="5" max="5" width="2" style="68" customWidth="1"/>
    <col min="6" max="6" width="1.6640625" style="68" customWidth="1"/>
    <col min="7" max="7" width="1.44140625" style="68" customWidth="1"/>
    <col min="8" max="8" width="2.33203125" style="68" customWidth="1"/>
    <col min="9" max="9" width="2.44140625" style="68" customWidth="1"/>
    <col min="10" max="10" width="1.5546875" style="68" customWidth="1"/>
    <col min="11" max="11" width="1.6640625" style="68" customWidth="1"/>
    <col min="12" max="12" width="5.33203125" style="68" customWidth="1"/>
    <col min="13" max="13" width="0.6640625" style="68" customWidth="1"/>
    <col min="14" max="14" width="3.44140625" style="68" customWidth="1"/>
    <col min="15" max="15" width="2.5546875" style="68" customWidth="1"/>
    <col min="16" max="17" width="1.5546875" style="68" customWidth="1"/>
    <col min="18" max="18" width="1.33203125" style="68" customWidth="1"/>
    <col min="19" max="19" width="2.33203125" style="68" customWidth="1"/>
    <col min="20" max="20" width="1.33203125" style="68" customWidth="1"/>
    <col min="21" max="21" width="1" style="68" customWidth="1"/>
    <col min="22" max="22" width="0.6640625" style="68" customWidth="1"/>
    <col min="23" max="23" width="3" style="68" customWidth="1"/>
    <col min="24" max="24" width="1.33203125" style="68" customWidth="1"/>
    <col min="25" max="25" width="1.44140625" style="68" customWidth="1"/>
    <col min="26" max="27" width="1.33203125" style="68" customWidth="1"/>
    <col min="28" max="28" width="2" style="68" customWidth="1"/>
    <col min="29" max="29" width="1" style="68" customWidth="1"/>
    <col min="30" max="31" width="1.6640625" style="68" customWidth="1"/>
    <col min="32" max="32" width="1.33203125" style="68" customWidth="1"/>
    <col min="33" max="33" width="1.6640625" style="68" customWidth="1"/>
    <col min="34" max="34" width="2.33203125" style="68" customWidth="1"/>
    <col min="35" max="35" width="1.44140625" style="68" customWidth="1"/>
    <col min="36" max="36" width="4" style="68" customWidth="1"/>
    <col min="37" max="37" width="9.33203125" style="68" customWidth="1"/>
    <col min="38" max="38" width="5.6640625" style="68" customWidth="1"/>
    <col min="39" max="39" width="117" style="109" customWidth="1"/>
    <col min="40" max="41" width="10.6640625" style="109" bestFit="1" customWidth="1"/>
    <col min="42" max="52" width="9.33203125" style="109"/>
    <col min="53" max="63" width="9.33203125" style="60"/>
    <col min="64" max="16384" width="9.33203125" style="68"/>
  </cols>
  <sheetData>
    <row r="1" spans="1:54" ht="25.2"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6"/>
      <c r="AN1" s="106"/>
      <c r="AO1" s="106"/>
      <c r="AP1" s="106"/>
      <c r="AQ1" s="106"/>
      <c r="AR1" s="106"/>
      <c r="AS1" s="106"/>
      <c r="AT1" s="106"/>
      <c r="AU1" s="106"/>
      <c r="AV1" s="106"/>
      <c r="AW1" s="106"/>
      <c r="AX1" s="106"/>
      <c r="AY1" s="106"/>
      <c r="AZ1" s="106"/>
      <c r="BA1" s="70"/>
      <c r="BB1" s="70"/>
    </row>
    <row r="2" spans="1:54" x14ac:dyDescent="0.25">
      <c r="A2" s="69" t="s">
        <v>123</v>
      </c>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106"/>
      <c r="AN2" s="106"/>
      <c r="AO2" s="106"/>
      <c r="AP2" s="106"/>
      <c r="AQ2" s="106"/>
      <c r="AR2" s="106"/>
      <c r="AS2" s="106"/>
      <c r="AT2" s="106"/>
      <c r="AU2" s="106"/>
      <c r="AV2" s="106"/>
      <c r="AW2" s="106"/>
      <c r="AX2" s="106"/>
      <c r="AY2" s="106"/>
      <c r="AZ2" s="106"/>
      <c r="BA2" s="70"/>
      <c r="BB2" s="70"/>
    </row>
    <row r="3" spans="1:54" ht="14.4" x14ac:dyDescent="0.3">
      <c r="A3" s="88"/>
      <c r="B3" s="92"/>
      <c r="C3" s="92"/>
      <c r="D3" s="92"/>
      <c r="E3" s="92"/>
      <c r="F3" s="92"/>
      <c r="G3" s="92"/>
      <c r="H3" s="92"/>
      <c r="I3" s="92"/>
      <c r="J3" s="92"/>
      <c r="K3" s="92"/>
      <c r="L3" s="92"/>
      <c r="M3" s="92"/>
      <c r="N3"/>
      <c r="O3"/>
      <c r="P3"/>
      <c r="Q3"/>
      <c r="R3"/>
      <c r="S3"/>
      <c r="T3"/>
      <c r="U3"/>
      <c r="V3"/>
      <c r="W3"/>
      <c r="X3"/>
      <c r="Y3"/>
      <c r="Z3"/>
      <c r="AA3"/>
      <c r="AB3"/>
      <c r="AC3" s="92"/>
      <c r="AD3" s="92"/>
      <c r="AE3" s="92"/>
      <c r="AF3" s="92"/>
      <c r="AG3" s="92"/>
      <c r="AH3" s="92"/>
      <c r="AI3" s="92"/>
      <c r="AJ3" s="92"/>
      <c r="AK3" s="92"/>
      <c r="AL3" s="93"/>
      <c r="AM3" s="102" t="s">
        <v>160</v>
      </c>
    </row>
    <row r="4" spans="1:54" ht="14.4" x14ac:dyDescent="0.3">
      <c r="A4" s="513"/>
      <c r="B4" s="513"/>
      <c r="C4" s="513"/>
      <c r="D4" s="513"/>
      <c r="E4" s="513"/>
      <c r="F4" s="513"/>
      <c r="G4" s="89"/>
      <c r="H4" s="514">
        <f ca="1">TODAY()</f>
        <v>46184</v>
      </c>
      <c r="I4" s="514"/>
      <c r="J4" s="514"/>
      <c r="K4" s="514"/>
      <c r="L4" s="514"/>
      <c r="M4" s="88"/>
      <c r="N4"/>
      <c r="O4"/>
      <c r="P4"/>
      <c r="Q4"/>
      <c r="R4"/>
      <c r="S4"/>
      <c r="T4"/>
      <c r="U4"/>
      <c r="V4"/>
      <c r="W4"/>
      <c r="X4"/>
      <c r="Y4"/>
      <c r="Z4"/>
      <c r="AA4"/>
      <c r="AB4"/>
      <c r="AC4" s="88"/>
      <c r="AD4" s="88"/>
      <c r="AE4" s="88"/>
      <c r="AF4" s="88"/>
      <c r="AG4" s="88"/>
      <c r="AH4" s="88"/>
      <c r="AI4" s="88"/>
      <c r="AJ4" s="88"/>
      <c r="AK4" s="88"/>
      <c r="AL4" s="88"/>
      <c r="AM4" s="108"/>
    </row>
    <row r="5" spans="1:54" ht="14.4" x14ac:dyDescent="0.3">
      <c r="A5" s="515" t="s">
        <v>125</v>
      </c>
      <c r="B5" s="515"/>
      <c r="C5" s="515"/>
      <c r="D5" s="515"/>
      <c r="E5" s="515"/>
      <c r="F5" s="515"/>
      <c r="G5" s="151"/>
      <c r="H5" s="515" t="s">
        <v>124</v>
      </c>
      <c r="I5" s="515"/>
      <c r="J5" s="515"/>
      <c r="K5" s="515"/>
      <c r="L5" s="515"/>
      <c r="M5" s="148"/>
      <c r="N5"/>
      <c r="O5"/>
      <c r="P5"/>
      <c r="Q5"/>
      <c r="R5"/>
      <c r="S5"/>
      <c r="T5"/>
      <c r="U5"/>
      <c r="V5"/>
      <c r="W5"/>
      <c r="X5"/>
      <c r="Y5"/>
      <c r="Z5"/>
      <c r="AA5"/>
      <c r="AB5"/>
      <c r="AC5" s="148"/>
      <c r="AD5" s="148"/>
      <c r="AE5" s="148"/>
      <c r="AF5" s="148"/>
      <c r="AG5" s="148"/>
      <c r="AH5" s="148"/>
      <c r="AI5" s="148"/>
      <c r="AJ5" s="148"/>
      <c r="AK5" s="148"/>
      <c r="AL5" s="148"/>
      <c r="AM5" s="108"/>
    </row>
    <row r="6" spans="1:54" ht="14.4" x14ac:dyDescent="0.3">
      <c r="A6" s="153"/>
      <c r="B6" s="153"/>
      <c r="C6" s="153"/>
      <c r="D6" s="153"/>
      <c r="E6" s="153"/>
      <c r="F6" s="153"/>
      <c r="G6" s="151"/>
      <c r="H6" s="148"/>
      <c r="I6" s="148"/>
      <c r="J6" s="148"/>
      <c r="K6" s="148"/>
      <c r="L6" s="148"/>
      <c r="M6" s="148"/>
      <c r="N6"/>
      <c r="O6"/>
      <c r="P6"/>
      <c r="Q6"/>
      <c r="R6"/>
      <c r="S6"/>
      <c r="T6"/>
      <c r="U6"/>
      <c r="V6"/>
      <c r="W6"/>
      <c r="X6"/>
      <c r="Y6"/>
      <c r="Z6"/>
      <c r="AA6"/>
      <c r="AB6"/>
      <c r="AC6" s="148"/>
      <c r="AD6" s="148"/>
      <c r="AE6" s="148"/>
      <c r="AF6" s="148"/>
      <c r="AG6" s="148"/>
      <c r="AH6" s="148"/>
      <c r="AI6" s="148"/>
      <c r="AJ6" s="148"/>
      <c r="AK6" s="148"/>
      <c r="AL6" s="148"/>
      <c r="AM6" s="108"/>
    </row>
    <row r="7" spans="1:54" s="60" customFormat="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s="60" customFormat="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s="60" customFormat="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ht="14.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0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108"/>
    </row>
    <row r="12" spans="1:54" ht="14.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c r="AM12" s="108"/>
    </row>
    <row r="13" spans="1:54" ht="20.7"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108"/>
    </row>
    <row r="14" spans="1:54"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08"/>
    </row>
    <row r="15" spans="1:54" ht="14.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c r="AM15" s="108"/>
    </row>
    <row r="16" spans="1:54" ht="14.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108"/>
    </row>
    <row r="17" spans="1:39" ht="27" customHeight="1" x14ac:dyDescent="0.25">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row>
    <row r="18" spans="1:39" ht="14.4"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ht="14.4" x14ac:dyDescent="0.25">
      <c r="A19" s="326"/>
      <c r="B19" s="59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row>
    <row r="20" spans="1:39" ht="28.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ht="14.4"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77"/>
    </row>
    <row r="22" spans="1:39" ht="42.45"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ht="14.4"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c r="AM23" s="77"/>
    </row>
    <row r="24" spans="1:39" ht="14.4"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ht="14.4"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c r="AM25" s="77"/>
    </row>
    <row r="26" spans="1:39" ht="14.4"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row>
    <row r="27" spans="1:39" ht="14.4"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77"/>
    </row>
    <row r="28" spans="1:39" ht="14.4" x14ac:dyDescent="0.25">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77"/>
    </row>
    <row r="29" spans="1:39" ht="14.4" x14ac:dyDescent="0.25">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77"/>
    </row>
    <row r="30" spans="1:39" ht="14.4" x14ac:dyDescent="0.25">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77"/>
    </row>
    <row r="31" spans="1:39" ht="14.4" x14ac:dyDescent="0.25">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c r="AM31" s="77"/>
    </row>
    <row r="32" spans="1:39" ht="14.4" x14ac:dyDescent="0.25">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77"/>
    </row>
    <row r="33" spans="1:39" ht="14.4" x14ac:dyDescent="0.25">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77"/>
    </row>
    <row r="34" spans="1:39" ht="14.4" x14ac:dyDescent="0.25">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row>
    <row r="35" spans="1:39" ht="14.4" x14ac:dyDescent="0.25">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101"/>
    </row>
    <row r="36" spans="1:39" ht="14.4" x14ac:dyDescent="0.25">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101" t="s">
        <v>174</v>
      </c>
    </row>
    <row r="37" spans="1:39" ht="33.450000000000003" customHeight="1" x14ac:dyDescent="0.25">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101"/>
    </row>
    <row r="38" spans="1:39" ht="14.4"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101"/>
    </row>
    <row r="39" spans="1:39" ht="14.4" x14ac:dyDescent="0.25">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c r="AM39" s="108"/>
    </row>
    <row r="40" spans="1:39" ht="14.4" x14ac:dyDescent="0.25">
      <c r="A40" s="326" t="s">
        <v>1</v>
      </c>
      <c r="B40" s="344" t="s">
        <v>85</v>
      </c>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c r="AM40" s="108"/>
    </row>
    <row r="41" spans="1:39" ht="14.4" x14ac:dyDescent="0.3">
      <c r="A41" s="326"/>
      <c r="B41" s="655" t="e">
        <f>T112</f>
        <v>#DIV/0!</v>
      </c>
      <c r="C41" s="655"/>
      <c r="D41" s="655"/>
      <c r="E41" s="655"/>
      <c r="F41" s="655"/>
      <c r="G41" s="655"/>
      <c r="H41" s="655"/>
      <c r="I41" s="655"/>
      <c r="J41" s="655"/>
      <c r="K41" s="655"/>
      <c r="L41" s="655"/>
      <c r="M41" s="655"/>
      <c r="N41" s="655"/>
      <c r="O41" s="655"/>
      <c r="P41" s="655"/>
      <c r="Q41" s="655"/>
      <c r="R41" s="655"/>
      <c r="S41" s="655"/>
      <c r="T41" s="655"/>
      <c r="U41" s="655"/>
      <c r="V41" s="655"/>
      <c r="W41" s="655"/>
      <c r="X41" s="655"/>
      <c r="Y41" s="655"/>
      <c r="Z41" s="655"/>
      <c r="AA41" s="655"/>
      <c r="AB41" s="655"/>
      <c r="AC41" s="655"/>
      <c r="AD41" s="655"/>
      <c r="AE41" s="655"/>
      <c r="AF41" s="655"/>
      <c r="AG41" s="655"/>
      <c r="AH41" s="655"/>
      <c r="AI41" s="655"/>
      <c r="AJ41" s="655"/>
      <c r="AK41" s="655"/>
      <c r="AL41" s="655"/>
      <c r="AM41" s="110" t="s">
        <v>213</v>
      </c>
    </row>
    <row r="42" spans="1:39" ht="31.2" customHeight="1" x14ac:dyDescent="0.25">
      <c r="A42" s="326" t="s">
        <v>4</v>
      </c>
      <c r="B42" s="445" t="s">
        <v>1023</v>
      </c>
      <c r="C42" s="445"/>
      <c r="D42" s="445"/>
      <c r="E42" s="445"/>
      <c r="F42" s="445"/>
      <c r="G42" s="445"/>
      <c r="H42" s="445"/>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c r="AM42" s="108"/>
    </row>
    <row r="43" spans="1:39" ht="14.4" x14ac:dyDescent="0.25">
      <c r="A43" s="326"/>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77" t="s">
        <v>165</v>
      </c>
    </row>
    <row r="44" spans="1:39" ht="14.4" x14ac:dyDescent="0.25">
      <c r="A44" s="326" t="s">
        <v>6</v>
      </c>
      <c r="B44" s="444" t="s">
        <v>885</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76"/>
    </row>
    <row r="45" spans="1:39" ht="14.4" x14ac:dyDescent="0.25">
      <c r="A45" s="32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row>
    <row r="46" spans="1:39" ht="14.4" x14ac:dyDescent="0.25">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c r="AM46" s="108"/>
    </row>
    <row r="47" spans="1:39" ht="14.7" customHeight="1" x14ac:dyDescent="0.25">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c r="AM47" s="108"/>
    </row>
    <row r="48" spans="1:39" ht="14.7"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c r="AM48" s="108"/>
    </row>
    <row r="49" spans="1:63" ht="14.7"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t="e">
        <f>B$41</f>
        <v>#DIV/0!</v>
      </c>
      <c r="AA49" s="341"/>
      <c r="AB49" s="341"/>
      <c r="AC49" s="341"/>
      <c r="AD49" s="341"/>
      <c r="AE49" s="341"/>
      <c r="AF49" s="341"/>
      <c r="AG49" s="341"/>
      <c r="AH49" s="341"/>
      <c r="AI49" s="341"/>
      <c r="AJ49" s="341"/>
      <c r="AK49" s="341" t="e">
        <f>ROUND(Z49/Z$51,5)</f>
        <v>#DIV/0!</v>
      </c>
      <c r="AL49" s="341"/>
      <c r="AM49" s="108" t="s">
        <v>634</v>
      </c>
    </row>
    <row r="50" spans="1:63"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M50" s="76" t="s">
        <v>635</v>
      </c>
    </row>
    <row r="51" spans="1:63"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422" t="e">
        <f>SUM(Z48:AJ50)</f>
        <v>#DIV/0!</v>
      </c>
      <c r="AA51" s="422"/>
      <c r="AB51" s="422"/>
      <c r="AC51" s="422"/>
      <c r="AD51" s="422"/>
      <c r="AE51" s="422"/>
      <c r="AF51" s="422"/>
      <c r="AG51" s="422"/>
      <c r="AH51" s="422"/>
      <c r="AI51" s="422"/>
      <c r="AJ51" s="422"/>
      <c r="AK51" s="341" t="e">
        <f>SUM(AK48:AL50)</f>
        <v>#DIV/0!</v>
      </c>
      <c r="AL51" s="341"/>
      <c r="AM51" s="77" t="s">
        <v>1150</v>
      </c>
    </row>
    <row r="52" spans="1:63" ht="14.4" x14ac:dyDescent="0.3">
      <c r="A52" s="150" t="s">
        <v>69</v>
      </c>
      <c r="B52" s="328" t="s">
        <v>70</v>
      </c>
      <c r="C52" s="328"/>
      <c r="D52" s="328"/>
      <c r="E52" s="328"/>
      <c r="F52" s="328"/>
      <c r="G52" s="328"/>
      <c r="H52" s="328"/>
      <c r="I52" s="328"/>
      <c r="J52" s="328"/>
      <c r="K52" s="328"/>
      <c r="L52" s="328"/>
      <c r="M52" s="328"/>
      <c r="N52" s="328"/>
      <c r="O52" s="328"/>
      <c r="P52" s="328"/>
      <c r="Q52" s="328"/>
      <c r="R52" s="328"/>
      <c r="S52" s="328"/>
      <c r="T52" s="328"/>
      <c r="U52" s="328"/>
      <c r="V52" s="328"/>
      <c r="W52" s="328"/>
      <c r="X52" s="328"/>
      <c r="Y52" s="328"/>
      <c r="Z52" s="328"/>
      <c r="AA52" s="328"/>
      <c r="AB52" s="328"/>
      <c r="AC52" s="328"/>
      <c r="AD52" s="328"/>
      <c r="AE52" s="328"/>
      <c r="AF52" s="328"/>
      <c r="AG52" s="328"/>
      <c r="AH52" s="328"/>
      <c r="AI52" s="328"/>
      <c r="AJ52" s="328"/>
      <c r="AK52" s="328"/>
      <c r="AL52" s="328"/>
      <c r="AM52" s="108"/>
    </row>
    <row r="53" spans="1:63" ht="33.450000000000003" customHeight="1" x14ac:dyDescent="0.25">
      <c r="A53" s="508"/>
      <c r="B53" s="508"/>
      <c r="C53" s="508"/>
      <c r="D53" s="508"/>
      <c r="E53" s="508"/>
      <c r="F53" s="508"/>
      <c r="G53" s="508"/>
      <c r="H53" s="508"/>
      <c r="I53" s="508"/>
      <c r="J53" s="508"/>
      <c r="K53" s="508"/>
      <c r="L53" s="508"/>
      <c r="M53" s="508"/>
      <c r="N53" s="508"/>
      <c r="O53" s="508"/>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08"/>
    </row>
    <row r="54" spans="1:63" s="85" customFormat="1" ht="14.4" x14ac:dyDescent="0.3">
      <c r="A54" s="150" t="s">
        <v>90</v>
      </c>
      <c r="B54" s="328" t="s">
        <v>674</v>
      </c>
      <c r="C54" s="328"/>
      <c r="D54" s="328"/>
      <c r="E54" s="328"/>
      <c r="F54" s="328"/>
      <c r="G54" s="328"/>
      <c r="H54" s="328"/>
      <c r="I54" s="328"/>
      <c r="J54" s="328"/>
      <c r="K54" s="328"/>
      <c r="L54" s="328"/>
      <c r="M54" s="328"/>
      <c r="N54" s="328"/>
      <c r="O54" s="328"/>
      <c r="P54" s="328"/>
      <c r="Q54" s="328"/>
      <c r="R54" s="328"/>
      <c r="S54" s="328"/>
      <c r="T54" s="328"/>
      <c r="U54" s="328"/>
      <c r="V54" s="328"/>
      <c r="W54" s="328"/>
      <c r="X54" s="328"/>
      <c r="Y54" s="328"/>
      <c r="Z54" s="328"/>
      <c r="AA54" s="328"/>
      <c r="AB54" s="328"/>
      <c r="AC54" s="328"/>
      <c r="AD54" s="328"/>
      <c r="AE54" s="328"/>
      <c r="AF54" s="328"/>
      <c r="AG54" s="328"/>
      <c r="AH54" s="328"/>
      <c r="AI54" s="328"/>
      <c r="AJ54" s="328"/>
      <c r="AK54" s="328"/>
      <c r="AL54" s="328"/>
      <c r="AM54" s="111"/>
      <c r="AN54" s="107"/>
      <c r="AO54" s="107"/>
      <c r="AP54" s="107"/>
      <c r="AQ54" s="107"/>
      <c r="AR54" s="107"/>
      <c r="AS54" s="107"/>
      <c r="AT54" s="107"/>
      <c r="AU54" s="107"/>
      <c r="AV54" s="107"/>
      <c r="AW54" s="107"/>
      <c r="AX54" s="107"/>
      <c r="AY54" s="107"/>
      <c r="AZ54" s="107"/>
      <c r="BA54" s="64"/>
      <c r="BB54" s="64"/>
      <c r="BC54" s="64"/>
      <c r="BD54" s="64"/>
      <c r="BE54" s="64"/>
      <c r="BF54" s="64"/>
      <c r="BG54" s="64"/>
      <c r="BH54" s="64"/>
      <c r="BI54" s="64"/>
      <c r="BJ54" s="64"/>
      <c r="BK54" s="64"/>
    </row>
    <row r="55" spans="1:63" ht="14.25" customHeight="1" x14ac:dyDescent="0.25">
      <c r="A55" s="289" t="s">
        <v>164</v>
      </c>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108"/>
    </row>
    <row r="56" spans="1:63" ht="14.4" x14ac:dyDescent="0.25">
      <c r="A56" s="708"/>
      <c r="B56" s="708"/>
      <c r="C56" s="708"/>
      <c r="D56" s="708"/>
      <c r="E56" s="708"/>
      <c r="F56" s="708"/>
      <c r="G56" s="708"/>
      <c r="H56" s="708"/>
      <c r="I56" s="708"/>
      <c r="J56" s="708"/>
      <c r="K56" s="708"/>
      <c r="L56" s="708"/>
      <c r="M56" s="708"/>
      <c r="N56" s="708"/>
      <c r="O56" s="708"/>
      <c r="P56" s="708"/>
      <c r="Q56" s="708"/>
      <c r="R56" s="708"/>
      <c r="S56" s="708"/>
      <c r="T56" s="708"/>
      <c r="U56" s="708"/>
      <c r="V56" s="708"/>
      <c r="W56" s="708"/>
      <c r="X56" s="708"/>
      <c r="Y56" s="708"/>
      <c r="Z56" s="708"/>
      <c r="AA56" s="708"/>
      <c r="AB56" s="708"/>
      <c r="AC56" s="708"/>
      <c r="AD56" s="708"/>
      <c r="AE56" s="708"/>
      <c r="AF56" s="708"/>
      <c r="AG56" s="708"/>
      <c r="AH56" s="708"/>
      <c r="AI56" s="708"/>
      <c r="AJ56" s="708"/>
      <c r="AK56" s="708"/>
      <c r="AL56" s="708"/>
    </row>
    <row r="57" spans="1:63" ht="14.4" x14ac:dyDescent="0.25">
      <c r="A57" s="149" t="s">
        <v>91</v>
      </c>
      <c r="B57" s="351" t="s">
        <v>132</v>
      </c>
      <c r="C57" s="351"/>
      <c r="D57" s="351"/>
      <c r="E57" s="351"/>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c r="AH57" s="351"/>
      <c r="AI57" s="351"/>
      <c r="AJ57" s="351"/>
      <c r="AK57" s="351"/>
      <c r="AL57" s="351"/>
      <c r="AM57" s="738"/>
      <c r="AN57" s="738"/>
      <c r="AO57" s="738"/>
      <c r="AP57" s="738"/>
      <c r="AQ57" s="738"/>
      <c r="AR57" s="738"/>
      <c r="AS57" s="738"/>
      <c r="AT57" s="738"/>
      <c r="AU57" s="738"/>
    </row>
    <row r="58" spans="1:63" ht="66.75" customHeight="1" x14ac:dyDescent="0.25">
      <c r="A58" s="508"/>
      <c r="B58" s="508"/>
      <c r="C58" s="508"/>
      <c r="D58" s="508"/>
      <c r="E58" s="508"/>
      <c r="F58" s="508"/>
      <c r="G58" s="508"/>
      <c r="H58" s="508"/>
      <c r="I58" s="508"/>
      <c r="J58" s="508"/>
      <c r="K58" s="508"/>
      <c r="L58" s="508"/>
      <c r="M58" s="508"/>
      <c r="N58" s="508"/>
      <c r="O58" s="508"/>
      <c r="P58" s="508"/>
      <c r="Q58" s="508"/>
      <c r="R58" s="508"/>
      <c r="S58" s="508"/>
      <c r="T58" s="508"/>
      <c r="U58" s="508"/>
      <c r="V58" s="508"/>
      <c r="W58" s="508"/>
      <c r="X58" s="508"/>
      <c r="Y58" s="508"/>
      <c r="Z58" s="508"/>
      <c r="AA58" s="508"/>
      <c r="AB58" s="508"/>
      <c r="AC58" s="508"/>
      <c r="AD58" s="508"/>
      <c r="AE58" s="508"/>
      <c r="AF58" s="508"/>
      <c r="AG58" s="508"/>
      <c r="AH58" s="508"/>
      <c r="AI58" s="508"/>
      <c r="AJ58" s="508"/>
      <c r="AK58" s="508"/>
      <c r="AL58" s="508"/>
      <c r="AM58" s="738"/>
      <c r="AN58" s="738"/>
      <c r="AO58" s="738"/>
      <c r="AP58" s="738"/>
      <c r="AQ58" s="738"/>
      <c r="AR58" s="738"/>
      <c r="AS58" s="738"/>
      <c r="AT58" s="738"/>
      <c r="AU58" s="738"/>
    </row>
    <row r="59" spans="1:63" ht="15.75" customHeight="1" x14ac:dyDescent="0.25">
      <c r="A59" s="328" t="s">
        <v>1102</v>
      </c>
      <c r="B59" s="328"/>
      <c r="C59" s="328"/>
      <c r="D59" s="328"/>
      <c r="E59" s="328"/>
      <c r="F59" s="328"/>
      <c r="G59" s="328"/>
      <c r="H59" s="328"/>
      <c r="I59" s="328"/>
      <c r="J59" s="328"/>
      <c r="K59" s="328"/>
      <c r="L59" s="328"/>
      <c r="M59" s="328"/>
      <c r="N59" s="328"/>
      <c r="O59" s="328"/>
      <c r="P59" s="328"/>
      <c r="Q59" s="328"/>
      <c r="R59" s="328"/>
      <c r="S59" s="328"/>
      <c r="T59" s="328"/>
      <c r="U59" s="328"/>
      <c r="V59" s="328"/>
      <c r="W59" s="328"/>
      <c r="X59" s="328"/>
      <c r="Y59" s="328"/>
      <c r="Z59" s="328"/>
      <c r="AA59" s="328"/>
      <c r="AB59" s="328"/>
      <c r="AC59" s="328"/>
      <c r="AD59" s="328"/>
      <c r="AE59" s="328"/>
      <c r="AF59" s="328"/>
      <c r="AG59" s="328"/>
      <c r="AH59" s="328"/>
      <c r="AI59" s="328"/>
      <c r="AJ59" s="328"/>
      <c r="AK59" s="328"/>
      <c r="AL59" s="328"/>
      <c r="AM59" s="112"/>
      <c r="AN59" s="113"/>
      <c r="AO59" s="113"/>
      <c r="AP59" s="143"/>
      <c r="AQ59" s="143"/>
      <c r="AR59" s="143"/>
      <c r="AS59" s="143"/>
      <c r="AT59" s="143"/>
      <c r="AU59" s="143"/>
    </row>
    <row r="60" spans="1:63" ht="14.4" x14ac:dyDescent="0.25">
      <c r="A60" s="328" t="s">
        <v>1085</v>
      </c>
      <c r="B60" s="328"/>
      <c r="C60" s="328"/>
      <c r="D60" s="328"/>
      <c r="E60" s="328"/>
      <c r="F60" s="328"/>
      <c r="G60" s="328"/>
      <c r="H60" s="328"/>
      <c r="I60" s="328"/>
      <c r="J60" s="328"/>
      <c r="K60" s="328"/>
      <c r="L60" s="328"/>
      <c r="M60" s="328"/>
      <c r="N60" s="328"/>
      <c r="O60" s="328"/>
      <c r="P60" s="328"/>
      <c r="Q60" s="328"/>
      <c r="R60" s="328"/>
      <c r="S60" s="328"/>
      <c r="T60" s="328"/>
      <c r="U60" s="328"/>
      <c r="V60" s="328"/>
      <c r="W60" s="328"/>
      <c r="X60" s="328"/>
      <c r="Y60" s="328"/>
      <c r="Z60" s="328"/>
      <c r="AA60" s="328"/>
      <c r="AB60" s="328"/>
      <c r="AC60" s="328"/>
      <c r="AD60" s="328"/>
      <c r="AE60" s="328"/>
      <c r="AF60" s="328"/>
      <c r="AG60" s="328"/>
      <c r="AH60" s="328"/>
      <c r="AI60" s="328"/>
      <c r="AJ60" s="328"/>
      <c r="AK60" s="328"/>
      <c r="AL60" s="328"/>
      <c r="AM60" s="108"/>
    </row>
    <row r="61" spans="1:63" ht="14.4" x14ac:dyDescent="0.25">
      <c r="A61" s="443"/>
      <c r="B61" s="443"/>
      <c r="C61" s="443"/>
      <c r="D61" s="443"/>
      <c r="E61" s="443"/>
      <c r="F61" s="443"/>
      <c r="G61" s="443"/>
      <c r="H61" s="443"/>
      <c r="I61" s="443"/>
      <c r="J61" s="443"/>
      <c r="K61" s="443"/>
      <c r="L61" s="443"/>
      <c r="M61" s="443"/>
      <c r="N61" s="443"/>
      <c r="O61" s="443"/>
      <c r="P61" s="443"/>
      <c r="Q61" s="443"/>
      <c r="R61" s="443"/>
      <c r="S61" s="443"/>
      <c r="T61" s="443"/>
      <c r="U61" s="443"/>
      <c r="V61" s="443"/>
      <c r="W61" s="443"/>
      <c r="X61" s="443"/>
      <c r="Y61" s="443"/>
      <c r="Z61" s="443"/>
      <c r="AA61" s="443"/>
      <c r="AB61" s="443"/>
      <c r="AC61" s="443"/>
      <c r="AD61" s="443"/>
      <c r="AE61" s="443"/>
      <c r="AF61" s="443"/>
      <c r="AG61" s="443"/>
      <c r="AH61" s="443"/>
      <c r="AI61" s="443"/>
      <c r="AJ61" s="443"/>
      <c r="AK61" s="443"/>
      <c r="AL61" s="443"/>
    </row>
    <row r="62" spans="1:63" ht="18" customHeight="1" x14ac:dyDescent="0.25">
      <c r="A62" s="308" t="s">
        <v>1096</v>
      </c>
      <c r="B62" s="332"/>
      <c r="C62" s="332"/>
      <c r="D62" s="332"/>
      <c r="E62" s="332"/>
      <c r="F62" s="332"/>
      <c r="G62" s="332"/>
      <c r="H62" s="332"/>
      <c r="I62" s="332"/>
      <c r="J62" s="332"/>
      <c r="K62" s="332"/>
      <c r="L62" s="332"/>
      <c r="M62" s="332"/>
      <c r="N62" s="332"/>
      <c r="O62" s="332"/>
      <c r="P62" s="332"/>
      <c r="Q62" s="332"/>
      <c r="R62" s="332"/>
      <c r="S62" s="332"/>
      <c r="T62" s="332"/>
      <c r="U62" s="332"/>
      <c r="V62" s="332"/>
      <c r="W62" s="332"/>
      <c r="X62" s="332"/>
      <c r="Y62" s="332"/>
      <c r="Z62" s="332"/>
      <c r="AA62" s="332"/>
      <c r="AB62" s="332"/>
      <c r="AC62" s="332"/>
      <c r="AD62" s="332"/>
      <c r="AE62" s="332"/>
      <c r="AF62" s="332"/>
      <c r="AG62" s="332"/>
      <c r="AH62" s="332"/>
      <c r="AI62" s="332"/>
      <c r="AJ62" s="332"/>
      <c r="AK62" s="332"/>
      <c r="AL62" s="332"/>
      <c r="AM62" s="738"/>
      <c r="AN62" s="738"/>
      <c r="AO62" s="738"/>
      <c r="AP62" s="738"/>
      <c r="AQ62" s="738"/>
      <c r="AR62" s="738"/>
      <c r="AS62" s="738"/>
      <c r="AT62" s="738"/>
    </row>
    <row r="63" spans="1:63" ht="14.4" x14ac:dyDescent="0.25">
      <c r="A63" s="710"/>
      <c r="B63" s="710"/>
      <c r="C63" s="710"/>
      <c r="D63" s="710"/>
      <c r="E63" s="710"/>
      <c r="F63" s="710"/>
      <c r="G63" s="710"/>
      <c r="H63" s="710"/>
      <c r="I63" s="710"/>
      <c r="J63" s="710"/>
      <c r="K63" s="710"/>
      <c r="L63" s="710"/>
      <c r="M63" s="710"/>
      <c r="N63" s="710"/>
      <c r="O63" s="710"/>
      <c r="P63" s="710"/>
      <c r="Q63" s="710"/>
      <c r="R63" s="710"/>
      <c r="S63" s="710"/>
      <c r="T63" s="710"/>
      <c r="U63" s="710"/>
      <c r="V63" s="710"/>
      <c r="W63" s="710"/>
      <c r="X63" s="710"/>
      <c r="Y63" s="710"/>
      <c r="Z63" s="710"/>
      <c r="AA63" s="710"/>
      <c r="AB63" s="710"/>
      <c r="AC63" s="710"/>
      <c r="AD63" s="710"/>
      <c r="AE63" s="710"/>
      <c r="AF63" s="710"/>
      <c r="AG63" s="710"/>
      <c r="AH63" s="710"/>
      <c r="AI63" s="710"/>
      <c r="AJ63" s="710"/>
      <c r="AK63" s="710"/>
      <c r="AL63" s="710"/>
    </row>
    <row r="64" spans="1:63" ht="16.5" customHeight="1" x14ac:dyDescent="0.25">
      <c r="A64" s="308" t="s">
        <v>1097</v>
      </c>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08"/>
      <c r="AH64" s="308"/>
      <c r="AI64" s="308"/>
      <c r="AJ64" s="308"/>
      <c r="AK64" s="308"/>
      <c r="AL64" s="308"/>
      <c r="AM64" s="108"/>
    </row>
    <row r="65" spans="1:63" ht="14.4" x14ac:dyDescent="0.25">
      <c r="A65" s="710"/>
      <c r="B65" s="710"/>
      <c r="C65" s="710"/>
      <c r="D65" s="710"/>
      <c r="E65" s="710"/>
      <c r="F65" s="710"/>
      <c r="G65" s="710"/>
      <c r="H65" s="710"/>
      <c r="I65" s="710"/>
      <c r="J65" s="710"/>
      <c r="K65" s="710"/>
      <c r="L65" s="710"/>
      <c r="M65" s="710"/>
      <c r="N65" s="710"/>
      <c r="O65" s="710"/>
      <c r="P65" s="710"/>
      <c r="Q65" s="710"/>
      <c r="R65" s="710"/>
      <c r="S65" s="710"/>
      <c r="T65" s="710"/>
      <c r="U65" s="710"/>
      <c r="V65" s="710"/>
      <c r="W65" s="710"/>
      <c r="X65" s="710"/>
      <c r="Y65" s="710"/>
      <c r="Z65" s="710"/>
      <c r="AA65" s="710"/>
      <c r="AB65" s="710"/>
      <c r="AC65" s="710"/>
      <c r="AD65" s="710"/>
      <c r="AE65" s="710"/>
      <c r="AF65" s="710"/>
      <c r="AG65" s="710"/>
      <c r="AH65" s="710"/>
      <c r="AI65" s="710"/>
      <c r="AJ65" s="710"/>
      <c r="AK65" s="710"/>
      <c r="AL65" s="710"/>
      <c r="AP65" s="114"/>
      <c r="AQ65" s="114"/>
      <c r="AR65" s="114"/>
      <c r="AS65" s="114"/>
      <c r="AT65" s="114"/>
      <c r="AU65" s="114"/>
      <c r="AV65" s="114"/>
    </row>
    <row r="66" spans="1:63" ht="15.75" customHeight="1" x14ac:dyDescent="0.25">
      <c r="A66" s="308" t="s">
        <v>1098</v>
      </c>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c r="AJ66" s="308"/>
      <c r="AK66" s="308"/>
      <c r="AL66" s="308"/>
      <c r="AM66" s="738"/>
      <c r="AN66" s="738"/>
      <c r="AO66" s="738"/>
      <c r="AP66" s="738"/>
      <c r="AQ66" s="738"/>
      <c r="AR66" s="738"/>
      <c r="AS66" s="738"/>
      <c r="AT66" s="738"/>
      <c r="AU66" s="738"/>
      <c r="AV66" s="738"/>
    </row>
    <row r="67" spans="1:63" ht="14.4" x14ac:dyDescent="0.25">
      <c r="A67" s="708"/>
      <c r="B67" s="708"/>
      <c r="C67" s="708"/>
      <c r="D67" s="708"/>
      <c r="E67" s="708"/>
      <c r="F67" s="708"/>
      <c r="G67" s="708"/>
      <c r="H67" s="708"/>
      <c r="I67" s="708"/>
      <c r="J67" s="708"/>
      <c r="K67" s="708"/>
      <c r="L67" s="708"/>
      <c r="M67" s="708"/>
      <c r="N67" s="708"/>
      <c r="O67" s="708"/>
      <c r="P67" s="708"/>
      <c r="Q67" s="708"/>
      <c r="R67" s="708"/>
      <c r="S67" s="708"/>
      <c r="T67" s="708"/>
      <c r="U67" s="708"/>
      <c r="V67" s="708"/>
      <c r="W67" s="708"/>
      <c r="X67" s="708"/>
      <c r="Y67" s="708"/>
      <c r="Z67" s="708"/>
      <c r="AA67" s="708"/>
      <c r="AB67" s="708"/>
      <c r="AC67" s="708"/>
      <c r="AD67" s="708"/>
      <c r="AE67" s="708"/>
      <c r="AF67" s="708"/>
      <c r="AG67" s="708"/>
      <c r="AH67" s="708"/>
      <c r="AI67" s="708"/>
      <c r="AJ67" s="708"/>
      <c r="AK67" s="708"/>
      <c r="AL67" s="708"/>
      <c r="AP67" s="114"/>
      <c r="AQ67" s="114"/>
      <c r="AR67" s="114"/>
      <c r="AS67" s="114"/>
      <c r="AT67" s="114"/>
      <c r="AU67" s="114"/>
      <c r="AV67" s="114"/>
    </row>
    <row r="68" spans="1:63" ht="19.5" customHeight="1" x14ac:dyDescent="0.25">
      <c r="A68" s="308" t="s">
        <v>1099</v>
      </c>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c r="AH68" s="308"/>
      <c r="AI68" s="308"/>
      <c r="AJ68" s="308"/>
      <c r="AK68" s="308"/>
      <c r="AL68" s="308"/>
      <c r="AM68" s="738"/>
      <c r="AN68" s="738"/>
      <c r="AO68" s="738"/>
      <c r="AP68" s="738"/>
      <c r="AQ68" s="738"/>
      <c r="AR68" s="738"/>
      <c r="AS68" s="738"/>
      <c r="AT68" s="738"/>
      <c r="AU68" s="738"/>
      <c r="AV68" s="738"/>
    </row>
    <row r="69" spans="1:63" ht="14.4" x14ac:dyDescent="0.25">
      <c r="A69" s="710"/>
      <c r="B69" s="710"/>
      <c r="C69" s="710"/>
      <c r="D69" s="710"/>
      <c r="E69" s="710"/>
      <c r="F69" s="710"/>
      <c r="G69" s="710"/>
      <c r="H69" s="710"/>
      <c r="I69" s="710"/>
      <c r="J69" s="710"/>
      <c r="K69" s="710"/>
      <c r="L69" s="710"/>
      <c r="M69" s="710"/>
      <c r="N69" s="710"/>
      <c r="O69" s="710"/>
      <c r="P69" s="710"/>
      <c r="Q69" s="710"/>
      <c r="R69" s="710"/>
      <c r="S69" s="710"/>
      <c r="T69" s="710"/>
      <c r="U69" s="710"/>
      <c r="V69" s="710"/>
      <c r="W69" s="710"/>
      <c r="X69" s="710"/>
      <c r="Y69" s="710"/>
      <c r="Z69" s="710"/>
      <c r="AA69" s="710"/>
      <c r="AB69" s="710"/>
      <c r="AC69" s="710"/>
      <c r="AD69" s="710"/>
      <c r="AE69" s="710"/>
      <c r="AF69" s="710"/>
      <c r="AG69" s="710"/>
      <c r="AH69" s="710"/>
      <c r="AI69" s="710"/>
      <c r="AJ69" s="710"/>
      <c r="AK69" s="710"/>
      <c r="AL69" s="710"/>
      <c r="AM69" s="738"/>
      <c r="AN69" s="738"/>
      <c r="AO69" s="738"/>
      <c r="AP69" s="738"/>
      <c r="AQ69" s="738"/>
      <c r="AR69" s="738"/>
      <c r="AS69" s="738"/>
      <c r="AT69" s="738"/>
      <c r="AU69" s="738"/>
      <c r="AV69" s="114"/>
    </row>
    <row r="70" spans="1:63" ht="16.5" customHeight="1" x14ac:dyDescent="0.25">
      <c r="A70" s="308" t="s">
        <v>1100</v>
      </c>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c r="AH70" s="308"/>
      <c r="AI70" s="308"/>
      <c r="AJ70" s="308"/>
      <c r="AK70" s="308"/>
      <c r="AL70" s="308"/>
      <c r="AM70" s="738"/>
      <c r="AN70" s="738"/>
      <c r="AO70" s="738"/>
      <c r="AP70" s="738"/>
      <c r="AQ70" s="738"/>
      <c r="AR70" s="738"/>
      <c r="AS70" s="738"/>
      <c r="AT70" s="738"/>
      <c r="AU70" s="738"/>
      <c r="AV70" s="113"/>
      <c r="AW70" s="113"/>
      <c r="AX70" s="113"/>
    </row>
    <row r="71" spans="1:63" ht="15" customHeight="1" x14ac:dyDescent="0.25">
      <c r="A71" s="708"/>
      <c r="B71" s="708"/>
      <c r="C71" s="708"/>
      <c r="D71" s="708"/>
      <c r="E71" s="708"/>
      <c r="F71" s="708"/>
      <c r="G71" s="708"/>
      <c r="H71" s="708"/>
      <c r="I71" s="708"/>
      <c r="J71" s="708"/>
      <c r="K71" s="708"/>
      <c r="L71" s="708"/>
      <c r="M71" s="708"/>
      <c r="N71" s="708"/>
      <c r="O71" s="708"/>
      <c r="P71" s="708"/>
      <c r="Q71" s="708"/>
      <c r="R71" s="708"/>
      <c r="S71" s="708"/>
      <c r="T71" s="708"/>
      <c r="U71" s="708"/>
      <c r="V71" s="708"/>
      <c r="W71" s="708"/>
      <c r="X71" s="708"/>
      <c r="Y71" s="708"/>
      <c r="Z71" s="708"/>
      <c r="AA71" s="708"/>
      <c r="AB71" s="708"/>
      <c r="AC71" s="708"/>
      <c r="AD71" s="708"/>
      <c r="AE71" s="708"/>
      <c r="AF71" s="708"/>
      <c r="AG71" s="708"/>
      <c r="AH71" s="708"/>
      <c r="AI71" s="708"/>
      <c r="AJ71" s="708"/>
      <c r="AK71" s="708"/>
      <c r="AL71" s="708"/>
      <c r="AM71" s="738"/>
      <c r="AN71" s="738"/>
      <c r="AO71" s="738"/>
      <c r="AP71" s="738"/>
      <c r="AQ71" s="738"/>
      <c r="AR71" s="738"/>
      <c r="AS71" s="738"/>
      <c r="AT71" s="738"/>
      <c r="AU71" s="738"/>
      <c r="AV71" s="738"/>
      <c r="AW71" s="738"/>
      <c r="AX71" s="738"/>
      <c r="AY71" s="738"/>
      <c r="AZ71" s="738"/>
    </row>
    <row r="72" spans="1:63" ht="80.7" customHeight="1" x14ac:dyDescent="0.25">
      <c r="A72" s="308" t="s">
        <v>1105</v>
      </c>
      <c r="B72" s="332"/>
      <c r="C72" s="332"/>
      <c r="D72" s="332"/>
      <c r="E72" s="332"/>
      <c r="F72" s="332"/>
      <c r="G72" s="332"/>
      <c r="H72" s="332"/>
      <c r="I72" s="332"/>
      <c r="J72" s="332"/>
      <c r="K72" s="332"/>
      <c r="L72" s="332"/>
      <c r="M72" s="332"/>
      <c r="N72" s="332"/>
      <c r="O72" s="332"/>
      <c r="P72" s="332"/>
      <c r="Q72" s="332"/>
      <c r="R72" s="332"/>
      <c r="S72" s="332"/>
      <c r="T72" s="332"/>
      <c r="U72" s="332"/>
      <c r="V72" s="332"/>
      <c r="W72" s="332"/>
      <c r="X72" s="332"/>
      <c r="Y72" s="332"/>
      <c r="Z72" s="332"/>
      <c r="AA72" s="332"/>
      <c r="AB72" s="332"/>
      <c r="AC72" s="332"/>
      <c r="AD72" s="332"/>
      <c r="AE72" s="332"/>
      <c r="AF72" s="332"/>
      <c r="AG72" s="332"/>
      <c r="AH72" s="332"/>
      <c r="AI72" s="332"/>
      <c r="AJ72" s="332"/>
      <c r="AK72" s="332"/>
      <c r="AL72" s="332"/>
      <c r="AM72" s="738"/>
      <c r="AN72" s="738"/>
      <c r="AO72" s="738"/>
      <c r="AP72" s="738"/>
      <c r="AQ72" s="738"/>
      <c r="AR72" s="738"/>
      <c r="AS72" s="738"/>
      <c r="AT72" s="738"/>
      <c r="AU72" s="738"/>
      <c r="AV72" s="738"/>
      <c r="AW72" s="738"/>
      <c r="AX72" s="738"/>
      <c r="AY72" s="738"/>
      <c r="AZ72" s="738"/>
    </row>
    <row r="73" spans="1:63" ht="15" customHeight="1" x14ac:dyDescent="0.25">
      <c r="A73" s="709"/>
      <c r="B73" s="709"/>
      <c r="C73" s="709"/>
      <c r="D73" s="709"/>
      <c r="E73" s="709"/>
      <c r="F73" s="709"/>
      <c r="G73" s="709"/>
      <c r="H73" s="709"/>
      <c r="I73" s="709"/>
      <c r="J73" s="709"/>
      <c r="K73" s="709"/>
      <c r="L73" s="709"/>
      <c r="M73" s="709"/>
      <c r="N73" s="709"/>
      <c r="O73" s="709"/>
      <c r="P73" s="709"/>
      <c r="Q73" s="709"/>
      <c r="R73" s="709"/>
      <c r="S73" s="709"/>
      <c r="T73" s="709"/>
      <c r="U73" s="709"/>
      <c r="V73" s="709"/>
      <c r="W73" s="709"/>
      <c r="X73" s="709"/>
      <c r="Y73" s="709"/>
      <c r="Z73" s="709"/>
      <c r="AA73" s="709"/>
      <c r="AB73" s="709"/>
      <c r="AC73" s="709"/>
      <c r="AD73" s="709"/>
      <c r="AE73" s="709"/>
      <c r="AF73" s="709"/>
      <c r="AG73" s="709"/>
      <c r="AH73" s="709"/>
      <c r="AI73" s="709"/>
      <c r="AJ73" s="709"/>
      <c r="AK73" s="709"/>
      <c r="AL73" s="709"/>
      <c r="AM73" s="738"/>
      <c r="AN73" s="738"/>
      <c r="AO73" s="738"/>
      <c r="AP73" s="738"/>
      <c r="AQ73" s="738"/>
      <c r="AR73" s="738"/>
      <c r="AS73" s="738"/>
      <c r="AT73" s="738"/>
      <c r="AU73" s="738"/>
      <c r="AV73" s="738"/>
      <c r="AW73" s="738"/>
      <c r="AX73" s="738"/>
      <c r="AY73" s="738"/>
      <c r="AZ73" s="738"/>
    </row>
    <row r="74" spans="1:63" ht="14.4" x14ac:dyDescent="0.25">
      <c r="A74" s="328" t="s">
        <v>687</v>
      </c>
      <c r="B74" s="328"/>
      <c r="C74" s="328"/>
      <c r="D74" s="328"/>
      <c r="E74" s="328"/>
      <c r="F74" s="328"/>
      <c r="G74" s="328"/>
      <c r="H74" s="328"/>
      <c r="I74" s="328"/>
      <c r="J74" s="328"/>
      <c r="K74" s="328"/>
      <c r="L74" s="328"/>
      <c r="M74" s="328"/>
      <c r="N74" s="328"/>
      <c r="O74" s="328"/>
      <c r="P74" s="328"/>
      <c r="Q74" s="328"/>
      <c r="R74" s="328"/>
      <c r="S74" s="328"/>
      <c r="T74" s="328"/>
      <c r="U74" s="328"/>
      <c r="V74" s="328"/>
      <c r="W74" s="328"/>
      <c r="X74" s="328"/>
      <c r="Y74" s="328"/>
      <c r="Z74" s="328"/>
      <c r="AA74" s="328"/>
      <c r="AB74" s="328"/>
      <c r="AC74" s="328"/>
      <c r="AD74" s="328"/>
      <c r="AE74" s="328"/>
      <c r="AF74" s="328"/>
      <c r="AG74" s="328"/>
      <c r="AH74" s="328"/>
      <c r="AI74" s="328"/>
      <c r="AJ74" s="328"/>
      <c r="AK74" s="328"/>
      <c r="AL74" s="328"/>
      <c r="AM74" s="738"/>
      <c r="AN74" s="738"/>
      <c r="AO74" s="738"/>
      <c r="AP74" s="738"/>
      <c r="AQ74" s="738"/>
      <c r="AR74" s="738"/>
      <c r="AS74" s="738"/>
      <c r="AT74" s="738"/>
      <c r="AU74" s="738"/>
      <c r="AV74" s="738"/>
      <c r="AW74" s="738"/>
      <c r="AX74" s="738"/>
      <c r="AY74" s="738"/>
      <c r="AZ74" s="738"/>
    </row>
    <row r="75" spans="1:63" ht="31.5" customHeight="1" x14ac:dyDescent="0.25">
      <c r="A75" s="391" t="s">
        <v>735</v>
      </c>
      <c r="B75" s="391"/>
      <c r="C75" s="391"/>
      <c r="D75" s="391"/>
      <c r="E75" s="391"/>
      <c r="F75" s="391"/>
      <c r="G75" s="391"/>
      <c r="H75" s="391"/>
      <c r="I75" s="391"/>
      <c r="J75" s="391"/>
      <c r="K75" s="391"/>
      <c r="L75" s="391"/>
      <c r="M75" s="391"/>
      <c r="N75" s="391"/>
      <c r="O75" s="391"/>
      <c r="P75" s="391"/>
      <c r="Q75" s="391"/>
      <c r="R75" s="391"/>
      <c r="S75" s="391"/>
      <c r="T75" s="391"/>
      <c r="U75" s="391"/>
      <c r="V75" s="391"/>
      <c r="W75" s="391"/>
      <c r="X75" s="391"/>
      <c r="Y75" s="391"/>
      <c r="Z75" s="391"/>
      <c r="AA75" s="391"/>
      <c r="AB75" s="391"/>
      <c r="AC75" s="391"/>
      <c r="AD75" s="391"/>
      <c r="AE75" s="391"/>
      <c r="AF75" s="391"/>
      <c r="AG75" s="391"/>
      <c r="AH75" s="391"/>
      <c r="AI75" s="391"/>
      <c r="AJ75" s="391"/>
      <c r="AK75" s="391"/>
      <c r="AL75" s="391"/>
      <c r="AM75" s="108"/>
    </row>
    <row r="76" spans="1:63" s="86" customFormat="1" ht="33.450000000000003" customHeight="1" x14ac:dyDescent="0.2">
      <c r="A76" s="392" t="s">
        <v>736</v>
      </c>
      <c r="B76" s="392"/>
      <c r="C76" s="392"/>
      <c r="D76" s="392"/>
      <c r="E76" s="392"/>
      <c r="F76" s="392"/>
      <c r="G76" s="392"/>
      <c r="H76" s="392"/>
      <c r="I76" s="392"/>
      <c r="J76" s="392"/>
      <c r="K76" s="392"/>
      <c r="L76" s="392"/>
      <c r="M76" s="392"/>
      <c r="N76" s="392"/>
      <c r="O76" s="392"/>
      <c r="P76" s="392"/>
      <c r="Q76" s="392"/>
      <c r="R76" s="392"/>
      <c r="S76" s="392"/>
      <c r="T76" s="392"/>
      <c r="U76" s="392"/>
      <c r="V76" s="392"/>
      <c r="W76" s="392"/>
      <c r="X76" s="392"/>
      <c r="Y76" s="392"/>
      <c r="Z76" s="392"/>
      <c r="AA76" s="392"/>
      <c r="AB76" s="392"/>
      <c r="AC76" s="392"/>
      <c r="AD76" s="392"/>
      <c r="AE76" s="392"/>
      <c r="AF76" s="392"/>
      <c r="AG76" s="392"/>
      <c r="AH76" s="392"/>
      <c r="AI76" s="392"/>
      <c r="AJ76" s="392"/>
      <c r="AK76" s="392"/>
      <c r="AL76" s="392"/>
      <c r="AM76" s="101"/>
      <c r="AN76" s="115"/>
      <c r="AO76" s="115"/>
      <c r="AP76" s="115"/>
      <c r="AQ76" s="115"/>
      <c r="AR76" s="115"/>
      <c r="AS76" s="115"/>
      <c r="AT76" s="115"/>
      <c r="AU76" s="115"/>
      <c r="AV76" s="115"/>
      <c r="AW76" s="115"/>
      <c r="AX76" s="115"/>
      <c r="AY76" s="115"/>
      <c r="AZ76" s="115"/>
      <c r="BA76" s="116"/>
      <c r="BB76" s="116"/>
      <c r="BC76" s="116"/>
      <c r="BD76" s="116"/>
      <c r="BE76" s="116"/>
      <c r="BF76" s="116"/>
      <c r="BG76" s="116"/>
      <c r="BH76" s="116"/>
      <c r="BI76" s="116"/>
      <c r="BJ76" s="116"/>
      <c r="BK76" s="116"/>
    </row>
    <row r="77" spans="1:63" ht="49.5" customHeight="1" x14ac:dyDescent="0.25">
      <c r="A77" s="308" t="s">
        <v>1109</v>
      </c>
      <c r="B77" s="332"/>
      <c r="C77" s="332"/>
      <c r="D77" s="332"/>
      <c r="E77" s="332"/>
      <c r="F77" s="332"/>
      <c r="G77" s="332"/>
      <c r="H77" s="332"/>
      <c r="I77" s="332"/>
      <c r="J77" s="332"/>
      <c r="K77" s="332"/>
      <c r="L77" s="332"/>
      <c r="M77" s="332"/>
      <c r="N77" s="332"/>
      <c r="O77" s="332"/>
      <c r="P77" s="332"/>
      <c r="Q77" s="332"/>
      <c r="R77" s="332"/>
      <c r="S77" s="332"/>
      <c r="T77" s="332"/>
      <c r="U77" s="332"/>
      <c r="V77" s="332"/>
      <c r="W77" s="332"/>
      <c r="X77" s="332"/>
      <c r="Y77" s="332"/>
      <c r="Z77" s="332"/>
      <c r="AA77" s="332"/>
      <c r="AB77" s="332"/>
      <c r="AC77" s="332"/>
      <c r="AD77" s="332"/>
      <c r="AE77" s="332"/>
      <c r="AF77" s="332"/>
      <c r="AG77" s="332"/>
      <c r="AH77" s="332"/>
      <c r="AI77" s="332"/>
      <c r="AJ77" s="332"/>
      <c r="AK77" s="332"/>
      <c r="AL77" s="332"/>
      <c r="AM77" s="108"/>
    </row>
    <row r="78" spans="1:63" ht="45" customHeight="1" x14ac:dyDescent="0.25">
      <c r="A78" s="333" t="s">
        <v>742</v>
      </c>
      <c r="B78" s="333"/>
      <c r="C78" s="333"/>
      <c r="D78" s="333"/>
      <c r="E78" s="333"/>
      <c r="F78" s="333"/>
      <c r="G78" s="333"/>
      <c r="H78" s="333"/>
      <c r="I78" s="333"/>
      <c r="J78" s="333"/>
      <c r="K78" s="333"/>
      <c r="L78" s="333"/>
      <c r="M78" s="333"/>
      <c r="N78" s="333"/>
      <c r="O78" s="333"/>
      <c r="P78" s="333"/>
      <c r="Q78" s="333"/>
      <c r="R78" s="333"/>
      <c r="S78" s="333"/>
      <c r="T78" s="333"/>
      <c r="U78" s="333"/>
      <c r="V78" s="333"/>
      <c r="W78" s="333"/>
      <c r="X78" s="333"/>
      <c r="Y78" s="333"/>
      <c r="Z78" s="333"/>
      <c r="AA78" s="333"/>
      <c r="AB78" s="333"/>
      <c r="AC78" s="333"/>
      <c r="AD78" s="333"/>
      <c r="AE78" s="333"/>
      <c r="AF78" s="333"/>
      <c r="AG78" s="333"/>
      <c r="AH78" s="333"/>
      <c r="AI78" s="333"/>
      <c r="AJ78" s="333"/>
      <c r="AK78" s="333"/>
      <c r="AL78" s="333"/>
      <c r="AM78" s="101"/>
    </row>
    <row r="79" spans="1:63" ht="45" customHeight="1" x14ac:dyDescent="0.25">
      <c r="A79" s="404" t="s">
        <v>929</v>
      </c>
      <c r="B79" s="404"/>
      <c r="C79" s="404"/>
      <c r="D79" s="404"/>
      <c r="E79" s="404"/>
      <c r="F79" s="404"/>
      <c r="G79" s="404"/>
      <c r="H79" s="404"/>
      <c r="I79" s="404"/>
      <c r="J79" s="404"/>
      <c r="K79" s="404"/>
      <c r="L79" s="404"/>
      <c r="M79" s="404"/>
      <c r="N79" s="404"/>
      <c r="O79" s="404"/>
      <c r="P79" s="404"/>
      <c r="Q79" s="404"/>
      <c r="R79" s="404"/>
      <c r="S79" s="404"/>
      <c r="T79" s="404"/>
      <c r="U79" s="404"/>
      <c r="V79" s="404"/>
      <c r="W79" s="404"/>
      <c r="X79" s="404"/>
      <c r="Y79" s="404"/>
      <c r="Z79" s="404"/>
      <c r="AA79" s="404"/>
      <c r="AB79" s="404"/>
      <c r="AC79" s="404"/>
      <c r="AD79" s="404"/>
      <c r="AE79" s="404"/>
      <c r="AF79" s="404"/>
      <c r="AG79" s="404"/>
      <c r="AH79" s="404"/>
      <c r="AI79" s="404"/>
      <c r="AJ79" s="404"/>
      <c r="AK79" s="404"/>
      <c r="AL79" s="404"/>
      <c r="AM79" s="101"/>
    </row>
    <row r="80" spans="1:63" ht="204.45" customHeight="1" x14ac:dyDescent="0.3">
      <c r="A80" s="318" t="s">
        <v>1020</v>
      </c>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20"/>
      <c r="AJ80" s="321" t="e">
        <f>ROUNDDOWN(A63/(A63+A65),4)</f>
        <v>#DIV/0!</v>
      </c>
      <c r="AK80" s="322"/>
      <c r="AL80" s="322"/>
      <c r="AM80" s="101"/>
    </row>
    <row r="81" spans="1:41" ht="75.45" customHeight="1" x14ac:dyDescent="0.25">
      <c r="A81" s="314" t="s">
        <v>1031</v>
      </c>
      <c r="B81" s="315"/>
      <c r="C81" s="315"/>
      <c r="D81" s="315"/>
      <c r="E81" s="315"/>
      <c r="F81" s="315"/>
      <c r="G81" s="315"/>
      <c r="H81" s="315"/>
      <c r="I81" s="315"/>
      <c r="J81" s="315"/>
      <c r="K81" s="315"/>
      <c r="L81" s="315"/>
      <c r="M81" s="315"/>
      <c r="N81" s="315"/>
      <c r="O81" s="315"/>
      <c r="P81" s="315"/>
      <c r="Q81" s="315"/>
      <c r="R81" s="315"/>
      <c r="S81" s="315"/>
      <c r="T81" s="315"/>
      <c r="U81" s="315"/>
      <c r="V81" s="315"/>
      <c r="W81" s="315"/>
      <c r="X81" s="315"/>
      <c r="Y81" s="315"/>
      <c r="Z81" s="315"/>
      <c r="AA81" s="315"/>
      <c r="AB81" s="315"/>
      <c r="AC81" s="315"/>
      <c r="AD81" s="315"/>
      <c r="AE81" s="315"/>
      <c r="AF81" s="315"/>
      <c r="AG81" s="315"/>
      <c r="AH81" s="315"/>
      <c r="AI81" s="315"/>
      <c r="AJ81" s="315"/>
      <c r="AK81" s="315"/>
      <c r="AL81" s="315"/>
      <c r="AM81" s="101"/>
    </row>
    <row r="82" spans="1:41" ht="130.5" customHeight="1" x14ac:dyDescent="0.25">
      <c r="A82" s="316"/>
      <c r="B82" s="317"/>
      <c r="C82" s="317"/>
      <c r="D82" s="317"/>
      <c r="E82" s="317"/>
      <c r="F82" s="317"/>
      <c r="G82" s="317"/>
      <c r="H82" s="317"/>
      <c r="I82" s="317"/>
      <c r="J82" s="317"/>
      <c r="K82" s="317"/>
      <c r="L82" s="317"/>
      <c r="M82" s="317"/>
      <c r="N82" s="317"/>
      <c r="O82" s="317"/>
      <c r="P82" s="317"/>
      <c r="Q82" s="317"/>
      <c r="R82" s="317"/>
      <c r="S82" s="317"/>
      <c r="T82" s="317"/>
      <c r="U82" s="317"/>
      <c r="V82" s="317"/>
      <c r="W82" s="317"/>
      <c r="X82" s="317"/>
      <c r="Y82" s="317"/>
      <c r="Z82" s="317"/>
      <c r="AA82" s="317"/>
      <c r="AB82" s="317"/>
      <c r="AC82" s="317"/>
      <c r="AD82" s="317"/>
      <c r="AE82" s="317"/>
      <c r="AF82" s="317"/>
      <c r="AG82" s="317"/>
      <c r="AH82" s="317"/>
      <c r="AI82" s="317"/>
      <c r="AJ82" s="317"/>
      <c r="AK82" s="317"/>
      <c r="AL82" s="317"/>
      <c r="AM82" s="101"/>
    </row>
    <row r="83" spans="1:41" ht="146.69999999999999" customHeight="1" x14ac:dyDescent="0.25">
      <c r="A83" s="308" t="s">
        <v>1110</v>
      </c>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08"/>
      <c r="AH83" s="308"/>
      <c r="AI83" s="308"/>
      <c r="AJ83" s="308"/>
      <c r="AK83" s="308"/>
      <c r="AL83" s="308"/>
      <c r="AM83" s="108"/>
    </row>
    <row r="84" spans="1:41" s="60" customFormat="1" ht="84" customHeight="1" x14ac:dyDescent="0.25">
      <c r="A84" s="135" t="s">
        <v>127</v>
      </c>
      <c r="B84" s="311" t="s">
        <v>812</v>
      </c>
      <c r="C84" s="312"/>
      <c r="D84" s="312"/>
      <c r="E84" s="312"/>
      <c r="F84" s="313"/>
      <c r="G84" s="325" t="s">
        <v>813</v>
      </c>
      <c r="H84" s="325"/>
      <c r="I84" s="325"/>
      <c r="J84" s="325"/>
      <c r="K84" s="325"/>
      <c r="L84" s="325" t="s">
        <v>185</v>
      </c>
      <c r="M84" s="325"/>
      <c r="N84" s="325"/>
      <c r="O84" s="325"/>
      <c r="P84" s="325" t="s">
        <v>184</v>
      </c>
      <c r="Q84" s="325"/>
      <c r="R84" s="325"/>
      <c r="S84" s="325"/>
      <c r="T84" s="325" t="s">
        <v>665</v>
      </c>
      <c r="U84" s="325"/>
      <c r="V84" s="325"/>
      <c r="W84" s="325"/>
      <c r="X84" s="325"/>
      <c r="Y84" s="325"/>
      <c r="Z84" s="325"/>
      <c r="AA84" s="325" t="s">
        <v>664</v>
      </c>
      <c r="AB84" s="325"/>
      <c r="AC84" s="325"/>
      <c r="AD84" s="325"/>
      <c r="AE84" s="325"/>
      <c r="AF84" s="325"/>
      <c r="AG84" s="325"/>
      <c r="AH84" s="325" t="s">
        <v>179</v>
      </c>
      <c r="AI84" s="325"/>
      <c r="AJ84" s="325"/>
      <c r="AK84" s="325" t="s">
        <v>186</v>
      </c>
      <c r="AL84" s="325"/>
      <c r="AM84" s="144" t="s">
        <v>221</v>
      </c>
      <c r="AN84" s="61"/>
      <c r="AO84" s="61"/>
    </row>
    <row r="85" spans="1:41" s="60" customFormat="1" ht="14.1" customHeight="1" x14ac:dyDescent="0.25">
      <c r="A85" s="135">
        <v>1</v>
      </c>
      <c r="B85" s="311">
        <v>2</v>
      </c>
      <c r="C85" s="312"/>
      <c r="D85" s="312"/>
      <c r="E85" s="312"/>
      <c r="F85" s="312"/>
      <c r="G85" s="311">
        <v>3</v>
      </c>
      <c r="H85" s="312"/>
      <c r="I85" s="312"/>
      <c r="J85" s="312"/>
      <c r="K85" s="313"/>
      <c r="L85" s="311">
        <v>4</v>
      </c>
      <c r="M85" s="312"/>
      <c r="N85" s="312"/>
      <c r="O85" s="313"/>
      <c r="P85" s="311">
        <v>5</v>
      </c>
      <c r="Q85" s="312"/>
      <c r="R85" s="312"/>
      <c r="S85" s="313"/>
      <c r="T85" s="311">
        <v>6</v>
      </c>
      <c r="U85" s="312"/>
      <c r="V85" s="312"/>
      <c r="W85" s="312"/>
      <c r="X85" s="312"/>
      <c r="Y85" s="312"/>
      <c r="Z85" s="313"/>
      <c r="AA85" s="311" t="s">
        <v>821</v>
      </c>
      <c r="AB85" s="312"/>
      <c r="AC85" s="312"/>
      <c r="AD85" s="312"/>
      <c r="AE85" s="312"/>
      <c r="AF85" s="312"/>
      <c r="AG85" s="313"/>
      <c r="AH85" s="311">
        <v>8</v>
      </c>
      <c r="AI85" s="312"/>
      <c r="AJ85" s="313"/>
      <c r="AK85" s="311" t="s">
        <v>666</v>
      </c>
      <c r="AL85" s="313"/>
      <c r="AM85" s="144"/>
      <c r="AN85" s="61"/>
      <c r="AO85" s="61"/>
    </row>
    <row r="86" spans="1:41" s="223" customFormat="1" ht="36" customHeight="1" x14ac:dyDescent="0.25">
      <c r="A86" s="128">
        <v>1</v>
      </c>
      <c r="B86" s="303"/>
      <c r="C86" s="304"/>
      <c r="D86" s="304"/>
      <c r="E86" s="304"/>
      <c r="F86" s="305"/>
      <c r="G86" s="300"/>
      <c r="H86" s="301"/>
      <c r="I86" s="301"/>
      <c r="J86" s="301"/>
      <c r="K86" s="302"/>
      <c r="L86" s="306"/>
      <c r="M86" s="307"/>
      <c r="N86" s="307"/>
      <c r="O86" s="307"/>
      <c r="P86" s="294">
        <f>IF(OR(B86=Słowniki!A$46,B86=Słowniki!A$56,B86=Słowniki!A$58),0.08,0.23)</f>
        <v>0.23</v>
      </c>
      <c r="Q86" s="295"/>
      <c r="R86" s="295"/>
      <c r="S86" s="295"/>
      <c r="T86" s="528">
        <v>1</v>
      </c>
      <c r="U86" s="528"/>
      <c r="V86" s="528"/>
      <c r="W86" s="528"/>
      <c r="X86" s="528"/>
      <c r="Y86" s="528"/>
      <c r="Z86" s="529"/>
      <c r="AA86" s="526">
        <f>L86+ROUND(L86*P86*T86,2)</f>
        <v>0</v>
      </c>
      <c r="AB86" s="530"/>
      <c r="AC86" s="530"/>
      <c r="AD86" s="530"/>
      <c r="AE86" s="530"/>
      <c r="AF86" s="530"/>
      <c r="AG86" s="527"/>
      <c r="AH86" s="531" t="e">
        <f>AJ$80</f>
        <v>#DIV/0!</v>
      </c>
      <c r="AI86" s="532"/>
      <c r="AJ86" s="533"/>
      <c r="AK86" s="526" t="e">
        <f>ROUND(AA86*AH86,2)</f>
        <v>#DIV/0!</v>
      </c>
      <c r="AL86" s="527"/>
      <c r="AM86" s="221"/>
      <c r="AN86" s="221"/>
      <c r="AO86" s="222"/>
    </row>
    <row r="87" spans="1:41" s="223" customFormat="1" ht="36" customHeight="1" x14ac:dyDescent="0.25">
      <c r="A87" s="128">
        <v>2</v>
      </c>
      <c r="B87" s="303"/>
      <c r="C87" s="304"/>
      <c r="D87" s="304"/>
      <c r="E87" s="304"/>
      <c r="F87" s="305"/>
      <c r="G87" s="300"/>
      <c r="H87" s="301"/>
      <c r="I87" s="301"/>
      <c r="J87" s="301"/>
      <c r="K87" s="302"/>
      <c r="L87" s="306"/>
      <c r="M87" s="307"/>
      <c r="N87" s="307"/>
      <c r="O87" s="307"/>
      <c r="P87" s="294">
        <f>IF(OR(B87=Słowniki!A$46,B87=Słowniki!A$56,B87=Słowniki!A$58),0.08,0.23)</f>
        <v>0.23</v>
      </c>
      <c r="Q87" s="295"/>
      <c r="R87" s="295"/>
      <c r="S87" s="295"/>
      <c r="T87" s="528">
        <v>1</v>
      </c>
      <c r="U87" s="528"/>
      <c r="V87" s="528"/>
      <c r="W87" s="528"/>
      <c r="X87" s="528"/>
      <c r="Y87" s="528"/>
      <c r="Z87" s="529"/>
      <c r="AA87" s="526">
        <f t="shared" ref="AA87:AA107" si="0">L87+ROUND(L87*P87*T87,2)</f>
        <v>0</v>
      </c>
      <c r="AB87" s="530"/>
      <c r="AC87" s="530"/>
      <c r="AD87" s="530"/>
      <c r="AE87" s="530"/>
      <c r="AF87" s="530"/>
      <c r="AG87" s="527"/>
      <c r="AH87" s="531" t="e">
        <f t="shared" ref="AH87:AH107" si="1">AJ$80</f>
        <v>#DIV/0!</v>
      </c>
      <c r="AI87" s="532"/>
      <c r="AJ87" s="533"/>
      <c r="AK87" s="526" t="e">
        <f t="shared" ref="AK87:AK107" si="2">ROUND(AA87*AH87,2)</f>
        <v>#DIV/0!</v>
      </c>
      <c r="AL87" s="527"/>
      <c r="AM87" s="221"/>
      <c r="AN87" s="221"/>
      <c r="AO87" s="222"/>
    </row>
    <row r="88" spans="1:41" s="223" customFormat="1" ht="36" customHeight="1" x14ac:dyDescent="0.25">
      <c r="A88" s="128">
        <v>3</v>
      </c>
      <c r="B88" s="303"/>
      <c r="C88" s="304"/>
      <c r="D88" s="304"/>
      <c r="E88" s="304"/>
      <c r="F88" s="305"/>
      <c r="G88" s="300"/>
      <c r="H88" s="301"/>
      <c r="I88" s="301"/>
      <c r="J88" s="301"/>
      <c r="K88" s="302"/>
      <c r="L88" s="306"/>
      <c r="M88" s="307"/>
      <c r="N88" s="307"/>
      <c r="O88" s="307"/>
      <c r="P88" s="294">
        <f>IF(OR(B88=Słowniki!A$46,B88=Słowniki!A$56,B88=Słowniki!A$58),0.08,0.23)</f>
        <v>0.23</v>
      </c>
      <c r="Q88" s="295"/>
      <c r="R88" s="295"/>
      <c r="S88" s="295"/>
      <c r="T88" s="528">
        <v>1</v>
      </c>
      <c r="U88" s="528"/>
      <c r="V88" s="528"/>
      <c r="W88" s="528"/>
      <c r="X88" s="528"/>
      <c r="Y88" s="528"/>
      <c r="Z88" s="529"/>
      <c r="AA88" s="526">
        <f t="shared" si="0"/>
        <v>0</v>
      </c>
      <c r="AB88" s="530"/>
      <c r="AC88" s="530"/>
      <c r="AD88" s="530"/>
      <c r="AE88" s="530"/>
      <c r="AF88" s="530"/>
      <c r="AG88" s="527"/>
      <c r="AH88" s="531" t="e">
        <f t="shared" si="1"/>
        <v>#DIV/0!</v>
      </c>
      <c r="AI88" s="532"/>
      <c r="AJ88" s="533"/>
      <c r="AK88" s="526" t="e">
        <f t="shared" si="2"/>
        <v>#DIV/0!</v>
      </c>
      <c r="AL88" s="527"/>
      <c r="AM88" s="221"/>
      <c r="AN88" s="221"/>
      <c r="AO88" s="222"/>
    </row>
    <row r="89" spans="1:41" s="223" customFormat="1" ht="36" customHeight="1" x14ac:dyDescent="0.25">
      <c r="A89" s="128">
        <v>4</v>
      </c>
      <c r="B89" s="303"/>
      <c r="C89" s="304"/>
      <c r="D89" s="304"/>
      <c r="E89" s="304"/>
      <c r="F89" s="305"/>
      <c r="G89" s="300"/>
      <c r="H89" s="301"/>
      <c r="I89" s="301"/>
      <c r="J89" s="301"/>
      <c r="K89" s="302"/>
      <c r="L89" s="306"/>
      <c r="M89" s="307"/>
      <c r="N89" s="307"/>
      <c r="O89" s="307"/>
      <c r="P89" s="294">
        <f>IF(OR(B89=Słowniki!A$46,B89=Słowniki!A$56,B89=Słowniki!A$58),0.08,0.23)</f>
        <v>0.23</v>
      </c>
      <c r="Q89" s="295"/>
      <c r="R89" s="295"/>
      <c r="S89" s="295"/>
      <c r="T89" s="528">
        <v>1</v>
      </c>
      <c r="U89" s="528"/>
      <c r="V89" s="528"/>
      <c r="W89" s="528"/>
      <c r="X89" s="528"/>
      <c r="Y89" s="528"/>
      <c r="Z89" s="529"/>
      <c r="AA89" s="526">
        <f t="shared" si="0"/>
        <v>0</v>
      </c>
      <c r="AB89" s="530"/>
      <c r="AC89" s="530"/>
      <c r="AD89" s="530"/>
      <c r="AE89" s="530"/>
      <c r="AF89" s="530"/>
      <c r="AG89" s="527"/>
      <c r="AH89" s="531" t="e">
        <f t="shared" si="1"/>
        <v>#DIV/0!</v>
      </c>
      <c r="AI89" s="532"/>
      <c r="AJ89" s="533"/>
      <c r="AK89" s="526" t="e">
        <f t="shared" si="2"/>
        <v>#DIV/0!</v>
      </c>
      <c r="AL89" s="527"/>
      <c r="AM89" s="221"/>
      <c r="AN89" s="221"/>
      <c r="AO89" s="222"/>
    </row>
    <row r="90" spans="1:41" s="223" customFormat="1" ht="36" customHeight="1" x14ac:dyDescent="0.25">
      <c r="A90" s="128">
        <v>5</v>
      </c>
      <c r="B90" s="303"/>
      <c r="C90" s="304"/>
      <c r="D90" s="304"/>
      <c r="E90" s="304"/>
      <c r="F90" s="305"/>
      <c r="G90" s="300"/>
      <c r="H90" s="301"/>
      <c r="I90" s="301"/>
      <c r="J90" s="301"/>
      <c r="K90" s="302"/>
      <c r="L90" s="306"/>
      <c r="M90" s="307"/>
      <c r="N90" s="307"/>
      <c r="O90" s="307"/>
      <c r="P90" s="294">
        <f>IF(OR(B90=Słowniki!A$46,B90=Słowniki!A$56,B90=Słowniki!A$58),0.08,0.23)</f>
        <v>0.23</v>
      </c>
      <c r="Q90" s="295"/>
      <c r="R90" s="295"/>
      <c r="S90" s="295"/>
      <c r="T90" s="528">
        <v>1</v>
      </c>
      <c r="U90" s="528"/>
      <c r="V90" s="528"/>
      <c r="W90" s="528"/>
      <c r="X90" s="528"/>
      <c r="Y90" s="528"/>
      <c r="Z90" s="529"/>
      <c r="AA90" s="526">
        <f t="shared" si="0"/>
        <v>0</v>
      </c>
      <c r="AB90" s="530"/>
      <c r="AC90" s="530"/>
      <c r="AD90" s="530"/>
      <c r="AE90" s="530"/>
      <c r="AF90" s="530"/>
      <c r="AG90" s="527"/>
      <c r="AH90" s="531" t="e">
        <f t="shared" si="1"/>
        <v>#DIV/0!</v>
      </c>
      <c r="AI90" s="532"/>
      <c r="AJ90" s="533"/>
      <c r="AK90" s="526" t="e">
        <f t="shared" si="2"/>
        <v>#DIV/0!</v>
      </c>
      <c r="AL90" s="527"/>
      <c r="AM90" s="221"/>
      <c r="AN90" s="221"/>
      <c r="AO90" s="222"/>
    </row>
    <row r="91" spans="1:41" s="223" customFormat="1" ht="36" customHeight="1" x14ac:dyDescent="0.25">
      <c r="A91" s="128">
        <v>6</v>
      </c>
      <c r="B91" s="303"/>
      <c r="C91" s="304"/>
      <c r="D91" s="304"/>
      <c r="E91" s="304"/>
      <c r="F91" s="305"/>
      <c r="G91" s="300"/>
      <c r="H91" s="301"/>
      <c r="I91" s="301"/>
      <c r="J91" s="301"/>
      <c r="K91" s="302"/>
      <c r="L91" s="306"/>
      <c r="M91" s="307"/>
      <c r="N91" s="307"/>
      <c r="O91" s="307"/>
      <c r="P91" s="294">
        <f>IF(OR(B91=Słowniki!A$46,B91=Słowniki!A$56,B91=Słowniki!A$58),0.08,0.23)</f>
        <v>0.23</v>
      </c>
      <c r="Q91" s="295"/>
      <c r="R91" s="295"/>
      <c r="S91" s="295"/>
      <c r="T91" s="528">
        <v>1</v>
      </c>
      <c r="U91" s="528"/>
      <c r="V91" s="528"/>
      <c r="W91" s="528"/>
      <c r="X91" s="528"/>
      <c r="Y91" s="528"/>
      <c r="Z91" s="529"/>
      <c r="AA91" s="526">
        <f t="shared" si="0"/>
        <v>0</v>
      </c>
      <c r="AB91" s="530"/>
      <c r="AC91" s="530"/>
      <c r="AD91" s="530"/>
      <c r="AE91" s="530"/>
      <c r="AF91" s="530"/>
      <c r="AG91" s="527"/>
      <c r="AH91" s="531" t="e">
        <f t="shared" si="1"/>
        <v>#DIV/0!</v>
      </c>
      <c r="AI91" s="532"/>
      <c r="AJ91" s="533"/>
      <c r="AK91" s="526" t="e">
        <f t="shared" si="2"/>
        <v>#DIV/0!</v>
      </c>
      <c r="AL91" s="527"/>
      <c r="AM91" s="221"/>
      <c r="AN91" s="221"/>
      <c r="AO91" s="222"/>
    </row>
    <row r="92" spans="1:41" s="223" customFormat="1" ht="36" customHeight="1" x14ac:dyDescent="0.25">
      <c r="A92" s="128">
        <v>7</v>
      </c>
      <c r="B92" s="303"/>
      <c r="C92" s="304"/>
      <c r="D92" s="304"/>
      <c r="E92" s="304"/>
      <c r="F92" s="305"/>
      <c r="G92" s="300"/>
      <c r="H92" s="301"/>
      <c r="I92" s="301"/>
      <c r="J92" s="301"/>
      <c r="K92" s="302"/>
      <c r="L92" s="306"/>
      <c r="M92" s="307"/>
      <c r="N92" s="307"/>
      <c r="O92" s="307"/>
      <c r="P92" s="294">
        <f>IF(OR(B92=Słowniki!A$46,B92=Słowniki!A$56,B92=Słowniki!A$58),0.08,0.23)</f>
        <v>0.23</v>
      </c>
      <c r="Q92" s="295"/>
      <c r="R92" s="295"/>
      <c r="S92" s="295"/>
      <c r="T92" s="528">
        <v>1</v>
      </c>
      <c r="U92" s="528"/>
      <c r="V92" s="528"/>
      <c r="W92" s="528"/>
      <c r="X92" s="528"/>
      <c r="Y92" s="528"/>
      <c r="Z92" s="529"/>
      <c r="AA92" s="526">
        <f t="shared" si="0"/>
        <v>0</v>
      </c>
      <c r="AB92" s="530"/>
      <c r="AC92" s="530"/>
      <c r="AD92" s="530"/>
      <c r="AE92" s="530"/>
      <c r="AF92" s="530"/>
      <c r="AG92" s="527"/>
      <c r="AH92" s="531" t="e">
        <f t="shared" si="1"/>
        <v>#DIV/0!</v>
      </c>
      <c r="AI92" s="532"/>
      <c r="AJ92" s="533"/>
      <c r="AK92" s="526" t="e">
        <f t="shared" si="2"/>
        <v>#DIV/0!</v>
      </c>
      <c r="AL92" s="527"/>
      <c r="AM92" s="221"/>
      <c r="AN92" s="221"/>
      <c r="AO92" s="222"/>
    </row>
    <row r="93" spans="1:41" s="223" customFormat="1" ht="36" customHeight="1" x14ac:dyDescent="0.25">
      <c r="A93" s="128">
        <v>8</v>
      </c>
      <c r="B93" s="303"/>
      <c r="C93" s="304"/>
      <c r="D93" s="304"/>
      <c r="E93" s="304"/>
      <c r="F93" s="305"/>
      <c r="G93" s="300"/>
      <c r="H93" s="301"/>
      <c r="I93" s="301"/>
      <c r="J93" s="301"/>
      <c r="K93" s="302"/>
      <c r="L93" s="306"/>
      <c r="M93" s="307"/>
      <c r="N93" s="307"/>
      <c r="O93" s="307"/>
      <c r="P93" s="294">
        <f>IF(OR(B93=Słowniki!A$46,B93=Słowniki!A$56,B93=Słowniki!A$58),0.08,0.23)</f>
        <v>0.23</v>
      </c>
      <c r="Q93" s="295"/>
      <c r="R93" s="295"/>
      <c r="S93" s="295"/>
      <c r="T93" s="528">
        <v>1</v>
      </c>
      <c r="U93" s="528"/>
      <c r="V93" s="528"/>
      <c r="W93" s="528"/>
      <c r="X93" s="528"/>
      <c r="Y93" s="528"/>
      <c r="Z93" s="529"/>
      <c r="AA93" s="526">
        <f t="shared" si="0"/>
        <v>0</v>
      </c>
      <c r="AB93" s="530"/>
      <c r="AC93" s="530"/>
      <c r="AD93" s="530"/>
      <c r="AE93" s="530"/>
      <c r="AF93" s="530"/>
      <c r="AG93" s="527"/>
      <c r="AH93" s="531" t="e">
        <f t="shared" si="1"/>
        <v>#DIV/0!</v>
      </c>
      <c r="AI93" s="532"/>
      <c r="AJ93" s="533"/>
      <c r="AK93" s="526" t="e">
        <f t="shared" si="2"/>
        <v>#DIV/0!</v>
      </c>
      <c r="AL93" s="527"/>
      <c r="AM93" s="221"/>
      <c r="AN93" s="221"/>
      <c r="AO93" s="222"/>
    </row>
    <row r="94" spans="1:41" s="223" customFormat="1" ht="36" customHeight="1" x14ac:dyDescent="0.25">
      <c r="A94" s="128">
        <v>9</v>
      </c>
      <c r="B94" s="303"/>
      <c r="C94" s="304"/>
      <c r="D94" s="304"/>
      <c r="E94" s="304"/>
      <c r="F94" s="305"/>
      <c r="G94" s="300"/>
      <c r="H94" s="301"/>
      <c r="I94" s="301"/>
      <c r="J94" s="301"/>
      <c r="K94" s="302"/>
      <c r="L94" s="306"/>
      <c r="M94" s="307"/>
      <c r="N94" s="307"/>
      <c r="O94" s="307"/>
      <c r="P94" s="294">
        <f>IF(OR(B94=Słowniki!A$46,B94=Słowniki!A$56,B94=Słowniki!A$58),0.08,0.23)</f>
        <v>0.23</v>
      </c>
      <c r="Q94" s="295"/>
      <c r="R94" s="295"/>
      <c r="S94" s="295"/>
      <c r="T94" s="528">
        <v>1</v>
      </c>
      <c r="U94" s="528"/>
      <c r="V94" s="528"/>
      <c r="W94" s="528"/>
      <c r="X94" s="528"/>
      <c r="Y94" s="528"/>
      <c r="Z94" s="529"/>
      <c r="AA94" s="526">
        <f t="shared" si="0"/>
        <v>0</v>
      </c>
      <c r="AB94" s="530"/>
      <c r="AC94" s="530"/>
      <c r="AD94" s="530"/>
      <c r="AE94" s="530"/>
      <c r="AF94" s="530"/>
      <c r="AG94" s="527"/>
      <c r="AH94" s="531" t="e">
        <f t="shared" si="1"/>
        <v>#DIV/0!</v>
      </c>
      <c r="AI94" s="532"/>
      <c r="AJ94" s="533"/>
      <c r="AK94" s="526" t="e">
        <f t="shared" si="2"/>
        <v>#DIV/0!</v>
      </c>
      <c r="AL94" s="527"/>
      <c r="AM94" s="221"/>
      <c r="AN94" s="221"/>
      <c r="AO94" s="222"/>
    </row>
    <row r="95" spans="1:41" s="223" customFormat="1" ht="36" customHeight="1" x14ac:dyDescent="0.25">
      <c r="A95" s="128">
        <v>10</v>
      </c>
      <c r="B95" s="303"/>
      <c r="C95" s="304"/>
      <c r="D95" s="304"/>
      <c r="E95" s="304"/>
      <c r="F95" s="305"/>
      <c r="G95" s="300"/>
      <c r="H95" s="301"/>
      <c r="I95" s="301"/>
      <c r="J95" s="301"/>
      <c r="K95" s="302"/>
      <c r="L95" s="306"/>
      <c r="M95" s="307"/>
      <c r="N95" s="307"/>
      <c r="O95" s="307"/>
      <c r="P95" s="294">
        <f>IF(OR(B95=Słowniki!A$46,B95=Słowniki!A$56,B95=Słowniki!A$58),0.08,0.23)</f>
        <v>0.23</v>
      </c>
      <c r="Q95" s="295"/>
      <c r="R95" s="295"/>
      <c r="S95" s="295"/>
      <c r="T95" s="528">
        <v>1</v>
      </c>
      <c r="U95" s="528"/>
      <c r="V95" s="528"/>
      <c r="W95" s="528"/>
      <c r="X95" s="528"/>
      <c r="Y95" s="528"/>
      <c r="Z95" s="529"/>
      <c r="AA95" s="526">
        <f>L95+ROUND(L95*P95*T95,2)</f>
        <v>0</v>
      </c>
      <c r="AB95" s="530"/>
      <c r="AC95" s="530"/>
      <c r="AD95" s="530"/>
      <c r="AE95" s="530"/>
      <c r="AF95" s="530"/>
      <c r="AG95" s="527"/>
      <c r="AH95" s="531" t="e">
        <f t="shared" si="1"/>
        <v>#DIV/0!</v>
      </c>
      <c r="AI95" s="532"/>
      <c r="AJ95" s="533"/>
      <c r="AK95" s="526" t="e">
        <f t="shared" si="2"/>
        <v>#DIV/0!</v>
      </c>
      <c r="AL95" s="527"/>
      <c r="AM95" s="221"/>
      <c r="AN95" s="221"/>
      <c r="AO95" s="222"/>
    </row>
    <row r="96" spans="1:41" s="223" customFormat="1" ht="36" customHeight="1" x14ac:dyDescent="0.25">
      <c r="A96" s="128">
        <v>11</v>
      </c>
      <c r="B96" s="303"/>
      <c r="C96" s="304"/>
      <c r="D96" s="304"/>
      <c r="E96" s="304"/>
      <c r="F96" s="305"/>
      <c r="G96" s="300"/>
      <c r="H96" s="301"/>
      <c r="I96" s="301"/>
      <c r="J96" s="301"/>
      <c r="K96" s="302"/>
      <c r="L96" s="306"/>
      <c r="M96" s="307"/>
      <c r="N96" s="307"/>
      <c r="O96" s="307"/>
      <c r="P96" s="294">
        <f>IF(OR(B96=Słowniki!A$46,B96=Słowniki!A$56,B96=Słowniki!A$58),0.08,0.23)</f>
        <v>0.23</v>
      </c>
      <c r="Q96" s="295"/>
      <c r="R96" s="295"/>
      <c r="S96" s="295"/>
      <c r="T96" s="528">
        <v>1</v>
      </c>
      <c r="U96" s="528"/>
      <c r="V96" s="528"/>
      <c r="W96" s="528"/>
      <c r="X96" s="528"/>
      <c r="Y96" s="528"/>
      <c r="Z96" s="529"/>
      <c r="AA96" s="526">
        <f t="shared" si="0"/>
        <v>0</v>
      </c>
      <c r="AB96" s="530"/>
      <c r="AC96" s="530"/>
      <c r="AD96" s="530"/>
      <c r="AE96" s="530"/>
      <c r="AF96" s="530"/>
      <c r="AG96" s="527"/>
      <c r="AH96" s="531" t="e">
        <f t="shared" si="1"/>
        <v>#DIV/0!</v>
      </c>
      <c r="AI96" s="532"/>
      <c r="AJ96" s="533"/>
      <c r="AK96" s="526" t="e">
        <f t="shared" si="2"/>
        <v>#DIV/0!</v>
      </c>
      <c r="AL96" s="527"/>
      <c r="AM96" s="221"/>
      <c r="AN96" s="221"/>
      <c r="AO96" s="222"/>
    </row>
    <row r="97" spans="1:41" s="223" customFormat="1" ht="36" customHeight="1" x14ac:dyDescent="0.25">
      <c r="A97" s="128">
        <v>12</v>
      </c>
      <c r="B97" s="303"/>
      <c r="C97" s="304"/>
      <c r="D97" s="304"/>
      <c r="E97" s="304"/>
      <c r="F97" s="305"/>
      <c r="G97" s="300"/>
      <c r="H97" s="301"/>
      <c r="I97" s="301"/>
      <c r="J97" s="301"/>
      <c r="K97" s="302"/>
      <c r="L97" s="306"/>
      <c r="M97" s="307"/>
      <c r="N97" s="307"/>
      <c r="O97" s="307"/>
      <c r="P97" s="294">
        <f>IF(OR(B97=Słowniki!A$46,B97=Słowniki!A$56,B97=Słowniki!A$58),0.08,0.23)</f>
        <v>0.23</v>
      </c>
      <c r="Q97" s="295"/>
      <c r="R97" s="295"/>
      <c r="S97" s="295"/>
      <c r="T97" s="528">
        <v>1</v>
      </c>
      <c r="U97" s="528"/>
      <c r="V97" s="528"/>
      <c r="W97" s="528"/>
      <c r="X97" s="528"/>
      <c r="Y97" s="528"/>
      <c r="Z97" s="529"/>
      <c r="AA97" s="526">
        <f t="shared" si="0"/>
        <v>0</v>
      </c>
      <c r="AB97" s="530"/>
      <c r="AC97" s="530"/>
      <c r="AD97" s="530"/>
      <c r="AE97" s="530"/>
      <c r="AF97" s="530"/>
      <c r="AG97" s="527"/>
      <c r="AH97" s="531" t="e">
        <f t="shared" si="1"/>
        <v>#DIV/0!</v>
      </c>
      <c r="AI97" s="532"/>
      <c r="AJ97" s="533"/>
      <c r="AK97" s="526" t="e">
        <f t="shared" si="2"/>
        <v>#DIV/0!</v>
      </c>
      <c r="AL97" s="527"/>
      <c r="AM97" s="221"/>
      <c r="AN97" s="221"/>
      <c r="AO97" s="222"/>
    </row>
    <row r="98" spans="1:41" s="223" customFormat="1" ht="36" customHeight="1" x14ac:dyDescent="0.25">
      <c r="A98" s="128">
        <v>13</v>
      </c>
      <c r="B98" s="303"/>
      <c r="C98" s="304"/>
      <c r="D98" s="304"/>
      <c r="E98" s="304"/>
      <c r="F98" s="305"/>
      <c r="G98" s="300"/>
      <c r="H98" s="301"/>
      <c r="I98" s="301"/>
      <c r="J98" s="301"/>
      <c r="K98" s="302"/>
      <c r="L98" s="306"/>
      <c r="M98" s="307"/>
      <c r="N98" s="307"/>
      <c r="O98" s="307"/>
      <c r="P98" s="294">
        <f>IF(OR(B98=Słowniki!A$46,B98=Słowniki!A$56,B98=Słowniki!A$58),0.08,0.23)</f>
        <v>0.23</v>
      </c>
      <c r="Q98" s="295"/>
      <c r="R98" s="295"/>
      <c r="S98" s="295"/>
      <c r="T98" s="528">
        <v>1</v>
      </c>
      <c r="U98" s="528"/>
      <c r="V98" s="528"/>
      <c r="W98" s="528"/>
      <c r="X98" s="528"/>
      <c r="Y98" s="528"/>
      <c r="Z98" s="529"/>
      <c r="AA98" s="526">
        <f t="shared" si="0"/>
        <v>0</v>
      </c>
      <c r="AB98" s="530"/>
      <c r="AC98" s="530"/>
      <c r="AD98" s="530"/>
      <c r="AE98" s="530"/>
      <c r="AF98" s="530"/>
      <c r="AG98" s="527"/>
      <c r="AH98" s="531" t="e">
        <f t="shared" si="1"/>
        <v>#DIV/0!</v>
      </c>
      <c r="AI98" s="532"/>
      <c r="AJ98" s="533"/>
      <c r="AK98" s="526" t="e">
        <f t="shared" si="2"/>
        <v>#DIV/0!</v>
      </c>
      <c r="AL98" s="527"/>
      <c r="AM98" s="221"/>
      <c r="AN98" s="221"/>
      <c r="AO98" s="222"/>
    </row>
    <row r="99" spans="1:41" s="223" customFormat="1" ht="36" customHeight="1" x14ac:dyDescent="0.25">
      <c r="A99" s="128">
        <v>14</v>
      </c>
      <c r="B99" s="303"/>
      <c r="C99" s="304"/>
      <c r="D99" s="304"/>
      <c r="E99" s="304"/>
      <c r="F99" s="305"/>
      <c r="G99" s="300"/>
      <c r="H99" s="301"/>
      <c r="I99" s="301"/>
      <c r="J99" s="301"/>
      <c r="K99" s="302"/>
      <c r="L99" s="306"/>
      <c r="M99" s="307"/>
      <c r="N99" s="307"/>
      <c r="O99" s="307"/>
      <c r="P99" s="294">
        <f>IF(OR(B99=Słowniki!A$46,B99=Słowniki!A$56,B99=Słowniki!A$58),0.08,0.23)</f>
        <v>0.23</v>
      </c>
      <c r="Q99" s="295"/>
      <c r="R99" s="295"/>
      <c r="S99" s="295"/>
      <c r="T99" s="528">
        <v>1</v>
      </c>
      <c r="U99" s="528"/>
      <c r="V99" s="528"/>
      <c r="W99" s="528"/>
      <c r="X99" s="528"/>
      <c r="Y99" s="528"/>
      <c r="Z99" s="529"/>
      <c r="AA99" s="526">
        <f t="shared" si="0"/>
        <v>0</v>
      </c>
      <c r="AB99" s="530"/>
      <c r="AC99" s="530"/>
      <c r="AD99" s="530"/>
      <c r="AE99" s="530"/>
      <c r="AF99" s="530"/>
      <c r="AG99" s="527"/>
      <c r="AH99" s="531" t="e">
        <f t="shared" si="1"/>
        <v>#DIV/0!</v>
      </c>
      <c r="AI99" s="532"/>
      <c r="AJ99" s="533"/>
      <c r="AK99" s="526" t="e">
        <f t="shared" si="2"/>
        <v>#DIV/0!</v>
      </c>
      <c r="AL99" s="527"/>
      <c r="AM99" s="221"/>
      <c r="AN99" s="221"/>
      <c r="AO99" s="222"/>
    </row>
    <row r="100" spans="1:41" s="223" customFormat="1" ht="36" customHeight="1" x14ac:dyDescent="0.25">
      <c r="A100" s="128">
        <v>15</v>
      </c>
      <c r="B100" s="303"/>
      <c r="C100" s="304"/>
      <c r="D100" s="304"/>
      <c r="E100" s="304"/>
      <c r="F100" s="305"/>
      <c r="G100" s="300"/>
      <c r="H100" s="301"/>
      <c r="I100" s="301"/>
      <c r="J100" s="301"/>
      <c r="K100" s="302"/>
      <c r="L100" s="306"/>
      <c r="M100" s="307"/>
      <c r="N100" s="307"/>
      <c r="O100" s="307"/>
      <c r="P100" s="294">
        <f>IF(OR(B100=Słowniki!A$46,B100=Słowniki!A$56,B100=Słowniki!A$58),0.08,0.23)</f>
        <v>0.23</v>
      </c>
      <c r="Q100" s="295"/>
      <c r="R100" s="295"/>
      <c r="S100" s="295"/>
      <c r="T100" s="528">
        <v>1</v>
      </c>
      <c r="U100" s="528"/>
      <c r="V100" s="528"/>
      <c r="W100" s="528"/>
      <c r="X100" s="528"/>
      <c r="Y100" s="528"/>
      <c r="Z100" s="529"/>
      <c r="AA100" s="526">
        <f t="shared" si="0"/>
        <v>0</v>
      </c>
      <c r="AB100" s="530"/>
      <c r="AC100" s="530"/>
      <c r="AD100" s="530"/>
      <c r="AE100" s="530"/>
      <c r="AF100" s="530"/>
      <c r="AG100" s="527"/>
      <c r="AH100" s="531" t="e">
        <f t="shared" si="1"/>
        <v>#DIV/0!</v>
      </c>
      <c r="AI100" s="532"/>
      <c r="AJ100" s="533"/>
      <c r="AK100" s="526" t="e">
        <f t="shared" si="2"/>
        <v>#DIV/0!</v>
      </c>
      <c r="AL100" s="527"/>
      <c r="AM100" s="221"/>
      <c r="AN100" s="221"/>
      <c r="AO100" s="222"/>
    </row>
    <row r="101" spans="1:41" s="223" customFormat="1" ht="36" customHeight="1" x14ac:dyDescent="0.25">
      <c r="A101" s="128">
        <v>16</v>
      </c>
      <c r="B101" s="303"/>
      <c r="C101" s="304"/>
      <c r="D101" s="304"/>
      <c r="E101" s="304"/>
      <c r="F101" s="305"/>
      <c r="G101" s="300"/>
      <c r="H101" s="301"/>
      <c r="I101" s="301"/>
      <c r="J101" s="301"/>
      <c r="K101" s="302"/>
      <c r="L101" s="306"/>
      <c r="M101" s="307"/>
      <c r="N101" s="307"/>
      <c r="O101" s="307"/>
      <c r="P101" s="294">
        <f>IF(OR(B101=Słowniki!A$46,B101=Słowniki!A$56,B101=Słowniki!A$58),0.08,0.23)</f>
        <v>0.23</v>
      </c>
      <c r="Q101" s="295"/>
      <c r="R101" s="295"/>
      <c r="S101" s="295"/>
      <c r="T101" s="528">
        <v>1</v>
      </c>
      <c r="U101" s="528"/>
      <c r="V101" s="528"/>
      <c r="W101" s="528"/>
      <c r="X101" s="528"/>
      <c r="Y101" s="528"/>
      <c r="Z101" s="529"/>
      <c r="AA101" s="526">
        <f t="shared" si="0"/>
        <v>0</v>
      </c>
      <c r="AB101" s="530"/>
      <c r="AC101" s="530"/>
      <c r="AD101" s="530"/>
      <c r="AE101" s="530"/>
      <c r="AF101" s="530"/>
      <c r="AG101" s="527"/>
      <c r="AH101" s="531" t="e">
        <f t="shared" si="1"/>
        <v>#DIV/0!</v>
      </c>
      <c r="AI101" s="532"/>
      <c r="AJ101" s="533"/>
      <c r="AK101" s="526" t="e">
        <f t="shared" si="2"/>
        <v>#DIV/0!</v>
      </c>
      <c r="AL101" s="527"/>
      <c r="AM101" s="221"/>
      <c r="AN101" s="221"/>
      <c r="AO101" s="222"/>
    </row>
    <row r="102" spans="1:41" s="223" customFormat="1" ht="36" customHeight="1" x14ac:dyDescent="0.25">
      <c r="A102" s="128">
        <v>17</v>
      </c>
      <c r="B102" s="303"/>
      <c r="C102" s="304"/>
      <c r="D102" s="304"/>
      <c r="E102" s="304"/>
      <c r="F102" s="305"/>
      <c r="G102" s="300"/>
      <c r="H102" s="301"/>
      <c r="I102" s="301"/>
      <c r="J102" s="301"/>
      <c r="K102" s="302"/>
      <c r="L102" s="306"/>
      <c r="M102" s="307"/>
      <c r="N102" s="307"/>
      <c r="O102" s="307"/>
      <c r="P102" s="294">
        <f>IF(OR(B102=Słowniki!A$46,B102=Słowniki!A$56,B102=Słowniki!A$58),0.08,0.23)</f>
        <v>0.23</v>
      </c>
      <c r="Q102" s="295"/>
      <c r="R102" s="295"/>
      <c r="S102" s="295"/>
      <c r="T102" s="528">
        <v>1</v>
      </c>
      <c r="U102" s="528"/>
      <c r="V102" s="528"/>
      <c r="W102" s="528"/>
      <c r="X102" s="528"/>
      <c r="Y102" s="528"/>
      <c r="Z102" s="529"/>
      <c r="AA102" s="526">
        <f t="shared" si="0"/>
        <v>0</v>
      </c>
      <c r="AB102" s="530"/>
      <c r="AC102" s="530"/>
      <c r="AD102" s="530"/>
      <c r="AE102" s="530"/>
      <c r="AF102" s="530"/>
      <c r="AG102" s="527"/>
      <c r="AH102" s="531" t="e">
        <f t="shared" si="1"/>
        <v>#DIV/0!</v>
      </c>
      <c r="AI102" s="532"/>
      <c r="AJ102" s="533"/>
      <c r="AK102" s="526" t="e">
        <f t="shared" si="2"/>
        <v>#DIV/0!</v>
      </c>
      <c r="AL102" s="527"/>
      <c r="AM102" s="221"/>
      <c r="AN102" s="221"/>
      <c r="AO102" s="222"/>
    </row>
    <row r="103" spans="1:41" s="223" customFormat="1" ht="36" customHeight="1" x14ac:dyDescent="0.25">
      <c r="A103" s="128">
        <v>18</v>
      </c>
      <c r="B103" s="303"/>
      <c r="C103" s="304"/>
      <c r="D103" s="304"/>
      <c r="E103" s="304"/>
      <c r="F103" s="305"/>
      <c r="G103" s="300"/>
      <c r="H103" s="301"/>
      <c r="I103" s="301"/>
      <c r="J103" s="301"/>
      <c r="K103" s="302"/>
      <c r="L103" s="306"/>
      <c r="M103" s="307"/>
      <c r="N103" s="307"/>
      <c r="O103" s="307"/>
      <c r="P103" s="294">
        <f>IF(OR(B103=Słowniki!A$46,B103=Słowniki!A$56,B103=Słowniki!A$58),0.08,0.23)</f>
        <v>0.23</v>
      </c>
      <c r="Q103" s="295"/>
      <c r="R103" s="295"/>
      <c r="S103" s="295"/>
      <c r="T103" s="528">
        <v>1</v>
      </c>
      <c r="U103" s="528"/>
      <c r="V103" s="528"/>
      <c r="W103" s="528"/>
      <c r="X103" s="528"/>
      <c r="Y103" s="528"/>
      <c r="Z103" s="529"/>
      <c r="AA103" s="526">
        <f t="shared" si="0"/>
        <v>0</v>
      </c>
      <c r="AB103" s="530"/>
      <c r="AC103" s="530"/>
      <c r="AD103" s="530"/>
      <c r="AE103" s="530"/>
      <c r="AF103" s="530"/>
      <c r="AG103" s="527"/>
      <c r="AH103" s="531" t="e">
        <f t="shared" si="1"/>
        <v>#DIV/0!</v>
      </c>
      <c r="AI103" s="532"/>
      <c r="AJ103" s="533"/>
      <c r="AK103" s="526" t="e">
        <f t="shared" si="2"/>
        <v>#DIV/0!</v>
      </c>
      <c r="AL103" s="527"/>
      <c r="AM103" s="221"/>
      <c r="AN103" s="221"/>
      <c r="AO103" s="222"/>
    </row>
    <row r="104" spans="1:41" s="223" customFormat="1" ht="36" customHeight="1" x14ac:dyDescent="0.25">
      <c r="A104" s="128">
        <v>19</v>
      </c>
      <c r="B104" s="303"/>
      <c r="C104" s="304"/>
      <c r="D104" s="304"/>
      <c r="E104" s="304"/>
      <c r="F104" s="305"/>
      <c r="G104" s="300"/>
      <c r="H104" s="301"/>
      <c r="I104" s="301"/>
      <c r="J104" s="301"/>
      <c r="K104" s="302"/>
      <c r="L104" s="306"/>
      <c r="M104" s="307"/>
      <c r="N104" s="307"/>
      <c r="O104" s="307"/>
      <c r="P104" s="294">
        <f>IF(OR(B104=Słowniki!A$46,B104=Słowniki!A$56,B104=Słowniki!A$58),0.08,0.23)</f>
        <v>0.23</v>
      </c>
      <c r="Q104" s="295"/>
      <c r="R104" s="295"/>
      <c r="S104" s="295"/>
      <c r="T104" s="528">
        <v>1</v>
      </c>
      <c r="U104" s="528"/>
      <c r="V104" s="528"/>
      <c r="W104" s="528"/>
      <c r="X104" s="528"/>
      <c r="Y104" s="528"/>
      <c r="Z104" s="529"/>
      <c r="AA104" s="526">
        <f t="shared" si="0"/>
        <v>0</v>
      </c>
      <c r="AB104" s="530"/>
      <c r="AC104" s="530"/>
      <c r="AD104" s="530"/>
      <c r="AE104" s="530"/>
      <c r="AF104" s="530"/>
      <c r="AG104" s="527"/>
      <c r="AH104" s="531" t="e">
        <f t="shared" si="1"/>
        <v>#DIV/0!</v>
      </c>
      <c r="AI104" s="532"/>
      <c r="AJ104" s="533"/>
      <c r="AK104" s="526" t="e">
        <f t="shared" si="2"/>
        <v>#DIV/0!</v>
      </c>
      <c r="AL104" s="527"/>
      <c r="AM104" s="221"/>
      <c r="AN104" s="221"/>
      <c r="AO104" s="222"/>
    </row>
    <row r="105" spans="1:41" s="223" customFormat="1" ht="36" customHeight="1" x14ac:dyDescent="0.25">
      <c r="A105" s="128">
        <v>20</v>
      </c>
      <c r="B105" s="303"/>
      <c r="C105" s="304"/>
      <c r="D105" s="304"/>
      <c r="E105" s="304"/>
      <c r="F105" s="305"/>
      <c r="G105" s="300"/>
      <c r="H105" s="301"/>
      <c r="I105" s="301"/>
      <c r="J105" s="301"/>
      <c r="K105" s="302"/>
      <c r="L105" s="306"/>
      <c r="M105" s="307"/>
      <c r="N105" s="307"/>
      <c r="O105" s="307"/>
      <c r="P105" s="294">
        <f>IF(OR(B105=Słowniki!A$46,B105=Słowniki!A$56,B105=Słowniki!A$58),0.08,0.23)</f>
        <v>0.23</v>
      </c>
      <c r="Q105" s="295"/>
      <c r="R105" s="295"/>
      <c r="S105" s="295"/>
      <c r="T105" s="528">
        <v>1</v>
      </c>
      <c r="U105" s="528"/>
      <c r="V105" s="528"/>
      <c r="W105" s="528"/>
      <c r="X105" s="528"/>
      <c r="Y105" s="528"/>
      <c r="Z105" s="529"/>
      <c r="AA105" s="526">
        <f t="shared" si="0"/>
        <v>0</v>
      </c>
      <c r="AB105" s="530"/>
      <c r="AC105" s="530"/>
      <c r="AD105" s="530"/>
      <c r="AE105" s="530"/>
      <c r="AF105" s="530"/>
      <c r="AG105" s="527"/>
      <c r="AH105" s="531" t="e">
        <f t="shared" si="1"/>
        <v>#DIV/0!</v>
      </c>
      <c r="AI105" s="532"/>
      <c r="AJ105" s="533"/>
      <c r="AK105" s="526" t="e">
        <f t="shared" si="2"/>
        <v>#DIV/0!</v>
      </c>
      <c r="AL105" s="527"/>
      <c r="AM105" s="221"/>
      <c r="AN105" s="221"/>
      <c r="AO105" s="222"/>
    </row>
    <row r="106" spans="1:41" s="223" customFormat="1" ht="36" customHeight="1" x14ac:dyDescent="0.25">
      <c r="A106" s="128">
        <v>21</v>
      </c>
      <c r="B106" s="303"/>
      <c r="C106" s="304"/>
      <c r="D106" s="304"/>
      <c r="E106" s="304"/>
      <c r="F106" s="305"/>
      <c r="G106" s="300"/>
      <c r="H106" s="301"/>
      <c r="I106" s="301"/>
      <c r="J106" s="301"/>
      <c r="K106" s="302"/>
      <c r="L106" s="306"/>
      <c r="M106" s="307"/>
      <c r="N106" s="307"/>
      <c r="O106" s="307"/>
      <c r="P106" s="294">
        <f>IF(OR(B106=Słowniki!A$46,B106=Słowniki!A$56,B106=Słowniki!A$58),0.08,0.23)</f>
        <v>0.23</v>
      </c>
      <c r="Q106" s="295"/>
      <c r="R106" s="295"/>
      <c r="S106" s="295"/>
      <c r="T106" s="528">
        <v>1</v>
      </c>
      <c r="U106" s="528"/>
      <c r="V106" s="528"/>
      <c r="W106" s="528"/>
      <c r="X106" s="528"/>
      <c r="Y106" s="528"/>
      <c r="Z106" s="529"/>
      <c r="AA106" s="526">
        <f t="shared" si="0"/>
        <v>0</v>
      </c>
      <c r="AB106" s="530"/>
      <c r="AC106" s="530"/>
      <c r="AD106" s="530"/>
      <c r="AE106" s="530"/>
      <c r="AF106" s="530"/>
      <c r="AG106" s="527"/>
      <c r="AH106" s="531" t="e">
        <f t="shared" si="1"/>
        <v>#DIV/0!</v>
      </c>
      <c r="AI106" s="532"/>
      <c r="AJ106" s="533"/>
      <c r="AK106" s="526" t="e">
        <f t="shared" si="2"/>
        <v>#DIV/0!</v>
      </c>
      <c r="AL106" s="527"/>
      <c r="AM106" s="221"/>
      <c r="AN106" s="221"/>
      <c r="AO106" s="222"/>
    </row>
    <row r="107" spans="1:41" s="223" customFormat="1" ht="36" customHeight="1" x14ac:dyDescent="0.25">
      <c r="A107" s="128">
        <v>22</v>
      </c>
      <c r="B107" s="303"/>
      <c r="C107" s="304"/>
      <c r="D107" s="304"/>
      <c r="E107" s="304"/>
      <c r="F107" s="305"/>
      <c r="G107" s="300"/>
      <c r="H107" s="301"/>
      <c r="I107" s="301"/>
      <c r="J107" s="301"/>
      <c r="K107" s="302"/>
      <c r="L107" s="306"/>
      <c r="M107" s="307"/>
      <c r="N107" s="307"/>
      <c r="O107" s="307"/>
      <c r="P107" s="294">
        <f>IF(OR(B107=Słowniki!A$46,B107=Słowniki!A$56,B107=Słowniki!A$58),0.08,0.23)</f>
        <v>0.23</v>
      </c>
      <c r="Q107" s="295"/>
      <c r="R107" s="295"/>
      <c r="S107" s="295"/>
      <c r="T107" s="528">
        <v>1</v>
      </c>
      <c r="U107" s="528"/>
      <c r="V107" s="528"/>
      <c r="W107" s="528"/>
      <c r="X107" s="528"/>
      <c r="Y107" s="528"/>
      <c r="Z107" s="529"/>
      <c r="AA107" s="526">
        <f t="shared" si="0"/>
        <v>0</v>
      </c>
      <c r="AB107" s="530"/>
      <c r="AC107" s="530"/>
      <c r="AD107" s="530"/>
      <c r="AE107" s="530"/>
      <c r="AF107" s="530"/>
      <c r="AG107" s="527"/>
      <c r="AH107" s="531" t="e">
        <f t="shared" si="1"/>
        <v>#DIV/0!</v>
      </c>
      <c r="AI107" s="532"/>
      <c r="AJ107" s="533"/>
      <c r="AK107" s="526" t="e">
        <f t="shared" si="2"/>
        <v>#DIV/0!</v>
      </c>
      <c r="AL107" s="527"/>
      <c r="AM107" s="221"/>
      <c r="AN107" s="221"/>
      <c r="AO107" s="222"/>
    </row>
    <row r="108" spans="1:41" s="223" customFormat="1" ht="14.1" customHeight="1" x14ac:dyDescent="0.25">
      <c r="A108" s="128">
        <v>23</v>
      </c>
      <c r="B108" s="451" t="s">
        <v>128</v>
      </c>
      <c r="C108" s="452"/>
      <c r="D108" s="452"/>
      <c r="E108" s="452"/>
      <c r="F108" s="452"/>
      <c r="G108" s="452"/>
      <c r="H108" s="452"/>
      <c r="I108" s="452"/>
      <c r="J108" s="452"/>
      <c r="K108" s="452"/>
      <c r="L108" s="540">
        <f>SUM(L86:O107)</f>
        <v>0</v>
      </c>
      <c r="M108" s="540"/>
      <c r="N108" s="540"/>
      <c r="O108" s="541"/>
      <c r="P108" s="537" t="s">
        <v>129</v>
      </c>
      <c r="Q108" s="537"/>
      <c r="R108" s="537"/>
      <c r="S108" s="537"/>
      <c r="T108" s="538" t="s">
        <v>129</v>
      </c>
      <c r="U108" s="538"/>
      <c r="V108" s="538"/>
      <c r="W108" s="538"/>
      <c r="X108" s="538"/>
      <c r="Y108" s="538"/>
      <c r="Z108" s="538"/>
      <c r="AA108" s="534">
        <f>SUM(AA86:AG107)</f>
        <v>0</v>
      </c>
      <c r="AB108" s="534"/>
      <c r="AC108" s="534"/>
      <c r="AD108" s="534"/>
      <c r="AE108" s="534"/>
      <c r="AF108" s="534"/>
      <c r="AG108" s="534"/>
      <c r="AH108" s="539" t="s">
        <v>129</v>
      </c>
      <c r="AI108" s="539"/>
      <c r="AJ108" s="539"/>
      <c r="AK108" s="534" t="e">
        <f>ROUND(SUM(AK86:AL107),2)</f>
        <v>#DIV/0!</v>
      </c>
      <c r="AL108" s="534"/>
      <c r="AM108" s="221"/>
      <c r="AN108" s="222"/>
      <c r="AO108" s="222"/>
    </row>
    <row r="109" spans="1:41" s="223" customFormat="1" ht="121.2" customHeight="1" x14ac:dyDescent="0.25">
      <c r="A109" s="334" t="s">
        <v>1111</v>
      </c>
      <c r="B109" s="334"/>
      <c r="C109" s="334"/>
      <c r="D109" s="334"/>
      <c r="E109" s="334"/>
      <c r="F109" s="334"/>
      <c r="G109" s="334"/>
      <c r="H109" s="334"/>
      <c r="I109" s="334"/>
      <c r="J109" s="334"/>
      <c r="K109" s="334"/>
      <c r="L109" s="334"/>
      <c r="M109" s="334"/>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c r="AI109" s="334"/>
      <c r="AJ109" s="334"/>
      <c r="AK109" s="334"/>
      <c r="AL109" s="334"/>
      <c r="AM109" s="221"/>
      <c r="AN109" s="222"/>
      <c r="AO109" s="222"/>
    </row>
    <row r="110" spans="1:41" s="60" customFormat="1" ht="13.95" customHeight="1" x14ac:dyDescent="0.25">
      <c r="A110" s="129"/>
      <c r="B110" s="453" t="s">
        <v>181</v>
      </c>
      <c r="C110" s="453"/>
      <c r="D110" s="453"/>
      <c r="E110" s="453"/>
      <c r="F110" s="453"/>
      <c r="G110" s="453"/>
      <c r="H110" s="453"/>
      <c r="I110" s="453"/>
      <c r="J110" s="453"/>
      <c r="K110" s="453"/>
      <c r="L110" s="453"/>
      <c r="M110" s="453"/>
      <c r="N110" s="453"/>
      <c r="O110" s="453"/>
      <c r="P110" s="453"/>
      <c r="Q110" s="453"/>
      <c r="R110" s="453"/>
      <c r="S110" s="453"/>
      <c r="T110" s="458">
        <v>0.8</v>
      </c>
      <c r="U110" s="458"/>
      <c r="V110" s="458"/>
      <c r="W110" s="458"/>
      <c r="X110" s="458"/>
      <c r="Y110" s="458"/>
      <c r="Z110" s="458"/>
      <c r="AA110" s="458"/>
      <c r="AB110" s="458"/>
      <c r="AC110" s="458"/>
      <c r="AD110" s="458"/>
      <c r="AE110" s="458"/>
      <c r="AF110" s="458"/>
      <c r="AG110" s="458"/>
      <c r="AH110" s="458"/>
      <c r="AI110" s="458"/>
      <c r="AJ110" s="458"/>
      <c r="AK110" s="130"/>
      <c r="AL110" s="131"/>
      <c r="AM110" s="77"/>
      <c r="AN110" s="61"/>
      <c r="AO110" s="61"/>
    </row>
    <row r="111" spans="1:41" s="60" customFormat="1" ht="14.7" customHeight="1" x14ac:dyDescent="0.3">
      <c r="A111" s="129"/>
      <c r="B111" s="453" t="s">
        <v>183</v>
      </c>
      <c r="C111" s="453"/>
      <c r="D111" s="453"/>
      <c r="E111" s="453"/>
      <c r="F111" s="453"/>
      <c r="G111" s="453"/>
      <c r="H111" s="453"/>
      <c r="I111" s="453"/>
      <c r="J111" s="453"/>
      <c r="K111" s="453"/>
      <c r="L111" s="453"/>
      <c r="M111" s="453"/>
      <c r="N111" s="453"/>
      <c r="O111" s="453"/>
      <c r="P111" s="453"/>
      <c r="Q111" s="453"/>
      <c r="R111" s="453"/>
      <c r="S111" s="453"/>
      <c r="T111" s="459"/>
      <c r="U111" s="459"/>
      <c r="V111" s="459"/>
      <c r="W111" s="459"/>
      <c r="X111" s="459"/>
      <c r="Y111" s="459"/>
      <c r="Z111" s="459"/>
      <c r="AA111" s="459"/>
      <c r="AB111" s="459"/>
      <c r="AC111" s="459"/>
      <c r="AD111" s="459"/>
      <c r="AE111" s="459"/>
      <c r="AF111" s="459"/>
      <c r="AG111" s="459"/>
      <c r="AH111" s="459"/>
      <c r="AI111" s="459"/>
      <c r="AJ111" s="459"/>
      <c r="AK111" s="130"/>
      <c r="AL111" s="131"/>
      <c r="AM111" s="133" t="s">
        <v>215</v>
      </c>
      <c r="AN111" s="61"/>
      <c r="AO111" s="61"/>
    </row>
    <row r="112" spans="1:41" s="60" customFormat="1" ht="21" customHeight="1" x14ac:dyDescent="0.25">
      <c r="A112" s="129"/>
      <c r="B112" s="453" t="s">
        <v>182</v>
      </c>
      <c r="C112" s="453"/>
      <c r="D112" s="453"/>
      <c r="E112" s="453"/>
      <c r="F112" s="453"/>
      <c r="G112" s="453"/>
      <c r="H112" s="453"/>
      <c r="I112" s="453"/>
      <c r="J112" s="453"/>
      <c r="K112" s="453"/>
      <c r="L112" s="453"/>
      <c r="M112" s="453"/>
      <c r="N112" s="453"/>
      <c r="O112" s="453"/>
      <c r="P112" s="453"/>
      <c r="Q112" s="453"/>
      <c r="R112" s="453"/>
      <c r="S112" s="453"/>
      <c r="T112" s="466" t="e">
        <f>ROUNDDOWN(AK108*(T110+T111),2)</f>
        <v>#DIV/0!</v>
      </c>
      <c r="U112" s="466"/>
      <c r="V112" s="466"/>
      <c r="W112" s="466"/>
      <c r="X112" s="466"/>
      <c r="Y112" s="466"/>
      <c r="Z112" s="466"/>
      <c r="AA112" s="466"/>
      <c r="AB112" s="466"/>
      <c r="AC112" s="466"/>
      <c r="AD112" s="466"/>
      <c r="AE112" s="466"/>
      <c r="AF112" s="466"/>
      <c r="AG112" s="466"/>
      <c r="AH112" s="466"/>
      <c r="AI112" s="466"/>
      <c r="AJ112" s="466"/>
      <c r="AK112" s="130"/>
      <c r="AL112" s="131"/>
      <c r="AM112" s="77"/>
      <c r="AN112" s="61"/>
      <c r="AO112" s="61"/>
    </row>
    <row r="113" spans="1:39" ht="45" customHeight="1" x14ac:dyDescent="0.25">
      <c r="A113" s="332" t="s">
        <v>790</v>
      </c>
      <c r="B113" s="332"/>
      <c r="C113" s="332"/>
      <c r="D113" s="332"/>
      <c r="E113" s="332"/>
      <c r="F113" s="332"/>
      <c r="G113" s="332"/>
      <c r="H113" s="332"/>
      <c r="I113" s="332"/>
      <c r="J113" s="332"/>
      <c r="K113" s="332"/>
      <c r="L113" s="332"/>
      <c r="M113" s="332"/>
      <c r="N113" s="332"/>
      <c r="O113" s="332"/>
      <c r="P113" s="332"/>
      <c r="Q113" s="332"/>
      <c r="R113" s="332"/>
      <c r="S113" s="332"/>
      <c r="T113" s="332"/>
      <c r="U113" s="332"/>
      <c r="V113" s="332"/>
      <c r="W113" s="332"/>
      <c r="X113" s="332"/>
      <c r="Y113" s="332"/>
      <c r="Z113" s="332"/>
      <c r="AA113" s="332"/>
      <c r="AB113" s="332"/>
      <c r="AC113" s="332"/>
      <c r="AD113" s="332"/>
      <c r="AE113" s="332"/>
      <c r="AF113" s="332"/>
      <c r="AG113" s="332"/>
      <c r="AH113" s="332"/>
      <c r="AI113" s="332"/>
      <c r="AJ113" s="332"/>
      <c r="AK113" s="332"/>
      <c r="AL113" s="332"/>
      <c r="AM113" s="101"/>
    </row>
    <row r="114" spans="1:39" ht="31.5" customHeight="1" x14ac:dyDescent="0.25">
      <c r="A114" s="333" t="s">
        <v>827</v>
      </c>
      <c r="B114" s="333"/>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c r="Z114" s="333"/>
      <c r="AA114" s="333"/>
      <c r="AB114" s="333"/>
      <c r="AC114" s="333"/>
      <c r="AD114" s="333"/>
      <c r="AE114" s="333"/>
      <c r="AF114" s="333"/>
      <c r="AG114" s="333"/>
      <c r="AH114" s="333"/>
      <c r="AI114" s="333"/>
      <c r="AJ114" s="333"/>
      <c r="AK114" s="333"/>
      <c r="AL114" s="333"/>
      <c r="AM114" s="117"/>
    </row>
    <row r="115" spans="1:39" ht="33" customHeight="1" x14ac:dyDescent="0.25">
      <c r="A115" s="332" t="s">
        <v>1115</v>
      </c>
      <c r="B115" s="332"/>
      <c r="C115" s="332"/>
      <c r="D115" s="332"/>
      <c r="E115" s="332"/>
      <c r="F115" s="332"/>
      <c r="G115" s="332"/>
      <c r="H115" s="332"/>
      <c r="I115" s="332"/>
      <c r="J115" s="332"/>
      <c r="K115" s="332"/>
      <c r="L115" s="332"/>
      <c r="M115" s="332"/>
      <c r="N115" s="332"/>
      <c r="O115" s="332"/>
      <c r="P115" s="332"/>
      <c r="Q115" s="332"/>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M115" s="101"/>
    </row>
    <row r="116" spans="1:39" ht="45" customHeight="1" x14ac:dyDescent="0.25">
      <c r="A116" s="333" t="s">
        <v>961</v>
      </c>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row>
    <row r="117" spans="1:39" ht="45" customHeight="1" x14ac:dyDescent="0.25">
      <c r="A117" s="668" t="s">
        <v>1124</v>
      </c>
      <c r="B117" s="668"/>
      <c r="C117" s="668"/>
      <c r="D117" s="668"/>
      <c r="E117" s="668"/>
      <c r="F117" s="668"/>
      <c r="G117" s="668"/>
      <c r="H117" s="668"/>
      <c r="I117" s="668"/>
      <c r="J117" s="668"/>
      <c r="K117" s="668"/>
      <c r="L117" s="668"/>
      <c r="M117" s="668"/>
      <c r="N117" s="668"/>
      <c r="O117" s="668"/>
      <c r="P117" s="668"/>
      <c r="Q117" s="668"/>
      <c r="R117" s="668"/>
      <c r="S117" s="668"/>
      <c r="T117" s="668"/>
      <c r="U117" s="668"/>
      <c r="V117" s="668"/>
      <c r="W117" s="668"/>
      <c r="X117" s="668"/>
      <c r="Y117" s="668"/>
      <c r="Z117" s="668"/>
      <c r="AA117" s="668"/>
      <c r="AB117" s="668"/>
      <c r="AC117" s="668"/>
      <c r="AD117" s="668"/>
      <c r="AE117" s="668"/>
      <c r="AF117" s="668"/>
      <c r="AG117" s="668"/>
      <c r="AH117" s="668"/>
      <c r="AI117" s="668"/>
      <c r="AJ117" s="668"/>
      <c r="AK117" s="668"/>
      <c r="AL117" s="668"/>
      <c r="AM117" s="101"/>
    </row>
    <row r="118" spans="1:39" ht="40.950000000000003" customHeight="1" x14ac:dyDescent="0.25">
      <c r="A118" s="626" t="s">
        <v>782</v>
      </c>
      <c r="B118" s="626"/>
      <c r="C118" s="626"/>
      <c r="D118" s="626"/>
      <c r="E118" s="626"/>
      <c r="F118" s="626"/>
      <c r="G118" s="626"/>
      <c r="H118" s="626"/>
      <c r="I118" s="626"/>
      <c r="J118" s="626"/>
      <c r="K118" s="626"/>
      <c r="L118" s="626"/>
      <c r="M118" s="626"/>
      <c r="N118" s="626"/>
      <c r="O118" s="626"/>
      <c r="P118" s="626"/>
      <c r="Q118" s="626"/>
      <c r="R118" s="626"/>
      <c r="S118" s="626"/>
      <c r="T118" s="626"/>
      <c r="U118" s="626"/>
      <c r="V118" s="626"/>
      <c r="W118" s="626"/>
      <c r="X118" s="626"/>
      <c r="Y118" s="626"/>
      <c r="Z118" s="626"/>
      <c r="AA118" s="626"/>
      <c r="AB118" s="626"/>
      <c r="AC118" s="626"/>
      <c r="AD118" s="626"/>
      <c r="AE118" s="626"/>
      <c r="AF118" s="626"/>
      <c r="AG118" s="626"/>
      <c r="AH118" s="626"/>
      <c r="AI118" s="626"/>
      <c r="AJ118" s="626"/>
      <c r="AK118" s="626"/>
      <c r="AL118" s="626"/>
      <c r="AM118" s="101"/>
    </row>
    <row r="119" spans="1:39" ht="61.5" customHeight="1" x14ac:dyDescent="0.25">
      <c r="A119" s="332" t="s">
        <v>1128</v>
      </c>
      <c r="B119" s="332"/>
      <c r="C119" s="332"/>
      <c r="D119" s="332"/>
      <c r="E119" s="332"/>
      <c r="F119" s="332"/>
      <c r="G119" s="332"/>
      <c r="H119" s="332"/>
      <c r="I119" s="332"/>
      <c r="J119" s="332"/>
      <c r="K119" s="332"/>
      <c r="L119" s="332"/>
      <c r="M119" s="332"/>
      <c r="N119" s="332"/>
      <c r="O119" s="332"/>
      <c r="P119" s="332"/>
      <c r="Q119" s="332"/>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101"/>
    </row>
    <row r="120" spans="1:39" ht="60.45" customHeight="1" x14ac:dyDescent="0.25">
      <c r="A120" s="333" t="str">
        <f>IF(B17=Słowniki!A7,Słowniki!Z3,Słowniki!Z4)</f>
        <v>NIE DOTYCZY</v>
      </c>
      <c r="B120" s="333"/>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333"/>
      <c r="AH120" s="333"/>
      <c r="AI120" s="333"/>
      <c r="AJ120" s="333"/>
      <c r="AK120" s="333"/>
      <c r="AL120" s="333"/>
      <c r="AM120" s="101"/>
    </row>
    <row r="121" spans="1:39" ht="45" customHeight="1" x14ac:dyDescent="0.25">
      <c r="A121" s="332" t="s">
        <v>1129</v>
      </c>
      <c r="B121" s="332"/>
      <c r="C121" s="332"/>
      <c r="D121" s="332"/>
      <c r="E121" s="332"/>
      <c r="F121" s="332"/>
      <c r="G121" s="332"/>
      <c r="H121" s="332"/>
      <c r="I121" s="332"/>
      <c r="J121" s="332"/>
      <c r="K121" s="332"/>
      <c r="L121" s="332"/>
      <c r="M121" s="332"/>
      <c r="N121" s="332"/>
      <c r="O121" s="332"/>
      <c r="P121" s="332"/>
      <c r="Q121" s="332"/>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101"/>
    </row>
    <row r="122" spans="1:39" ht="45" customHeight="1" x14ac:dyDescent="0.25">
      <c r="A122" s="332" t="s">
        <v>169</v>
      </c>
      <c r="B122" s="332"/>
      <c r="C122" s="332"/>
      <c r="D122" s="332"/>
      <c r="E122" s="332"/>
      <c r="F122" s="332"/>
      <c r="G122" s="332"/>
      <c r="H122" s="332"/>
      <c r="I122" s="332"/>
      <c r="J122" s="332"/>
      <c r="K122" s="332"/>
      <c r="L122" s="332"/>
      <c r="M122" s="332"/>
      <c r="N122" s="332"/>
      <c r="O122" s="332"/>
      <c r="P122" s="332"/>
      <c r="Q122" s="332"/>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101"/>
    </row>
    <row r="123" spans="1:39" ht="45" customHeight="1" x14ac:dyDescent="0.25">
      <c r="A123" s="456"/>
      <c r="B123" s="456"/>
      <c r="C123" s="456"/>
      <c r="D123" s="456"/>
      <c r="E123" s="456"/>
      <c r="F123" s="456"/>
      <c r="G123" s="456"/>
      <c r="H123" s="456"/>
      <c r="I123" s="456"/>
      <c r="J123" s="456"/>
      <c r="K123" s="456"/>
      <c r="L123" s="456"/>
      <c r="M123" s="456"/>
      <c r="N123" s="456"/>
      <c r="O123" s="456"/>
      <c r="P123" s="456"/>
      <c r="Q123" s="456"/>
      <c r="R123" s="456"/>
      <c r="S123" s="456"/>
      <c r="T123" s="456"/>
      <c r="U123" s="456"/>
      <c r="V123" s="456"/>
      <c r="W123" s="456"/>
      <c r="X123" s="456"/>
      <c r="Y123" s="456"/>
      <c r="Z123" s="456"/>
      <c r="AA123" s="456"/>
      <c r="AB123" s="456"/>
      <c r="AC123" s="456"/>
      <c r="AD123" s="456"/>
      <c r="AE123" s="456"/>
      <c r="AF123" s="456"/>
      <c r="AG123" s="456"/>
      <c r="AH123" s="456"/>
      <c r="AI123" s="456"/>
      <c r="AJ123" s="456"/>
      <c r="AK123" s="456"/>
      <c r="AL123" s="456"/>
      <c r="AM123" s="101"/>
    </row>
    <row r="124" spans="1:39" ht="87.45" customHeight="1" x14ac:dyDescent="0.25">
      <c r="A124" s="332" t="s">
        <v>1130</v>
      </c>
      <c r="B124" s="332"/>
      <c r="C124" s="332"/>
      <c r="D124" s="332"/>
      <c r="E124" s="332"/>
      <c r="F124" s="332"/>
      <c r="G124" s="332"/>
      <c r="H124" s="332"/>
      <c r="I124" s="332"/>
      <c r="J124" s="332"/>
      <c r="K124" s="332"/>
      <c r="L124" s="332"/>
      <c r="M124" s="332"/>
      <c r="N124" s="332"/>
      <c r="O124" s="332"/>
      <c r="P124" s="332"/>
      <c r="Q124" s="332"/>
      <c r="R124" s="332"/>
      <c r="S124" s="332"/>
      <c r="T124" s="332"/>
      <c r="U124" s="332"/>
      <c r="V124" s="332"/>
      <c r="W124" s="332"/>
      <c r="X124" s="332"/>
      <c r="Y124" s="332"/>
      <c r="Z124" s="332"/>
      <c r="AA124" s="332"/>
      <c r="AB124" s="332"/>
      <c r="AC124" s="332"/>
      <c r="AD124" s="332"/>
      <c r="AE124" s="332"/>
      <c r="AF124" s="332"/>
      <c r="AG124" s="332"/>
      <c r="AH124" s="332"/>
      <c r="AI124" s="332"/>
      <c r="AJ124" s="332"/>
      <c r="AK124" s="332"/>
      <c r="AL124" s="332"/>
      <c r="AM124" s="101"/>
    </row>
    <row r="125" spans="1:39" ht="72.45" customHeight="1" x14ac:dyDescent="0.25">
      <c r="A125" s="333"/>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101"/>
    </row>
    <row r="126" spans="1:39" ht="55.95" customHeight="1" x14ac:dyDescent="0.25">
      <c r="A126" s="315" t="s">
        <v>1135</v>
      </c>
      <c r="B126" s="315"/>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c r="Y126" s="315"/>
      <c r="Z126" s="315"/>
      <c r="AA126" s="315"/>
      <c r="AB126" s="315"/>
      <c r="AC126" s="315"/>
      <c r="AD126" s="315"/>
      <c r="AE126" s="315"/>
      <c r="AF126" s="315"/>
      <c r="AG126" s="315"/>
      <c r="AH126" s="315"/>
      <c r="AI126" s="315"/>
      <c r="AJ126" s="315"/>
      <c r="AK126" s="315"/>
      <c r="AL126" s="315"/>
      <c r="AM126" s="101"/>
    </row>
    <row r="127" spans="1:39" ht="85.2" customHeight="1" x14ac:dyDescent="0.25">
      <c r="A127" s="333"/>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101"/>
    </row>
    <row r="128" spans="1:39" ht="53.7" customHeight="1" x14ac:dyDescent="0.25">
      <c r="A128" s="308" t="s">
        <v>1138</v>
      </c>
      <c r="B128" s="332"/>
      <c r="C128" s="332"/>
      <c r="D128" s="332"/>
      <c r="E128" s="332"/>
      <c r="F128" s="332"/>
      <c r="G128" s="332"/>
      <c r="H128" s="332"/>
      <c r="I128" s="332"/>
      <c r="J128" s="332"/>
      <c r="K128" s="332"/>
      <c r="L128" s="332"/>
      <c r="M128" s="332"/>
      <c r="N128" s="332"/>
      <c r="O128" s="332"/>
      <c r="P128" s="332"/>
      <c r="Q128" s="332"/>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101"/>
    </row>
    <row r="129" spans="1:63" ht="52.5" customHeight="1" x14ac:dyDescent="0.25">
      <c r="A129" s="333" t="s">
        <v>1139</v>
      </c>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c r="AM129" s="101"/>
    </row>
    <row r="130" spans="1:63" ht="45" customHeight="1" x14ac:dyDescent="0.25">
      <c r="A130" s="308" t="s">
        <v>752</v>
      </c>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8"/>
      <c r="AH130" s="308"/>
      <c r="AI130" s="308"/>
      <c r="AJ130" s="308"/>
      <c r="AK130" s="308"/>
      <c r="AL130" s="308"/>
      <c r="AM130" s="101"/>
    </row>
    <row r="131" spans="1:63" ht="61.5" customHeight="1" x14ac:dyDescent="0.25">
      <c r="A131" s="308" t="s">
        <v>979</v>
      </c>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8"/>
      <c r="AH131" s="308"/>
      <c r="AI131" s="308"/>
      <c r="AJ131" s="308"/>
      <c r="AK131" s="308"/>
      <c r="AL131" s="308"/>
      <c r="AM131" s="101"/>
    </row>
    <row r="132" spans="1:63" ht="31.5" customHeight="1" x14ac:dyDescent="0.25">
      <c r="A132" s="308" t="s">
        <v>1024</v>
      </c>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8"/>
      <c r="AH132" s="308"/>
      <c r="AI132" s="308"/>
      <c r="AJ132" s="308"/>
      <c r="AK132" s="308"/>
      <c r="AL132" s="308"/>
      <c r="AM132" s="101"/>
    </row>
    <row r="133" spans="1:63" ht="79.2" customHeight="1" x14ac:dyDescent="0.25">
      <c r="A133" s="308" t="s">
        <v>1153</v>
      </c>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c r="AJ133" s="308"/>
      <c r="AK133" s="308"/>
      <c r="AL133" s="308"/>
      <c r="AM133" s="101"/>
    </row>
    <row r="134" spans="1:63" ht="71.7" customHeight="1" x14ac:dyDescent="0.25">
      <c r="A134" s="308" t="s">
        <v>1002</v>
      </c>
      <c r="B134" s="328"/>
      <c r="C134" s="328"/>
      <c r="D134" s="328"/>
      <c r="E134" s="328"/>
      <c r="F134" s="328"/>
      <c r="G134" s="328"/>
      <c r="H134" s="328"/>
      <c r="I134" s="328"/>
      <c r="J134" s="328"/>
      <c r="K134" s="328"/>
      <c r="L134" s="328"/>
      <c r="M134" s="328"/>
      <c r="N134" s="328"/>
      <c r="O134" s="328"/>
      <c r="P134" s="328"/>
      <c r="Q134" s="328"/>
      <c r="R134" s="328"/>
      <c r="S134" s="328"/>
      <c r="T134" s="328"/>
      <c r="U134" s="328"/>
      <c r="V134" s="328"/>
      <c r="W134" s="328"/>
      <c r="X134" s="328"/>
      <c r="Y134" s="328"/>
      <c r="Z134" s="328"/>
      <c r="AA134" s="328"/>
      <c r="AB134" s="328"/>
      <c r="AC134" s="328"/>
      <c r="AD134" s="328"/>
      <c r="AE134" s="328"/>
      <c r="AF134" s="328"/>
      <c r="AG134" s="328"/>
      <c r="AH134" s="328"/>
      <c r="AI134" s="328"/>
      <c r="AJ134" s="328"/>
      <c r="AK134" s="328"/>
      <c r="AL134" s="328"/>
      <c r="AM134" s="101"/>
    </row>
    <row r="135" spans="1:63" ht="21" customHeight="1" x14ac:dyDescent="0.25">
      <c r="A135" s="308" t="s">
        <v>1051</v>
      </c>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c r="AH135" s="308"/>
      <c r="AI135" s="308"/>
      <c r="AJ135" s="308"/>
      <c r="AK135" s="308"/>
      <c r="AL135" s="308"/>
      <c r="AM135" s="101"/>
    </row>
    <row r="136" spans="1:63" ht="47.7" customHeight="1" x14ac:dyDescent="0.25">
      <c r="A136" s="505" t="str">
        <f>IF(B17="Gmina","1)  w przypadku gminy - wójta (burmistrza, prezydenta miasta)",IF(B17="Związek międzygminny","2)  w przypadku związku międzygminnego - zarząd związku",IF(B17="Organizacja pozarządowa","4)  w przypadku organizacji pożytku publicznego - osobę lub osoby uprawnione do składania oświadczeń woli w imieniu organizacji (należy dołączyć aktualny dokument potwierdzający uprawnienia)",IF(B17="Jednoosobowa spółka gminna","4)  w przypadku jednoosobowej spółki gminnej - osobę lub osoby uprawnione do składania oświadczeń woli w imieniu spółki (należy dołączyć aktualny dokument potwierdzający uprawnienia)",IF(B17="Podmioty, o których mowa w art. 3 ust. 3 ustawy  o działalności pożytku publicznego i wolontariacie","4)  w przypadku podmiotów - osobę lub osoby uprawnione do składania oświadczeń woli w imieniu organizacji (należy dołączyć aktualny dokument potwierdzający uprawnienia)",IF(B17="",""))))))</f>
        <v/>
      </c>
      <c r="B136" s="505"/>
      <c r="C136" s="505"/>
      <c r="D136" s="505"/>
      <c r="E136" s="505"/>
      <c r="F136" s="505"/>
      <c r="G136" s="505"/>
      <c r="H136" s="505"/>
      <c r="I136" s="505"/>
      <c r="J136" s="505"/>
      <c r="K136" s="505"/>
      <c r="L136" s="505"/>
      <c r="M136" s="505"/>
      <c r="N136" s="505"/>
      <c r="O136" s="505"/>
      <c r="P136" s="505"/>
      <c r="Q136" s="505"/>
      <c r="R136" s="505"/>
      <c r="S136" s="505"/>
      <c r="T136" s="505"/>
      <c r="U136" s="505"/>
      <c r="V136" s="505"/>
      <c r="W136" s="505"/>
      <c r="X136" s="505"/>
      <c r="Y136" s="505"/>
      <c r="Z136" s="505"/>
      <c r="AA136" s="505"/>
      <c r="AB136" s="505"/>
      <c r="AC136" s="505"/>
      <c r="AD136" s="505"/>
      <c r="AE136" s="505"/>
      <c r="AF136" s="505"/>
      <c r="AG136" s="505"/>
      <c r="AH136" s="505"/>
      <c r="AI136" s="505"/>
      <c r="AJ136" s="505"/>
      <c r="AK136" s="505"/>
      <c r="AL136" s="505"/>
      <c r="AM136" s="454" t="s">
        <v>974</v>
      </c>
    </row>
    <row r="137" spans="1:63" s="86" customFormat="1" ht="45" customHeight="1" x14ac:dyDescent="0.3">
      <c r="A137" s="460" t="s">
        <v>753</v>
      </c>
      <c r="B137" s="460"/>
      <c r="C137" s="460"/>
      <c r="D137" s="460"/>
      <c r="E137" s="460"/>
      <c r="F137" s="460"/>
      <c r="G137" s="460"/>
      <c r="H137" s="460"/>
      <c r="I137" s="460"/>
      <c r="J137" s="460"/>
      <c r="K137" s="460"/>
      <c r="L137" s="460"/>
      <c r="M137" s="460"/>
      <c r="N137" s="460"/>
      <c r="O137" s="460"/>
      <c r="P137" s="460"/>
      <c r="Q137" s="460"/>
      <c r="R137" s="460"/>
      <c r="S137" s="460"/>
      <c r="T137" s="460"/>
      <c r="U137" s="460"/>
      <c r="V137" s="460"/>
      <c r="W137" s="460"/>
      <c r="X137" s="460"/>
      <c r="Y137" s="460"/>
      <c r="Z137" s="460"/>
      <c r="AA137" s="460"/>
      <c r="AB137" s="460"/>
      <c r="AC137" s="460"/>
      <c r="AD137" s="460"/>
      <c r="AE137" s="460"/>
      <c r="AF137" s="460"/>
      <c r="AG137" s="460"/>
      <c r="AH137" s="460"/>
      <c r="AI137" s="460"/>
      <c r="AJ137" s="460"/>
      <c r="AK137" s="460"/>
      <c r="AL137" s="460"/>
      <c r="AM137" s="455"/>
      <c r="AN137" s="116"/>
      <c r="AO137" s="116"/>
      <c r="AP137" s="116"/>
      <c r="AQ137" s="116"/>
      <c r="AR137" s="116"/>
      <c r="AS137" s="116"/>
      <c r="AT137" s="116"/>
      <c r="AU137" s="116"/>
      <c r="AV137" s="116"/>
      <c r="AW137" s="116"/>
      <c r="AX137" s="116"/>
      <c r="AY137" s="116"/>
      <c r="AZ137" s="116"/>
      <c r="BA137" s="116"/>
      <c r="BB137" s="116"/>
      <c r="BC137" s="116"/>
      <c r="BD137" s="116"/>
      <c r="BE137" s="116"/>
      <c r="BF137" s="116"/>
      <c r="BG137" s="116"/>
      <c r="BH137" s="116"/>
      <c r="BI137" s="116"/>
      <c r="BJ137" s="116"/>
      <c r="BK137" s="116"/>
    </row>
    <row r="138" spans="1:63" s="60" customFormat="1" ht="13.95" customHeight="1" x14ac:dyDescent="0.25">
      <c r="A138" s="449" t="s">
        <v>1148</v>
      </c>
      <c r="B138" s="449"/>
      <c r="C138" s="449"/>
      <c r="D138" s="449"/>
      <c r="E138" s="449"/>
      <c r="F138" s="449"/>
      <c r="G138" s="449"/>
      <c r="H138" s="449"/>
      <c r="I138" s="449"/>
      <c r="J138" s="449"/>
      <c r="K138" s="449"/>
      <c r="L138" s="449"/>
      <c r="M138" s="449"/>
      <c r="N138" s="449"/>
      <c r="O138" s="449"/>
      <c r="P138" s="449"/>
      <c r="Q138" s="449"/>
      <c r="R138" s="449"/>
      <c r="S138" s="449"/>
      <c r="T138" s="449"/>
      <c r="U138" s="449"/>
      <c r="V138" s="449"/>
      <c r="W138" s="449"/>
      <c r="X138" s="449"/>
      <c r="Y138" s="449"/>
      <c r="Z138" s="449"/>
      <c r="AA138" s="449"/>
      <c r="AB138" s="449"/>
      <c r="AC138" s="449"/>
      <c r="AD138" s="449"/>
      <c r="AE138" s="449"/>
      <c r="AF138" s="449"/>
      <c r="AG138" s="449"/>
      <c r="AH138" s="449"/>
      <c r="AI138" s="449"/>
      <c r="AJ138" s="449"/>
      <c r="AK138" s="449"/>
      <c r="AL138" s="449"/>
      <c r="AM138" s="109"/>
      <c r="AN138" s="109"/>
      <c r="AO138" s="109"/>
      <c r="AP138" s="109"/>
      <c r="AQ138" s="109"/>
      <c r="AR138" s="109"/>
      <c r="AS138" s="109"/>
      <c r="AT138" s="109"/>
      <c r="AU138" s="109"/>
      <c r="AV138" s="109"/>
      <c r="AW138" s="109"/>
      <c r="AX138" s="109"/>
      <c r="AY138" s="109"/>
      <c r="AZ138" s="109"/>
    </row>
    <row r="139" spans="1:63" s="60" customFormat="1" ht="13.95" customHeight="1" x14ac:dyDescent="0.25">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c r="W139" s="450"/>
      <c r="X139" s="450"/>
      <c r="Y139" s="450"/>
      <c r="Z139" s="450"/>
      <c r="AA139" s="450"/>
      <c r="AB139" s="450"/>
      <c r="AC139" s="450"/>
      <c r="AD139" s="450"/>
      <c r="AE139" s="450"/>
      <c r="AF139" s="450"/>
      <c r="AG139" s="450"/>
      <c r="AH139" s="450"/>
      <c r="AI139" s="450"/>
      <c r="AJ139" s="450"/>
      <c r="AK139" s="450"/>
      <c r="AL139" s="450"/>
      <c r="AM139" s="109"/>
      <c r="AN139" s="109"/>
      <c r="AO139" s="109"/>
      <c r="AP139" s="109"/>
      <c r="AQ139" s="109"/>
      <c r="AR139" s="109"/>
      <c r="AS139" s="109"/>
      <c r="AT139" s="109"/>
      <c r="AU139" s="109"/>
      <c r="AV139" s="109"/>
      <c r="AW139" s="109"/>
      <c r="AX139" s="109"/>
      <c r="AY139" s="109"/>
      <c r="AZ139" s="109"/>
    </row>
    <row r="140" spans="1:63" s="60" customFormat="1" ht="13.95" customHeight="1" x14ac:dyDescent="0.25">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c r="W140" s="450"/>
      <c r="X140" s="450"/>
      <c r="Y140" s="450"/>
      <c r="Z140" s="450"/>
      <c r="AA140" s="450"/>
      <c r="AB140" s="450"/>
      <c r="AC140" s="450"/>
      <c r="AD140" s="450"/>
      <c r="AE140" s="450"/>
      <c r="AF140" s="450"/>
      <c r="AG140" s="450"/>
      <c r="AH140" s="450"/>
      <c r="AI140" s="450"/>
      <c r="AJ140" s="450"/>
      <c r="AK140" s="450"/>
      <c r="AL140" s="450"/>
      <c r="AM140" s="109"/>
      <c r="AN140" s="109"/>
      <c r="AO140" s="109"/>
      <c r="AP140" s="109"/>
      <c r="AQ140" s="109"/>
      <c r="AR140" s="109"/>
      <c r="AS140" s="109"/>
      <c r="AT140" s="109"/>
      <c r="AU140" s="109"/>
      <c r="AV140" s="109"/>
      <c r="AW140" s="109"/>
      <c r="AX140" s="109"/>
      <c r="AY140" s="109"/>
      <c r="AZ140" s="109"/>
    </row>
    <row r="141" spans="1:63" s="60" customFormat="1" ht="13.95" customHeight="1" x14ac:dyDescent="0.3">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c r="W141" s="450"/>
      <c r="X141" s="450"/>
      <c r="Y141" s="450"/>
      <c r="Z141" s="450"/>
      <c r="AA141" s="450"/>
      <c r="AB141" s="450"/>
      <c r="AC141" s="450"/>
      <c r="AD141" s="450"/>
      <c r="AE141" s="450"/>
      <c r="AF141" s="450"/>
      <c r="AG141" s="450"/>
      <c r="AH141" s="450"/>
      <c r="AI141" s="450"/>
      <c r="AJ141" s="450"/>
      <c r="AK141" s="450"/>
      <c r="AL141" s="450"/>
      <c r="AM141" s="256" t="s">
        <v>1155</v>
      </c>
      <c r="AN141" s="109"/>
      <c r="AO141" s="109"/>
      <c r="AP141" s="109"/>
      <c r="AQ141" s="109"/>
      <c r="AR141" s="109"/>
      <c r="AS141" s="109"/>
      <c r="AT141" s="109"/>
      <c r="AU141" s="109"/>
      <c r="AV141" s="109"/>
      <c r="AW141" s="109"/>
      <c r="AX141" s="109"/>
      <c r="AY141" s="109"/>
      <c r="AZ141" s="109"/>
    </row>
    <row r="142" spans="1:63" s="60" customFormat="1" ht="148.5" customHeight="1" x14ac:dyDescent="0.25">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c r="W142" s="450"/>
      <c r="X142" s="450"/>
      <c r="Y142" s="450"/>
      <c r="Z142" s="450"/>
      <c r="AA142" s="450"/>
      <c r="AB142" s="450"/>
      <c r="AC142" s="450"/>
      <c r="AD142" s="450"/>
      <c r="AE142" s="450"/>
      <c r="AF142" s="450"/>
      <c r="AG142" s="450"/>
      <c r="AH142" s="450"/>
      <c r="AI142" s="450"/>
      <c r="AJ142" s="450"/>
      <c r="AK142" s="450"/>
      <c r="AL142" s="450"/>
      <c r="AM142" s="255" t="s">
        <v>1156</v>
      </c>
      <c r="AN142" s="109"/>
      <c r="AO142" s="109"/>
      <c r="AP142" s="109"/>
      <c r="AQ142" s="109"/>
      <c r="AR142" s="109"/>
      <c r="AS142" s="109"/>
      <c r="AT142" s="109"/>
      <c r="AU142" s="109"/>
      <c r="AV142" s="109"/>
      <c r="AW142" s="109"/>
      <c r="AX142" s="109"/>
      <c r="AY142" s="109"/>
      <c r="AZ142" s="109"/>
    </row>
    <row r="143" spans="1:63" s="60" customFormat="1" x14ac:dyDescent="0.25">
      <c r="AM143" s="109"/>
      <c r="AN143" s="109"/>
      <c r="AO143" s="109"/>
      <c r="AP143" s="109"/>
      <c r="AQ143" s="109"/>
      <c r="AR143" s="109"/>
      <c r="AS143" s="109"/>
      <c r="AT143" s="109"/>
      <c r="AU143" s="109"/>
      <c r="AV143" s="109"/>
      <c r="AW143" s="109"/>
      <c r="AX143" s="109"/>
      <c r="AY143" s="109"/>
      <c r="AZ143" s="109"/>
    </row>
    <row r="144" spans="1:63" s="60" customFormat="1" x14ac:dyDescent="0.25">
      <c r="AM144" s="109"/>
      <c r="AN144" s="109"/>
      <c r="AO144" s="109"/>
      <c r="AP144" s="109"/>
      <c r="AQ144" s="109"/>
      <c r="AR144" s="109"/>
      <c r="AS144" s="109"/>
      <c r="AT144" s="109"/>
      <c r="AU144" s="109"/>
      <c r="AV144" s="109"/>
      <c r="AW144" s="109"/>
      <c r="AX144" s="109"/>
      <c r="AY144" s="109"/>
      <c r="AZ144" s="109"/>
    </row>
    <row r="145" spans="39:52" s="60" customFormat="1" x14ac:dyDescent="0.25">
      <c r="AM145" s="109"/>
      <c r="AN145" s="109"/>
      <c r="AO145" s="109"/>
      <c r="AP145" s="109"/>
      <c r="AQ145" s="109"/>
      <c r="AR145" s="109"/>
      <c r="AS145" s="109"/>
      <c r="AT145" s="109"/>
      <c r="AU145" s="109"/>
      <c r="AV145" s="109"/>
      <c r="AW145" s="109"/>
      <c r="AX145" s="109"/>
      <c r="AY145" s="109"/>
      <c r="AZ145" s="109"/>
    </row>
    <row r="146" spans="39:52" s="60" customFormat="1" x14ac:dyDescent="0.25">
      <c r="AM146" s="109"/>
      <c r="AN146" s="109"/>
      <c r="AO146" s="109"/>
      <c r="AP146" s="109"/>
      <c r="AQ146" s="109"/>
      <c r="AR146" s="109"/>
      <c r="AS146" s="109"/>
      <c r="AT146" s="109"/>
      <c r="AU146" s="109"/>
      <c r="AV146" s="109"/>
      <c r="AW146" s="109"/>
      <c r="AX146" s="109"/>
      <c r="AY146" s="109"/>
      <c r="AZ146" s="109"/>
    </row>
    <row r="147" spans="39:52" s="60" customFormat="1" x14ac:dyDescent="0.25">
      <c r="AM147" s="109"/>
      <c r="AN147" s="109"/>
      <c r="AO147" s="109"/>
      <c r="AP147" s="109"/>
      <c r="AQ147" s="109"/>
      <c r="AR147" s="109"/>
      <c r="AS147" s="109"/>
      <c r="AT147" s="109"/>
      <c r="AU147" s="109"/>
      <c r="AV147" s="109"/>
      <c r="AW147" s="109"/>
      <c r="AX147" s="109"/>
      <c r="AY147" s="109"/>
      <c r="AZ147" s="109"/>
    </row>
    <row r="148" spans="39:52" s="60" customFormat="1" x14ac:dyDescent="0.25">
      <c r="AM148" s="109"/>
      <c r="AN148" s="109"/>
      <c r="AO148" s="109"/>
      <c r="AP148" s="109"/>
      <c r="AQ148" s="109"/>
      <c r="AR148" s="109"/>
      <c r="AS148" s="109"/>
      <c r="AT148" s="109"/>
      <c r="AU148" s="109"/>
      <c r="AV148" s="109"/>
      <c r="AW148" s="109"/>
      <c r="AX148" s="109"/>
      <c r="AY148" s="109"/>
      <c r="AZ148" s="109"/>
    </row>
    <row r="149" spans="39:52" s="60" customFormat="1" x14ac:dyDescent="0.25">
      <c r="AM149" s="109"/>
      <c r="AN149" s="109"/>
      <c r="AO149" s="109"/>
      <c r="AP149" s="109"/>
      <c r="AQ149" s="109"/>
      <c r="AR149" s="109"/>
      <c r="AS149" s="109"/>
      <c r="AT149" s="109"/>
      <c r="AU149" s="109"/>
      <c r="AV149" s="109"/>
      <c r="AW149" s="109"/>
      <c r="AX149" s="109"/>
      <c r="AY149" s="109"/>
      <c r="AZ149" s="109"/>
    </row>
    <row r="150" spans="39:52" s="60" customFormat="1" x14ac:dyDescent="0.25">
      <c r="AM150" s="109"/>
      <c r="AN150" s="109"/>
      <c r="AO150" s="109"/>
      <c r="AP150" s="109"/>
      <c r="AQ150" s="109"/>
      <c r="AR150" s="109"/>
      <c r="AS150" s="109"/>
      <c r="AT150" s="109"/>
      <c r="AU150" s="109"/>
      <c r="AV150" s="109"/>
      <c r="AW150" s="109"/>
      <c r="AX150" s="109"/>
      <c r="AY150" s="109"/>
      <c r="AZ150" s="109"/>
    </row>
    <row r="151" spans="39:52" s="60" customFormat="1" x14ac:dyDescent="0.25">
      <c r="AM151" s="109"/>
      <c r="AN151" s="109"/>
      <c r="AO151" s="109"/>
      <c r="AP151" s="109"/>
      <c r="AQ151" s="109"/>
      <c r="AR151" s="109"/>
      <c r="AS151" s="109"/>
      <c r="AT151" s="109"/>
      <c r="AU151" s="109"/>
      <c r="AV151" s="109"/>
      <c r="AW151" s="109"/>
      <c r="AX151" s="109"/>
      <c r="AY151" s="109"/>
      <c r="AZ151" s="109"/>
    </row>
    <row r="152" spans="39:52" s="60" customFormat="1" x14ac:dyDescent="0.25">
      <c r="AM152" s="109"/>
      <c r="AN152" s="109"/>
      <c r="AO152" s="109"/>
      <c r="AP152" s="109"/>
      <c r="AQ152" s="109"/>
      <c r="AR152" s="109"/>
      <c r="AS152" s="109"/>
      <c r="AT152" s="109"/>
      <c r="AU152" s="109"/>
      <c r="AV152" s="109"/>
      <c r="AW152" s="109"/>
      <c r="AX152" s="109"/>
      <c r="AY152" s="109"/>
      <c r="AZ152" s="109"/>
    </row>
    <row r="153" spans="39:52" s="60" customFormat="1" x14ac:dyDescent="0.25">
      <c r="AM153" s="109"/>
      <c r="AN153" s="109"/>
      <c r="AO153" s="109"/>
      <c r="AP153" s="109"/>
      <c r="AQ153" s="109"/>
      <c r="AR153" s="109"/>
      <c r="AS153" s="109"/>
      <c r="AT153" s="109"/>
      <c r="AU153" s="109"/>
      <c r="AV153" s="109"/>
      <c r="AW153" s="109"/>
      <c r="AX153" s="109"/>
      <c r="AY153" s="109"/>
      <c r="AZ153" s="109"/>
    </row>
    <row r="154" spans="39:52" s="60" customFormat="1" x14ac:dyDescent="0.25">
      <c r="AM154" s="109"/>
      <c r="AN154" s="109"/>
      <c r="AO154" s="109"/>
      <c r="AP154" s="109"/>
      <c r="AQ154" s="109"/>
      <c r="AR154" s="109"/>
      <c r="AS154" s="109"/>
      <c r="AT154" s="109"/>
      <c r="AU154" s="109"/>
      <c r="AV154" s="109"/>
      <c r="AW154" s="109"/>
      <c r="AX154" s="109"/>
      <c r="AY154" s="109"/>
      <c r="AZ154" s="109"/>
    </row>
    <row r="155" spans="39:52" s="60" customFormat="1" x14ac:dyDescent="0.25">
      <c r="AM155" s="109"/>
      <c r="AN155" s="109"/>
      <c r="AO155" s="109"/>
      <c r="AP155" s="109"/>
      <c r="AQ155" s="109"/>
      <c r="AR155" s="109"/>
      <c r="AS155" s="109"/>
      <c r="AT155" s="109"/>
      <c r="AU155" s="109"/>
      <c r="AV155" s="109"/>
      <c r="AW155" s="109"/>
      <c r="AX155" s="109"/>
      <c r="AY155" s="109"/>
      <c r="AZ155" s="109"/>
    </row>
    <row r="156" spans="39:52" s="60" customFormat="1" x14ac:dyDescent="0.25">
      <c r="AM156" s="109"/>
      <c r="AN156" s="109"/>
      <c r="AO156" s="109"/>
      <c r="AP156" s="109"/>
      <c r="AQ156" s="109"/>
      <c r="AR156" s="109"/>
      <c r="AS156" s="109"/>
      <c r="AT156" s="109"/>
      <c r="AU156" s="109"/>
      <c r="AV156" s="109"/>
      <c r="AW156" s="109"/>
      <c r="AX156" s="109"/>
      <c r="AY156" s="109"/>
      <c r="AZ156" s="109"/>
    </row>
    <row r="157" spans="39:52" s="60" customFormat="1" x14ac:dyDescent="0.25">
      <c r="AM157" s="109"/>
      <c r="AN157" s="109"/>
      <c r="AO157" s="109"/>
      <c r="AP157" s="109"/>
      <c r="AQ157" s="109"/>
      <c r="AR157" s="109"/>
      <c r="AS157" s="109"/>
      <c r="AT157" s="109"/>
      <c r="AU157" s="109"/>
      <c r="AV157" s="109"/>
      <c r="AW157" s="109"/>
      <c r="AX157" s="109"/>
      <c r="AY157" s="109"/>
      <c r="AZ157" s="109"/>
    </row>
    <row r="158" spans="39:52" s="60" customFormat="1" x14ac:dyDescent="0.25">
      <c r="AM158" s="109"/>
      <c r="AN158" s="109"/>
      <c r="AO158" s="109"/>
      <c r="AP158" s="109"/>
      <c r="AQ158" s="109"/>
      <c r="AR158" s="109"/>
      <c r="AS158" s="109"/>
      <c r="AT158" s="109"/>
      <c r="AU158" s="109"/>
      <c r="AV158" s="109"/>
      <c r="AW158" s="109"/>
      <c r="AX158" s="109"/>
      <c r="AY158" s="109"/>
      <c r="AZ158" s="109"/>
    </row>
    <row r="159" spans="39:52" s="60" customFormat="1" x14ac:dyDescent="0.25">
      <c r="AM159" s="109"/>
      <c r="AN159" s="109"/>
      <c r="AO159" s="109"/>
      <c r="AP159" s="109"/>
      <c r="AQ159" s="109"/>
      <c r="AR159" s="109"/>
      <c r="AS159" s="109"/>
      <c r="AT159" s="109"/>
      <c r="AU159" s="109"/>
      <c r="AV159" s="109"/>
      <c r="AW159" s="109"/>
      <c r="AX159" s="109"/>
      <c r="AY159" s="109"/>
      <c r="AZ159" s="109"/>
    </row>
    <row r="160" spans="39:52" s="60" customFormat="1" x14ac:dyDescent="0.25">
      <c r="AM160" s="109"/>
      <c r="AN160" s="109"/>
      <c r="AO160" s="109"/>
      <c r="AP160" s="109"/>
      <c r="AQ160" s="109"/>
      <c r="AR160" s="109"/>
      <c r="AS160" s="109"/>
      <c r="AT160" s="109"/>
      <c r="AU160" s="109"/>
      <c r="AV160" s="109"/>
      <c r="AW160" s="109"/>
      <c r="AX160" s="109"/>
      <c r="AY160" s="109"/>
      <c r="AZ160" s="109"/>
    </row>
    <row r="161" spans="39:52" s="60" customFormat="1" x14ac:dyDescent="0.25">
      <c r="AM161" s="109"/>
      <c r="AN161" s="109"/>
      <c r="AO161" s="109"/>
      <c r="AP161" s="109"/>
      <c r="AQ161" s="109"/>
      <c r="AR161" s="109"/>
      <c r="AS161" s="109"/>
      <c r="AT161" s="109"/>
      <c r="AU161" s="109"/>
      <c r="AV161" s="109"/>
      <c r="AW161" s="109"/>
      <c r="AX161" s="109"/>
      <c r="AY161" s="109"/>
      <c r="AZ161" s="109"/>
    </row>
    <row r="162" spans="39:52" s="60" customFormat="1" x14ac:dyDescent="0.25">
      <c r="AM162" s="109"/>
      <c r="AN162" s="109"/>
      <c r="AO162" s="109"/>
      <c r="AP162" s="109"/>
      <c r="AQ162" s="109"/>
      <c r="AR162" s="109"/>
      <c r="AS162" s="109"/>
      <c r="AT162" s="109"/>
      <c r="AU162" s="109"/>
      <c r="AV162" s="109"/>
      <c r="AW162" s="109"/>
      <c r="AX162" s="109"/>
      <c r="AY162" s="109"/>
      <c r="AZ162" s="109"/>
    </row>
    <row r="163" spans="39:52" s="60" customFormat="1" x14ac:dyDescent="0.25">
      <c r="AM163" s="109"/>
      <c r="AN163" s="109"/>
      <c r="AO163" s="109"/>
      <c r="AP163" s="109"/>
      <c r="AQ163" s="109"/>
      <c r="AR163" s="109"/>
      <c r="AS163" s="109"/>
      <c r="AT163" s="109"/>
      <c r="AU163" s="109"/>
      <c r="AV163" s="109"/>
      <c r="AW163" s="109"/>
      <c r="AX163" s="109"/>
      <c r="AY163" s="109"/>
      <c r="AZ163" s="109"/>
    </row>
    <row r="164" spans="39:52" s="60" customFormat="1" x14ac:dyDescent="0.25">
      <c r="AM164" s="109"/>
      <c r="AN164" s="109"/>
      <c r="AO164" s="109"/>
      <c r="AP164" s="109"/>
      <c r="AQ164" s="109"/>
      <c r="AR164" s="109"/>
      <c r="AS164" s="109"/>
      <c r="AT164" s="109"/>
      <c r="AU164" s="109"/>
      <c r="AV164" s="109"/>
      <c r="AW164" s="109"/>
      <c r="AX164" s="109"/>
      <c r="AY164" s="109"/>
      <c r="AZ164" s="109"/>
    </row>
    <row r="165" spans="39:52" s="60" customFormat="1" x14ac:dyDescent="0.25">
      <c r="AM165" s="109"/>
      <c r="AN165" s="109"/>
      <c r="AO165" s="109"/>
      <c r="AP165" s="109"/>
      <c r="AQ165" s="109"/>
      <c r="AR165" s="109"/>
      <c r="AS165" s="109"/>
      <c r="AT165" s="109"/>
      <c r="AU165" s="109"/>
      <c r="AV165" s="109"/>
      <c r="AW165" s="109"/>
      <c r="AX165" s="109"/>
      <c r="AY165" s="109"/>
      <c r="AZ165" s="109"/>
    </row>
    <row r="166" spans="39:52" s="60" customFormat="1" x14ac:dyDescent="0.25">
      <c r="AM166" s="109"/>
      <c r="AN166" s="109"/>
      <c r="AO166" s="109"/>
      <c r="AP166" s="109"/>
      <c r="AQ166" s="109"/>
      <c r="AR166" s="109"/>
      <c r="AS166" s="109"/>
      <c r="AT166" s="109"/>
      <c r="AU166" s="109"/>
      <c r="AV166" s="109"/>
      <c r="AW166" s="109"/>
      <c r="AX166" s="109"/>
      <c r="AY166" s="109"/>
      <c r="AZ166" s="109"/>
    </row>
    <row r="167" spans="39:52" s="60" customFormat="1" x14ac:dyDescent="0.25">
      <c r="AM167" s="109"/>
      <c r="AN167" s="109"/>
      <c r="AO167" s="109"/>
      <c r="AP167" s="109"/>
      <c r="AQ167" s="109"/>
      <c r="AR167" s="109"/>
      <c r="AS167" s="109"/>
      <c r="AT167" s="109"/>
      <c r="AU167" s="109"/>
      <c r="AV167" s="109"/>
      <c r="AW167" s="109"/>
      <c r="AX167" s="109"/>
      <c r="AY167" s="109"/>
      <c r="AZ167" s="109"/>
    </row>
    <row r="168" spans="39:52" s="60" customFormat="1" x14ac:dyDescent="0.25">
      <c r="AM168" s="109"/>
      <c r="AN168" s="109"/>
      <c r="AO168" s="109"/>
      <c r="AP168" s="109"/>
      <c r="AQ168" s="109"/>
      <c r="AR168" s="109"/>
      <c r="AS168" s="109"/>
      <c r="AT168" s="109"/>
      <c r="AU168" s="109"/>
      <c r="AV168" s="109"/>
      <c r="AW168" s="109"/>
      <c r="AX168" s="109"/>
      <c r="AY168" s="109"/>
      <c r="AZ168" s="109"/>
    </row>
    <row r="169" spans="39:52" s="60" customFormat="1" x14ac:dyDescent="0.25">
      <c r="AM169" s="109"/>
      <c r="AN169" s="109"/>
      <c r="AO169" s="109"/>
      <c r="AP169" s="109"/>
      <c r="AQ169" s="109"/>
      <c r="AR169" s="109"/>
      <c r="AS169" s="109"/>
      <c r="AT169" s="109"/>
      <c r="AU169" s="109"/>
      <c r="AV169" s="109"/>
      <c r="AW169" s="109"/>
      <c r="AX169" s="109"/>
      <c r="AY169" s="109"/>
      <c r="AZ169" s="109"/>
    </row>
    <row r="170" spans="39:52" s="60" customFormat="1" x14ac:dyDescent="0.25">
      <c r="AM170" s="109"/>
      <c r="AN170" s="109"/>
      <c r="AO170" s="109"/>
      <c r="AP170" s="109"/>
      <c r="AQ170" s="109"/>
      <c r="AR170" s="109"/>
      <c r="AS170" s="109"/>
      <c r="AT170" s="109"/>
      <c r="AU170" s="109"/>
      <c r="AV170" s="109"/>
      <c r="AW170" s="109"/>
      <c r="AX170" s="109"/>
      <c r="AY170" s="109"/>
      <c r="AZ170" s="109"/>
    </row>
    <row r="171" spans="39:52" s="60" customFormat="1" x14ac:dyDescent="0.25">
      <c r="AM171" s="109"/>
      <c r="AN171" s="109"/>
      <c r="AO171" s="109"/>
      <c r="AP171" s="109"/>
      <c r="AQ171" s="109"/>
      <c r="AR171" s="109"/>
      <c r="AS171" s="109"/>
      <c r="AT171" s="109"/>
      <c r="AU171" s="109"/>
      <c r="AV171" s="109"/>
      <c r="AW171" s="109"/>
      <c r="AX171" s="109"/>
      <c r="AY171" s="109"/>
      <c r="AZ171" s="109"/>
    </row>
    <row r="172" spans="39:52" s="60" customFormat="1" x14ac:dyDescent="0.25">
      <c r="AM172" s="109"/>
      <c r="AN172" s="109"/>
      <c r="AO172" s="109"/>
      <c r="AP172" s="109"/>
      <c r="AQ172" s="109"/>
      <c r="AR172" s="109"/>
      <c r="AS172" s="109"/>
      <c r="AT172" s="109"/>
      <c r="AU172" s="109"/>
      <c r="AV172" s="109"/>
      <c r="AW172" s="109"/>
      <c r="AX172" s="109"/>
      <c r="AY172" s="109"/>
      <c r="AZ172" s="109"/>
    </row>
    <row r="173" spans="39:52" s="60" customFormat="1" x14ac:dyDescent="0.25">
      <c r="AM173" s="109"/>
      <c r="AN173" s="109"/>
      <c r="AO173" s="109"/>
      <c r="AP173" s="109"/>
      <c r="AQ173" s="109"/>
      <c r="AR173" s="109"/>
      <c r="AS173" s="109"/>
      <c r="AT173" s="109"/>
      <c r="AU173" s="109"/>
      <c r="AV173" s="109"/>
      <c r="AW173" s="109"/>
      <c r="AX173" s="109"/>
      <c r="AY173" s="109"/>
      <c r="AZ173" s="109"/>
    </row>
    <row r="174" spans="39:52" s="60" customFormat="1" x14ac:dyDescent="0.25">
      <c r="AM174" s="109"/>
      <c r="AN174" s="109"/>
      <c r="AO174" s="109"/>
      <c r="AP174" s="109"/>
      <c r="AQ174" s="109"/>
      <c r="AR174" s="109"/>
      <c r="AS174" s="109"/>
      <c r="AT174" s="109"/>
      <c r="AU174" s="109"/>
      <c r="AV174" s="109"/>
      <c r="AW174" s="109"/>
      <c r="AX174" s="109"/>
      <c r="AY174" s="109"/>
      <c r="AZ174" s="109"/>
    </row>
    <row r="175" spans="39:52" s="60" customFormat="1" x14ac:dyDescent="0.25">
      <c r="AM175" s="109"/>
      <c r="AN175" s="109"/>
      <c r="AO175" s="109"/>
      <c r="AP175" s="109"/>
      <c r="AQ175" s="109"/>
      <c r="AR175" s="109"/>
      <c r="AS175" s="109"/>
      <c r="AT175" s="109"/>
      <c r="AU175" s="109"/>
      <c r="AV175" s="109"/>
      <c r="AW175" s="109"/>
      <c r="AX175" s="109"/>
      <c r="AY175" s="109"/>
      <c r="AZ175" s="109"/>
    </row>
    <row r="176" spans="39:52" s="60" customFormat="1" x14ac:dyDescent="0.25">
      <c r="AM176" s="109"/>
      <c r="AN176" s="109"/>
      <c r="AO176" s="109"/>
      <c r="AP176" s="109"/>
      <c r="AQ176" s="109"/>
      <c r="AR176" s="109"/>
      <c r="AS176" s="109"/>
      <c r="AT176" s="109"/>
      <c r="AU176" s="109"/>
      <c r="AV176" s="109"/>
      <c r="AW176" s="109"/>
      <c r="AX176" s="109"/>
      <c r="AY176" s="109"/>
      <c r="AZ176" s="109"/>
    </row>
    <row r="177" spans="39:52" s="60" customFormat="1" x14ac:dyDescent="0.25">
      <c r="AM177" s="109"/>
      <c r="AN177" s="109"/>
      <c r="AO177" s="109"/>
      <c r="AP177" s="109"/>
      <c r="AQ177" s="109"/>
      <c r="AR177" s="109"/>
      <c r="AS177" s="109"/>
      <c r="AT177" s="109"/>
      <c r="AU177" s="109"/>
      <c r="AV177" s="109"/>
      <c r="AW177" s="109"/>
      <c r="AX177" s="109"/>
      <c r="AY177" s="109"/>
      <c r="AZ177" s="109"/>
    </row>
    <row r="178" spans="39:52" s="60" customFormat="1" x14ac:dyDescent="0.25">
      <c r="AM178" s="109"/>
      <c r="AN178" s="109"/>
      <c r="AO178" s="109"/>
      <c r="AP178" s="109"/>
      <c r="AQ178" s="109"/>
      <c r="AR178" s="109"/>
      <c r="AS178" s="109"/>
      <c r="AT178" s="109"/>
      <c r="AU178" s="109"/>
      <c r="AV178" s="109"/>
      <c r="AW178" s="109"/>
      <c r="AX178" s="109"/>
      <c r="AY178" s="109"/>
      <c r="AZ178" s="109"/>
    </row>
    <row r="179" spans="39:52" s="60" customFormat="1" x14ac:dyDescent="0.25">
      <c r="AM179" s="109"/>
      <c r="AN179" s="109"/>
      <c r="AO179" s="109"/>
      <c r="AP179" s="109"/>
      <c r="AQ179" s="109"/>
      <c r="AR179" s="109"/>
      <c r="AS179" s="109"/>
      <c r="AT179" s="109"/>
      <c r="AU179" s="109"/>
      <c r="AV179" s="109"/>
      <c r="AW179" s="109"/>
      <c r="AX179" s="109"/>
      <c r="AY179" s="109"/>
      <c r="AZ179" s="109"/>
    </row>
    <row r="180" spans="39:52" s="60" customFormat="1" x14ac:dyDescent="0.25">
      <c r="AM180" s="109"/>
      <c r="AN180" s="109"/>
      <c r="AO180" s="109"/>
      <c r="AP180" s="109"/>
      <c r="AQ180" s="109"/>
      <c r="AR180" s="109"/>
      <c r="AS180" s="109"/>
      <c r="AT180" s="109"/>
      <c r="AU180" s="109"/>
      <c r="AV180" s="109"/>
      <c r="AW180" s="109"/>
      <c r="AX180" s="109"/>
      <c r="AY180" s="109"/>
      <c r="AZ180" s="109"/>
    </row>
    <row r="181" spans="39:52" s="60" customFormat="1" x14ac:dyDescent="0.25">
      <c r="AM181" s="109"/>
      <c r="AN181" s="109"/>
      <c r="AO181" s="109"/>
      <c r="AP181" s="109"/>
      <c r="AQ181" s="109"/>
      <c r="AR181" s="109"/>
      <c r="AS181" s="109"/>
      <c r="AT181" s="109"/>
      <c r="AU181" s="109"/>
      <c r="AV181" s="109"/>
      <c r="AW181" s="109"/>
      <c r="AX181" s="109"/>
      <c r="AY181" s="109"/>
      <c r="AZ181" s="109"/>
    </row>
    <row r="182" spans="39:52" s="60" customFormat="1" x14ac:dyDescent="0.25">
      <c r="AM182" s="109"/>
      <c r="AN182" s="109"/>
      <c r="AO182" s="109"/>
      <c r="AP182" s="109"/>
      <c r="AQ182" s="109"/>
      <c r="AR182" s="109"/>
      <c r="AS182" s="109"/>
      <c r="AT182" s="109"/>
      <c r="AU182" s="109"/>
      <c r="AV182" s="109"/>
      <c r="AW182" s="109"/>
      <c r="AX182" s="109"/>
      <c r="AY182" s="109"/>
      <c r="AZ182" s="109"/>
    </row>
    <row r="183" spans="39:52" s="60" customFormat="1" x14ac:dyDescent="0.25">
      <c r="AM183" s="109"/>
      <c r="AN183" s="109"/>
      <c r="AO183" s="109"/>
      <c r="AP183" s="109"/>
      <c r="AQ183" s="109"/>
      <c r="AR183" s="109"/>
      <c r="AS183" s="109"/>
      <c r="AT183" s="109"/>
      <c r="AU183" s="109"/>
      <c r="AV183" s="109"/>
      <c r="AW183" s="109"/>
      <c r="AX183" s="109"/>
      <c r="AY183" s="109"/>
      <c r="AZ183" s="109"/>
    </row>
    <row r="184" spans="39:52" s="60" customFormat="1" x14ac:dyDescent="0.25">
      <c r="AM184" s="109"/>
      <c r="AN184" s="109"/>
      <c r="AO184" s="109"/>
      <c r="AP184" s="109"/>
      <c r="AQ184" s="109"/>
      <c r="AR184" s="109"/>
      <c r="AS184" s="109"/>
      <c r="AT184" s="109"/>
      <c r="AU184" s="109"/>
      <c r="AV184" s="109"/>
      <c r="AW184" s="109"/>
      <c r="AX184" s="109"/>
      <c r="AY184" s="109"/>
      <c r="AZ184" s="109"/>
    </row>
    <row r="185" spans="39:52" s="60" customFormat="1" x14ac:dyDescent="0.25">
      <c r="AM185" s="109"/>
      <c r="AN185" s="109"/>
      <c r="AO185" s="109"/>
      <c r="AP185" s="109"/>
      <c r="AQ185" s="109"/>
      <c r="AR185" s="109"/>
      <c r="AS185" s="109"/>
      <c r="AT185" s="109"/>
      <c r="AU185" s="109"/>
      <c r="AV185" s="109"/>
      <c r="AW185" s="109"/>
      <c r="AX185" s="109"/>
      <c r="AY185" s="109"/>
      <c r="AZ185" s="109"/>
    </row>
    <row r="186" spans="39:52" s="60" customFormat="1" x14ac:dyDescent="0.25">
      <c r="AM186" s="109"/>
      <c r="AN186" s="109"/>
      <c r="AO186" s="109"/>
      <c r="AP186" s="109"/>
      <c r="AQ186" s="109"/>
      <c r="AR186" s="109"/>
      <c r="AS186" s="109"/>
      <c r="AT186" s="109"/>
      <c r="AU186" s="109"/>
      <c r="AV186" s="109"/>
      <c r="AW186" s="109"/>
      <c r="AX186" s="109"/>
      <c r="AY186" s="109"/>
      <c r="AZ186" s="109"/>
    </row>
    <row r="187" spans="39:52" s="60" customFormat="1" x14ac:dyDescent="0.25">
      <c r="AM187" s="109"/>
      <c r="AN187" s="109"/>
      <c r="AO187" s="109"/>
      <c r="AP187" s="109"/>
      <c r="AQ187" s="109"/>
      <c r="AR187" s="109"/>
      <c r="AS187" s="109"/>
      <c r="AT187" s="109"/>
      <c r="AU187" s="109"/>
      <c r="AV187" s="109"/>
      <c r="AW187" s="109"/>
      <c r="AX187" s="109"/>
      <c r="AY187" s="109"/>
      <c r="AZ187" s="109"/>
    </row>
    <row r="188" spans="39:52" s="60" customFormat="1" x14ac:dyDescent="0.25">
      <c r="AM188" s="109"/>
      <c r="AN188" s="109"/>
      <c r="AO188" s="109"/>
      <c r="AP188" s="109"/>
      <c r="AQ188" s="109"/>
      <c r="AR188" s="109"/>
      <c r="AS188" s="109"/>
      <c r="AT188" s="109"/>
      <c r="AU188" s="109"/>
      <c r="AV188" s="109"/>
      <c r="AW188" s="109"/>
      <c r="AX188" s="109"/>
      <c r="AY188" s="109"/>
      <c r="AZ188" s="109"/>
    </row>
    <row r="189" spans="39:52" s="60" customFormat="1" x14ac:dyDescent="0.25">
      <c r="AM189" s="109"/>
      <c r="AN189" s="109"/>
      <c r="AO189" s="109"/>
      <c r="AP189" s="109"/>
      <c r="AQ189" s="109"/>
      <c r="AR189" s="109"/>
      <c r="AS189" s="109"/>
      <c r="AT189" s="109"/>
      <c r="AU189" s="109"/>
      <c r="AV189" s="109"/>
      <c r="AW189" s="109"/>
      <c r="AX189" s="109"/>
      <c r="AY189" s="109"/>
      <c r="AZ189" s="109"/>
    </row>
    <row r="190" spans="39:52" s="60" customFormat="1" x14ac:dyDescent="0.25">
      <c r="AM190" s="109"/>
      <c r="AN190" s="109"/>
      <c r="AO190" s="109"/>
      <c r="AP190" s="109"/>
      <c r="AQ190" s="109"/>
      <c r="AR190" s="109"/>
      <c r="AS190" s="109"/>
      <c r="AT190" s="109"/>
      <c r="AU190" s="109"/>
      <c r="AV190" s="109"/>
      <c r="AW190" s="109"/>
      <c r="AX190" s="109"/>
      <c r="AY190" s="109"/>
      <c r="AZ190" s="109"/>
    </row>
    <row r="191" spans="39:52" s="60" customFormat="1" x14ac:dyDescent="0.25">
      <c r="AM191" s="109"/>
      <c r="AN191" s="109"/>
      <c r="AO191" s="109"/>
      <c r="AP191" s="109"/>
      <c r="AQ191" s="109"/>
      <c r="AR191" s="109"/>
      <c r="AS191" s="109"/>
      <c r="AT191" s="109"/>
      <c r="AU191" s="109"/>
      <c r="AV191" s="109"/>
      <c r="AW191" s="109"/>
      <c r="AX191" s="109"/>
      <c r="AY191" s="109"/>
      <c r="AZ191" s="109"/>
    </row>
    <row r="192" spans="39:52" s="60" customFormat="1" x14ac:dyDescent="0.25">
      <c r="AM192" s="109"/>
      <c r="AN192" s="109"/>
      <c r="AO192" s="109"/>
      <c r="AP192" s="109"/>
      <c r="AQ192" s="109"/>
      <c r="AR192" s="109"/>
      <c r="AS192" s="109"/>
      <c r="AT192" s="109"/>
      <c r="AU192" s="109"/>
      <c r="AV192" s="109"/>
      <c r="AW192" s="109"/>
      <c r="AX192" s="109"/>
      <c r="AY192" s="109"/>
      <c r="AZ192" s="109"/>
    </row>
    <row r="193" spans="39:52" s="60" customFormat="1" x14ac:dyDescent="0.25">
      <c r="AM193" s="109"/>
      <c r="AN193" s="109"/>
      <c r="AO193" s="109"/>
      <c r="AP193" s="109"/>
      <c r="AQ193" s="109"/>
      <c r="AR193" s="109"/>
      <c r="AS193" s="109"/>
      <c r="AT193" s="109"/>
      <c r="AU193" s="109"/>
      <c r="AV193" s="109"/>
      <c r="AW193" s="109"/>
      <c r="AX193" s="109"/>
      <c r="AY193" s="109"/>
      <c r="AZ193" s="109"/>
    </row>
    <row r="194" spans="39:52" s="60" customFormat="1" x14ac:dyDescent="0.25">
      <c r="AM194" s="109"/>
      <c r="AN194" s="109"/>
      <c r="AO194" s="109"/>
      <c r="AP194" s="109"/>
      <c r="AQ194" s="109"/>
      <c r="AR194" s="109"/>
      <c r="AS194" s="109"/>
      <c r="AT194" s="109"/>
      <c r="AU194" s="109"/>
      <c r="AV194" s="109"/>
      <c r="AW194" s="109"/>
      <c r="AX194" s="109"/>
      <c r="AY194" s="109"/>
      <c r="AZ194" s="109"/>
    </row>
    <row r="195" spans="39:52" s="60" customFormat="1" x14ac:dyDescent="0.25">
      <c r="AM195" s="109"/>
      <c r="AN195" s="109"/>
      <c r="AO195" s="109"/>
      <c r="AP195" s="109"/>
      <c r="AQ195" s="109"/>
      <c r="AR195" s="109"/>
      <c r="AS195" s="109"/>
      <c r="AT195" s="109"/>
      <c r="AU195" s="109"/>
      <c r="AV195" s="109"/>
      <c r="AW195" s="109"/>
      <c r="AX195" s="109"/>
      <c r="AY195" s="109"/>
      <c r="AZ195" s="109"/>
    </row>
    <row r="196" spans="39:52" s="60" customFormat="1" x14ac:dyDescent="0.25">
      <c r="AM196" s="109"/>
      <c r="AN196" s="109"/>
      <c r="AO196" s="109"/>
      <c r="AP196" s="109"/>
      <c r="AQ196" s="109"/>
      <c r="AR196" s="109"/>
      <c r="AS196" s="109"/>
      <c r="AT196" s="109"/>
      <c r="AU196" s="109"/>
      <c r="AV196" s="109"/>
      <c r="AW196" s="109"/>
      <c r="AX196" s="109"/>
      <c r="AY196" s="109"/>
      <c r="AZ196" s="109"/>
    </row>
    <row r="197" spans="39:52" s="60" customFormat="1" x14ac:dyDescent="0.25">
      <c r="AM197" s="109"/>
      <c r="AN197" s="109"/>
      <c r="AO197" s="109"/>
      <c r="AP197" s="109"/>
      <c r="AQ197" s="109"/>
      <c r="AR197" s="109"/>
      <c r="AS197" s="109"/>
      <c r="AT197" s="109"/>
      <c r="AU197" s="109"/>
      <c r="AV197" s="109"/>
      <c r="AW197" s="109"/>
      <c r="AX197" s="109"/>
      <c r="AY197" s="109"/>
      <c r="AZ197" s="109"/>
    </row>
    <row r="198" spans="39:52" s="60" customFormat="1" x14ac:dyDescent="0.25">
      <c r="AM198" s="109"/>
      <c r="AN198" s="109"/>
      <c r="AO198" s="109"/>
      <c r="AP198" s="109"/>
      <c r="AQ198" s="109"/>
      <c r="AR198" s="109"/>
      <c r="AS198" s="109"/>
      <c r="AT198" s="109"/>
      <c r="AU198" s="109"/>
      <c r="AV198" s="109"/>
      <c r="AW198" s="109"/>
      <c r="AX198" s="109"/>
      <c r="AY198" s="109"/>
      <c r="AZ198" s="109"/>
    </row>
    <row r="199" spans="39:52" s="60" customFormat="1" x14ac:dyDescent="0.25">
      <c r="AM199" s="109"/>
      <c r="AN199" s="109"/>
      <c r="AO199" s="109"/>
      <c r="AP199" s="109"/>
      <c r="AQ199" s="109"/>
      <c r="AR199" s="109"/>
      <c r="AS199" s="109"/>
      <c r="AT199" s="109"/>
      <c r="AU199" s="109"/>
      <c r="AV199" s="109"/>
      <c r="AW199" s="109"/>
      <c r="AX199" s="109"/>
      <c r="AY199" s="109"/>
      <c r="AZ199" s="109"/>
    </row>
    <row r="200" spans="39:52" s="60" customFormat="1" x14ac:dyDescent="0.25">
      <c r="AM200" s="109"/>
      <c r="AN200" s="109"/>
      <c r="AO200" s="109"/>
      <c r="AP200" s="109"/>
      <c r="AQ200" s="109"/>
      <c r="AR200" s="109"/>
      <c r="AS200" s="109"/>
      <c r="AT200" s="109"/>
      <c r="AU200" s="109"/>
      <c r="AV200" s="109"/>
      <c r="AW200" s="109"/>
      <c r="AX200" s="109"/>
      <c r="AY200" s="109"/>
      <c r="AZ200" s="109"/>
    </row>
    <row r="201" spans="39:52" s="60" customFormat="1" x14ac:dyDescent="0.25">
      <c r="AM201" s="109"/>
      <c r="AN201" s="109"/>
      <c r="AO201" s="109"/>
      <c r="AP201" s="109"/>
      <c r="AQ201" s="109"/>
      <c r="AR201" s="109"/>
      <c r="AS201" s="109"/>
      <c r="AT201" s="109"/>
      <c r="AU201" s="109"/>
      <c r="AV201" s="109"/>
      <c r="AW201" s="109"/>
      <c r="AX201" s="109"/>
      <c r="AY201" s="109"/>
      <c r="AZ201" s="109"/>
    </row>
    <row r="202" spans="39:52" s="60" customFormat="1" x14ac:dyDescent="0.25">
      <c r="AM202" s="109"/>
      <c r="AN202" s="109"/>
      <c r="AO202" s="109"/>
      <c r="AP202" s="109"/>
      <c r="AQ202" s="109"/>
      <c r="AR202" s="109"/>
      <c r="AS202" s="109"/>
      <c r="AT202" s="109"/>
      <c r="AU202" s="109"/>
      <c r="AV202" s="109"/>
      <c r="AW202" s="109"/>
      <c r="AX202" s="109"/>
      <c r="AY202" s="109"/>
      <c r="AZ202" s="109"/>
    </row>
    <row r="203" spans="39:52" s="60" customFormat="1" x14ac:dyDescent="0.25">
      <c r="AM203" s="109"/>
      <c r="AN203" s="109"/>
      <c r="AO203" s="109"/>
      <c r="AP203" s="109"/>
      <c r="AQ203" s="109"/>
      <c r="AR203" s="109"/>
      <c r="AS203" s="109"/>
      <c r="AT203" s="109"/>
      <c r="AU203" s="109"/>
      <c r="AV203" s="109"/>
      <c r="AW203" s="109"/>
      <c r="AX203" s="109"/>
      <c r="AY203" s="109"/>
      <c r="AZ203" s="109"/>
    </row>
    <row r="204" spans="39:52" s="60" customFormat="1" x14ac:dyDescent="0.25">
      <c r="AM204" s="109"/>
      <c r="AN204" s="109"/>
      <c r="AO204" s="109"/>
      <c r="AP204" s="109"/>
      <c r="AQ204" s="109"/>
      <c r="AR204" s="109"/>
      <c r="AS204" s="109"/>
      <c r="AT204" s="109"/>
      <c r="AU204" s="109"/>
      <c r="AV204" s="109"/>
      <c r="AW204" s="109"/>
      <c r="AX204" s="109"/>
      <c r="AY204" s="109"/>
      <c r="AZ204" s="109"/>
    </row>
    <row r="205" spans="39:52" s="60" customFormat="1" x14ac:dyDescent="0.25">
      <c r="AM205" s="109"/>
      <c r="AN205" s="109"/>
      <c r="AO205" s="109"/>
      <c r="AP205" s="109"/>
      <c r="AQ205" s="109"/>
      <c r="AR205" s="109"/>
      <c r="AS205" s="109"/>
      <c r="AT205" s="109"/>
      <c r="AU205" s="109"/>
      <c r="AV205" s="109"/>
      <c r="AW205" s="109"/>
      <c r="AX205" s="109"/>
      <c r="AY205" s="109"/>
      <c r="AZ205" s="109"/>
    </row>
    <row r="206" spans="39:52" s="60" customFormat="1" x14ac:dyDescent="0.25">
      <c r="AM206" s="109"/>
      <c r="AN206" s="109"/>
      <c r="AO206" s="109"/>
      <c r="AP206" s="109"/>
      <c r="AQ206" s="109"/>
      <c r="AR206" s="109"/>
      <c r="AS206" s="109"/>
      <c r="AT206" s="109"/>
      <c r="AU206" s="109"/>
      <c r="AV206" s="109"/>
      <c r="AW206" s="109"/>
      <c r="AX206" s="109"/>
      <c r="AY206" s="109"/>
      <c r="AZ206" s="109"/>
    </row>
    <row r="207" spans="39:52" s="60" customFormat="1" x14ac:dyDescent="0.25">
      <c r="AM207" s="109"/>
      <c r="AN207" s="109"/>
      <c r="AO207" s="109"/>
      <c r="AP207" s="109"/>
      <c r="AQ207" s="109"/>
      <c r="AR207" s="109"/>
      <c r="AS207" s="109"/>
      <c r="AT207" s="109"/>
      <c r="AU207" s="109"/>
      <c r="AV207" s="109"/>
      <c r="AW207" s="109"/>
      <c r="AX207" s="109"/>
      <c r="AY207" s="109"/>
      <c r="AZ207" s="109"/>
    </row>
    <row r="208" spans="39:52" s="60" customFormat="1" x14ac:dyDescent="0.25">
      <c r="AM208" s="109"/>
      <c r="AN208" s="109"/>
      <c r="AO208" s="109"/>
      <c r="AP208" s="109"/>
      <c r="AQ208" s="109"/>
      <c r="AR208" s="109"/>
      <c r="AS208" s="109"/>
      <c r="AT208" s="109"/>
      <c r="AU208" s="109"/>
      <c r="AV208" s="109"/>
      <c r="AW208" s="109"/>
      <c r="AX208" s="109"/>
      <c r="AY208" s="109"/>
      <c r="AZ208" s="109"/>
    </row>
    <row r="209" spans="39:52" s="60" customFormat="1" x14ac:dyDescent="0.25">
      <c r="AM209" s="109"/>
      <c r="AN209" s="109"/>
      <c r="AO209" s="109"/>
      <c r="AP209" s="109"/>
      <c r="AQ209" s="109"/>
      <c r="AR209" s="109"/>
      <c r="AS209" s="109"/>
      <c r="AT209" s="109"/>
      <c r="AU209" s="109"/>
      <c r="AV209" s="109"/>
      <c r="AW209" s="109"/>
      <c r="AX209" s="109"/>
      <c r="AY209" s="109"/>
      <c r="AZ209" s="109"/>
    </row>
    <row r="210" spans="39:52" s="60" customFormat="1" x14ac:dyDescent="0.25">
      <c r="AM210" s="109"/>
      <c r="AN210" s="109"/>
      <c r="AO210" s="109"/>
      <c r="AP210" s="109"/>
      <c r="AQ210" s="109"/>
      <c r="AR210" s="109"/>
      <c r="AS210" s="109"/>
      <c r="AT210" s="109"/>
      <c r="AU210" s="109"/>
      <c r="AV210" s="109"/>
      <c r="AW210" s="109"/>
      <c r="AX210" s="109"/>
      <c r="AY210" s="109"/>
      <c r="AZ210" s="109"/>
    </row>
    <row r="211" spans="39:52" s="60" customFormat="1" x14ac:dyDescent="0.25">
      <c r="AM211" s="109"/>
      <c r="AN211" s="109"/>
      <c r="AO211" s="109"/>
      <c r="AP211" s="109"/>
      <c r="AQ211" s="109"/>
      <c r="AR211" s="109"/>
      <c r="AS211" s="109"/>
      <c r="AT211" s="109"/>
      <c r="AU211" s="109"/>
      <c r="AV211" s="109"/>
      <c r="AW211" s="109"/>
      <c r="AX211" s="109"/>
      <c r="AY211" s="109"/>
      <c r="AZ211" s="109"/>
    </row>
    <row r="212" spans="39:52" s="60" customFormat="1" x14ac:dyDescent="0.25">
      <c r="AM212" s="109"/>
      <c r="AN212" s="109"/>
      <c r="AO212" s="109"/>
      <c r="AP212" s="109"/>
      <c r="AQ212" s="109"/>
      <c r="AR212" s="109"/>
      <c r="AS212" s="109"/>
      <c r="AT212" s="109"/>
      <c r="AU212" s="109"/>
      <c r="AV212" s="109"/>
      <c r="AW212" s="109"/>
      <c r="AX212" s="109"/>
      <c r="AY212" s="109"/>
      <c r="AZ212" s="109"/>
    </row>
    <row r="213" spans="39:52" s="60" customFormat="1" x14ac:dyDescent="0.25">
      <c r="AM213" s="109"/>
      <c r="AN213" s="109"/>
      <c r="AO213" s="109"/>
      <c r="AP213" s="109"/>
      <c r="AQ213" s="109"/>
      <c r="AR213" s="109"/>
      <c r="AS213" s="109"/>
      <c r="AT213" s="109"/>
      <c r="AU213" s="109"/>
      <c r="AV213" s="109"/>
      <c r="AW213" s="109"/>
      <c r="AX213" s="109"/>
      <c r="AY213" s="109"/>
      <c r="AZ213" s="109"/>
    </row>
    <row r="214" spans="39:52" s="60" customFormat="1" x14ac:dyDescent="0.25">
      <c r="AM214" s="109"/>
      <c r="AN214" s="109"/>
      <c r="AO214" s="109"/>
      <c r="AP214" s="109"/>
      <c r="AQ214" s="109"/>
      <c r="AR214" s="109"/>
      <c r="AS214" s="109"/>
      <c r="AT214" s="109"/>
      <c r="AU214" s="109"/>
      <c r="AV214" s="109"/>
      <c r="AW214" s="109"/>
      <c r="AX214" s="109"/>
      <c r="AY214" s="109"/>
      <c r="AZ214" s="109"/>
    </row>
    <row r="215" spans="39:52" s="60" customFormat="1" x14ac:dyDescent="0.25">
      <c r="AM215" s="109"/>
      <c r="AN215" s="109"/>
      <c r="AO215" s="109"/>
      <c r="AP215" s="109"/>
      <c r="AQ215" s="109"/>
      <c r="AR215" s="109"/>
      <c r="AS215" s="109"/>
      <c r="AT215" s="109"/>
      <c r="AU215" s="109"/>
      <c r="AV215" s="109"/>
      <c r="AW215" s="109"/>
      <c r="AX215" s="109"/>
      <c r="AY215" s="109"/>
      <c r="AZ215" s="109"/>
    </row>
    <row r="216" spans="39:52" s="60" customFormat="1" x14ac:dyDescent="0.25">
      <c r="AM216" s="109"/>
      <c r="AN216" s="109"/>
      <c r="AO216" s="109"/>
      <c r="AP216" s="109"/>
      <c r="AQ216" s="109"/>
      <c r="AR216" s="109"/>
      <c r="AS216" s="109"/>
      <c r="AT216" s="109"/>
      <c r="AU216" s="109"/>
      <c r="AV216" s="109"/>
      <c r="AW216" s="109"/>
      <c r="AX216" s="109"/>
      <c r="AY216" s="109"/>
      <c r="AZ216" s="109"/>
    </row>
    <row r="217" spans="39:52" s="60" customFormat="1" x14ac:dyDescent="0.25">
      <c r="AM217" s="109"/>
      <c r="AN217" s="109"/>
      <c r="AO217" s="109"/>
      <c r="AP217" s="109"/>
      <c r="AQ217" s="109"/>
      <c r="AR217" s="109"/>
      <c r="AS217" s="109"/>
      <c r="AT217" s="109"/>
      <c r="AU217" s="109"/>
      <c r="AV217" s="109"/>
      <c r="AW217" s="109"/>
      <c r="AX217" s="109"/>
      <c r="AY217" s="109"/>
      <c r="AZ217" s="109"/>
    </row>
    <row r="218" spans="39:52" s="60" customFormat="1" x14ac:dyDescent="0.25">
      <c r="AM218" s="109"/>
      <c r="AN218" s="109"/>
      <c r="AO218" s="109"/>
      <c r="AP218" s="109"/>
      <c r="AQ218" s="109"/>
      <c r="AR218" s="109"/>
      <c r="AS218" s="109"/>
      <c r="AT218" s="109"/>
      <c r="AU218" s="109"/>
      <c r="AV218" s="109"/>
      <c r="AW218" s="109"/>
      <c r="AX218" s="109"/>
      <c r="AY218" s="109"/>
      <c r="AZ218" s="109"/>
    </row>
    <row r="219" spans="39:52" s="60" customFormat="1" x14ac:dyDescent="0.25">
      <c r="AM219" s="109"/>
      <c r="AN219" s="109"/>
      <c r="AO219" s="109"/>
      <c r="AP219" s="109"/>
      <c r="AQ219" s="109"/>
      <c r="AR219" s="109"/>
      <c r="AS219" s="109"/>
      <c r="AT219" s="109"/>
      <c r="AU219" s="109"/>
      <c r="AV219" s="109"/>
      <c r="AW219" s="109"/>
      <c r="AX219" s="109"/>
      <c r="AY219" s="109"/>
      <c r="AZ219" s="109"/>
    </row>
    <row r="220" spans="39:52" s="60" customFormat="1" x14ac:dyDescent="0.25">
      <c r="AM220" s="109"/>
      <c r="AN220" s="109"/>
      <c r="AO220" s="109"/>
      <c r="AP220" s="109"/>
      <c r="AQ220" s="109"/>
      <c r="AR220" s="109"/>
      <c r="AS220" s="109"/>
      <c r="AT220" s="109"/>
      <c r="AU220" s="109"/>
      <c r="AV220" s="109"/>
      <c r="AW220" s="109"/>
      <c r="AX220" s="109"/>
      <c r="AY220" s="109"/>
      <c r="AZ220" s="109"/>
    </row>
    <row r="221" spans="39:52" s="60" customFormat="1" x14ac:dyDescent="0.25">
      <c r="AM221" s="109"/>
      <c r="AN221" s="109"/>
      <c r="AO221" s="109"/>
      <c r="AP221" s="109"/>
      <c r="AQ221" s="109"/>
      <c r="AR221" s="109"/>
      <c r="AS221" s="109"/>
      <c r="AT221" s="109"/>
      <c r="AU221" s="109"/>
      <c r="AV221" s="109"/>
      <c r="AW221" s="109"/>
      <c r="AX221" s="109"/>
      <c r="AY221" s="109"/>
      <c r="AZ221" s="109"/>
    </row>
    <row r="222" spans="39:52" s="60" customFormat="1" x14ac:dyDescent="0.25">
      <c r="AM222" s="109"/>
      <c r="AN222" s="109"/>
      <c r="AO222" s="109"/>
      <c r="AP222" s="109"/>
      <c r="AQ222" s="109"/>
      <c r="AR222" s="109"/>
      <c r="AS222" s="109"/>
      <c r="AT222" s="109"/>
      <c r="AU222" s="109"/>
      <c r="AV222" s="109"/>
      <c r="AW222" s="109"/>
      <c r="AX222" s="109"/>
      <c r="AY222" s="109"/>
      <c r="AZ222" s="109"/>
    </row>
    <row r="223" spans="39:52" s="60" customFormat="1" x14ac:dyDescent="0.25">
      <c r="AM223" s="109"/>
      <c r="AN223" s="109"/>
      <c r="AO223" s="109"/>
      <c r="AP223" s="109"/>
      <c r="AQ223" s="109"/>
      <c r="AR223" s="109"/>
      <c r="AS223" s="109"/>
      <c r="AT223" s="109"/>
      <c r="AU223" s="109"/>
      <c r="AV223" s="109"/>
      <c r="AW223" s="109"/>
      <c r="AX223" s="109"/>
      <c r="AY223" s="109"/>
      <c r="AZ223" s="109"/>
    </row>
    <row r="224" spans="39:52" s="60" customFormat="1" x14ac:dyDescent="0.25">
      <c r="AM224" s="109"/>
      <c r="AN224" s="109"/>
      <c r="AO224" s="109"/>
      <c r="AP224" s="109"/>
      <c r="AQ224" s="109"/>
      <c r="AR224" s="109"/>
      <c r="AS224" s="109"/>
      <c r="AT224" s="109"/>
      <c r="AU224" s="109"/>
      <c r="AV224" s="109"/>
      <c r="AW224" s="109"/>
      <c r="AX224" s="109"/>
      <c r="AY224" s="109"/>
      <c r="AZ224" s="109"/>
    </row>
    <row r="225" spans="39:52" s="60" customFormat="1" x14ac:dyDescent="0.25">
      <c r="AM225" s="109"/>
      <c r="AN225" s="109"/>
      <c r="AO225" s="109"/>
      <c r="AP225" s="109"/>
      <c r="AQ225" s="109"/>
      <c r="AR225" s="109"/>
      <c r="AS225" s="109"/>
      <c r="AT225" s="109"/>
      <c r="AU225" s="109"/>
      <c r="AV225" s="109"/>
      <c r="AW225" s="109"/>
      <c r="AX225" s="109"/>
      <c r="AY225" s="109"/>
      <c r="AZ225" s="109"/>
    </row>
    <row r="226" spans="39:52" s="60" customFormat="1" x14ac:dyDescent="0.25">
      <c r="AM226" s="109"/>
      <c r="AN226" s="109"/>
      <c r="AO226" s="109"/>
      <c r="AP226" s="109"/>
      <c r="AQ226" s="109"/>
      <c r="AR226" s="109"/>
      <c r="AS226" s="109"/>
      <c r="AT226" s="109"/>
      <c r="AU226" s="109"/>
      <c r="AV226" s="109"/>
      <c r="AW226" s="109"/>
      <c r="AX226" s="109"/>
      <c r="AY226" s="109"/>
      <c r="AZ226" s="109"/>
    </row>
    <row r="227" spans="39:52" s="60" customFormat="1" x14ac:dyDescent="0.25">
      <c r="AM227" s="109"/>
      <c r="AN227" s="109"/>
      <c r="AO227" s="109"/>
      <c r="AP227" s="109"/>
      <c r="AQ227" s="109"/>
      <c r="AR227" s="109"/>
      <c r="AS227" s="109"/>
      <c r="AT227" s="109"/>
      <c r="AU227" s="109"/>
      <c r="AV227" s="109"/>
      <c r="AW227" s="109"/>
      <c r="AX227" s="109"/>
      <c r="AY227" s="109"/>
      <c r="AZ227" s="109"/>
    </row>
    <row r="228" spans="39:52" s="60" customFormat="1" x14ac:dyDescent="0.25">
      <c r="AM228" s="109"/>
      <c r="AN228" s="109"/>
      <c r="AO228" s="109"/>
      <c r="AP228" s="109"/>
      <c r="AQ228" s="109"/>
      <c r="AR228" s="109"/>
      <c r="AS228" s="109"/>
      <c r="AT228" s="109"/>
      <c r="AU228" s="109"/>
      <c r="AV228" s="109"/>
      <c r="AW228" s="109"/>
      <c r="AX228" s="109"/>
      <c r="AY228" s="109"/>
      <c r="AZ228" s="109"/>
    </row>
    <row r="229" spans="39:52" s="60" customFormat="1" x14ac:dyDescent="0.25">
      <c r="AM229" s="109"/>
      <c r="AN229" s="109"/>
      <c r="AO229" s="109"/>
      <c r="AP229" s="109"/>
      <c r="AQ229" s="109"/>
      <c r="AR229" s="109"/>
      <c r="AS229" s="109"/>
      <c r="AT229" s="109"/>
      <c r="AU229" s="109"/>
      <c r="AV229" s="109"/>
      <c r="AW229" s="109"/>
      <c r="AX229" s="109"/>
      <c r="AY229" s="109"/>
      <c r="AZ229" s="109"/>
    </row>
    <row r="230" spans="39:52" s="60" customFormat="1" x14ac:dyDescent="0.25">
      <c r="AM230" s="109"/>
      <c r="AN230" s="109"/>
      <c r="AO230" s="109"/>
      <c r="AP230" s="109"/>
      <c r="AQ230" s="109"/>
      <c r="AR230" s="109"/>
      <c r="AS230" s="109"/>
      <c r="AT230" s="109"/>
      <c r="AU230" s="109"/>
      <c r="AV230" s="109"/>
      <c r="AW230" s="109"/>
      <c r="AX230" s="109"/>
      <c r="AY230" s="109"/>
      <c r="AZ230" s="109"/>
    </row>
    <row r="231" spans="39:52" s="60" customFormat="1" x14ac:dyDescent="0.25">
      <c r="AM231" s="109"/>
      <c r="AN231" s="109"/>
      <c r="AO231" s="109"/>
      <c r="AP231" s="109"/>
      <c r="AQ231" s="109"/>
      <c r="AR231" s="109"/>
      <c r="AS231" s="109"/>
      <c r="AT231" s="109"/>
      <c r="AU231" s="109"/>
      <c r="AV231" s="109"/>
      <c r="AW231" s="109"/>
      <c r="AX231" s="109"/>
      <c r="AY231" s="109"/>
      <c r="AZ231" s="109"/>
    </row>
    <row r="232" spans="39:52" s="60" customFormat="1" x14ac:dyDescent="0.25">
      <c r="AM232" s="109"/>
      <c r="AN232" s="109"/>
      <c r="AO232" s="109"/>
      <c r="AP232" s="109"/>
      <c r="AQ232" s="109"/>
      <c r="AR232" s="109"/>
      <c r="AS232" s="109"/>
      <c r="AT232" s="109"/>
      <c r="AU232" s="109"/>
      <c r="AV232" s="109"/>
      <c r="AW232" s="109"/>
      <c r="AX232" s="109"/>
      <c r="AY232" s="109"/>
      <c r="AZ232" s="109"/>
    </row>
    <row r="233" spans="39:52" s="60" customFormat="1" x14ac:dyDescent="0.25">
      <c r="AM233" s="109"/>
      <c r="AN233" s="109"/>
      <c r="AO233" s="109"/>
      <c r="AP233" s="109"/>
      <c r="AQ233" s="109"/>
      <c r="AR233" s="109"/>
      <c r="AS233" s="109"/>
      <c r="AT233" s="109"/>
      <c r="AU233" s="109"/>
      <c r="AV233" s="109"/>
      <c r="AW233" s="109"/>
      <c r="AX233" s="109"/>
      <c r="AY233" s="109"/>
      <c r="AZ233" s="109"/>
    </row>
    <row r="234" spans="39:52" s="60" customFormat="1" x14ac:dyDescent="0.25">
      <c r="AM234" s="109"/>
      <c r="AN234" s="109"/>
      <c r="AO234" s="109"/>
      <c r="AP234" s="109"/>
      <c r="AQ234" s="109"/>
      <c r="AR234" s="109"/>
      <c r="AS234" s="109"/>
      <c r="AT234" s="109"/>
      <c r="AU234" s="109"/>
      <c r="AV234" s="109"/>
      <c r="AW234" s="109"/>
      <c r="AX234" s="109"/>
      <c r="AY234" s="109"/>
      <c r="AZ234" s="109"/>
    </row>
    <row r="235" spans="39:52" s="60" customFormat="1" x14ac:dyDescent="0.25">
      <c r="AM235" s="109"/>
      <c r="AN235" s="109"/>
      <c r="AO235" s="109"/>
      <c r="AP235" s="109"/>
      <c r="AQ235" s="109"/>
      <c r="AR235" s="109"/>
      <c r="AS235" s="109"/>
      <c r="AT235" s="109"/>
      <c r="AU235" s="109"/>
      <c r="AV235" s="109"/>
      <c r="AW235" s="109"/>
      <c r="AX235" s="109"/>
      <c r="AY235" s="109"/>
      <c r="AZ235" s="109"/>
    </row>
    <row r="236" spans="39:52" s="60" customFormat="1" x14ac:dyDescent="0.25">
      <c r="AM236" s="109"/>
      <c r="AN236" s="109"/>
      <c r="AO236" s="109"/>
      <c r="AP236" s="109"/>
      <c r="AQ236" s="109"/>
      <c r="AR236" s="109"/>
      <c r="AS236" s="109"/>
      <c r="AT236" s="109"/>
      <c r="AU236" s="109"/>
      <c r="AV236" s="109"/>
      <c r="AW236" s="109"/>
      <c r="AX236" s="109"/>
      <c r="AY236" s="109"/>
      <c r="AZ236" s="109"/>
    </row>
    <row r="237" spans="39:52" s="60" customFormat="1" x14ac:dyDescent="0.25">
      <c r="AM237" s="109"/>
      <c r="AN237" s="109"/>
      <c r="AO237" s="109"/>
      <c r="AP237" s="109"/>
      <c r="AQ237" s="109"/>
      <c r="AR237" s="109"/>
      <c r="AS237" s="109"/>
      <c r="AT237" s="109"/>
      <c r="AU237" s="109"/>
      <c r="AV237" s="109"/>
      <c r="AW237" s="109"/>
      <c r="AX237" s="109"/>
      <c r="AY237" s="109"/>
      <c r="AZ237" s="109"/>
    </row>
    <row r="238" spans="39:52" s="60" customFormat="1" x14ac:dyDescent="0.25">
      <c r="AM238" s="109"/>
      <c r="AN238" s="109"/>
      <c r="AO238" s="109"/>
      <c r="AP238" s="109"/>
      <c r="AQ238" s="109"/>
      <c r="AR238" s="109"/>
      <c r="AS238" s="109"/>
      <c r="AT238" s="109"/>
      <c r="AU238" s="109"/>
      <c r="AV238" s="109"/>
      <c r="AW238" s="109"/>
      <c r="AX238" s="109"/>
      <c r="AY238" s="109"/>
      <c r="AZ238" s="109"/>
    </row>
    <row r="239" spans="39:52" s="60" customFormat="1" x14ac:dyDescent="0.25">
      <c r="AM239" s="109"/>
      <c r="AN239" s="109"/>
      <c r="AO239" s="109"/>
      <c r="AP239" s="109"/>
      <c r="AQ239" s="109"/>
      <c r="AR239" s="109"/>
      <c r="AS239" s="109"/>
      <c r="AT239" s="109"/>
      <c r="AU239" s="109"/>
      <c r="AV239" s="109"/>
      <c r="AW239" s="109"/>
      <c r="AX239" s="109"/>
      <c r="AY239" s="109"/>
      <c r="AZ239" s="109"/>
    </row>
    <row r="240" spans="39:52" s="60" customFormat="1" x14ac:dyDescent="0.25">
      <c r="AM240" s="109"/>
      <c r="AN240" s="109"/>
      <c r="AO240" s="109"/>
      <c r="AP240" s="109"/>
      <c r="AQ240" s="109"/>
      <c r="AR240" s="109"/>
      <c r="AS240" s="109"/>
      <c r="AT240" s="109"/>
      <c r="AU240" s="109"/>
      <c r="AV240" s="109"/>
      <c r="AW240" s="109"/>
      <c r="AX240" s="109"/>
      <c r="AY240" s="109"/>
      <c r="AZ240" s="109"/>
    </row>
    <row r="241" spans="39:52" s="60" customFormat="1" x14ac:dyDescent="0.25">
      <c r="AM241" s="109"/>
      <c r="AN241" s="109"/>
      <c r="AO241" s="109"/>
      <c r="AP241" s="109"/>
      <c r="AQ241" s="109"/>
      <c r="AR241" s="109"/>
      <c r="AS241" s="109"/>
      <c r="AT241" s="109"/>
      <c r="AU241" s="109"/>
      <c r="AV241" s="109"/>
      <c r="AW241" s="109"/>
      <c r="AX241" s="109"/>
      <c r="AY241" s="109"/>
      <c r="AZ241" s="109"/>
    </row>
    <row r="242" spans="39:52" s="60" customFormat="1" x14ac:dyDescent="0.25">
      <c r="AM242" s="109"/>
      <c r="AN242" s="109"/>
      <c r="AO242" s="109"/>
      <c r="AP242" s="109"/>
      <c r="AQ242" s="109"/>
      <c r="AR242" s="109"/>
      <c r="AS242" s="109"/>
      <c r="AT242" s="109"/>
      <c r="AU242" s="109"/>
      <c r="AV242" s="109"/>
      <c r="AW242" s="109"/>
      <c r="AX242" s="109"/>
      <c r="AY242" s="109"/>
      <c r="AZ242" s="109"/>
    </row>
    <row r="243" spans="39:52" s="60" customFormat="1" x14ac:dyDescent="0.25">
      <c r="AM243" s="109"/>
      <c r="AN243" s="109"/>
      <c r="AO243" s="109"/>
      <c r="AP243" s="109"/>
      <c r="AQ243" s="109"/>
      <c r="AR243" s="109"/>
      <c r="AS243" s="109"/>
      <c r="AT243" s="109"/>
      <c r="AU243" s="109"/>
      <c r="AV243" s="109"/>
      <c r="AW243" s="109"/>
      <c r="AX243" s="109"/>
      <c r="AY243" s="109"/>
      <c r="AZ243" s="109"/>
    </row>
    <row r="244" spans="39:52" s="60" customFormat="1" x14ac:dyDescent="0.25">
      <c r="AM244" s="109"/>
      <c r="AN244" s="109"/>
      <c r="AO244" s="109"/>
      <c r="AP244" s="109"/>
      <c r="AQ244" s="109"/>
      <c r="AR244" s="109"/>
      <c r="AS244" s="109"/>
      <c r="AT244" s="109"/>
      <c r="AU244" s="109"/>
      <c r="AV244" s="109"/>
      <c r="AW244" s="109"/>
      <c r="AX244" s="109"/>
      <c r="AY244" s="109"/>
      <c r="AZ244" s="109"/>
    </row>
    <row r="245" spans="39:52" s="60" customFormat="1" x14ac:dyDescent="0.25">
      <c r="AM245" s="109"/>
      <c r="AN245" s="109"/>
      <c r="AO245" s="109"/>
      <c r="AP245" s="109"/>
      <c r="AQ245" s="109"/>
      <c r="AR245" s="109"/>
      <c r="AS245" s="109"/>
      <c r="AT245" s="109"/>
      <c r="AU245" s="109"/>
      <c r="AV245" s="109"/>
      <c r="AW245" s="109"/>
      <c r="AX245" s="109"/>
      <c r="AY245" s="109"/>
      <c r="AZ245" s="109"/>
    </row>
    <row r="246" spans="39:52" s="60" customFormat="1" x14ac:dyDescent="0.25">
      <c r="AM246" s="109"/>
      <c r="AN246" s="109"/>
      <c r="AO246" s="109"/>
      <c r="AP246" s="109"/>
      <c r="AQ246" s="109"/>
      <c r="AR246" s="109"/>
      <c r="AS246" s="109"/>
      <c r="AT246" s="109"/>
      <c r="AU246" s="109"/>
      <c r="AV246" s="109"/>
      <c r="AW246" s="109"/>
      <c r="AX246" s="109"/>
      <c r="AY246" s="109"/>
      <c r="AZ246" s="109"/>
    </row>
    <row r="247" spans="39:52" s="60" customFormat="1" x14ac:dyDescent="0.25">
      <c r="AM247" s="109"/>
      <c r="AN247" s="109"/>
      <c r="AO247" s="109"/>
      <c r="AP247" s="109"/>
      <c r="AQ247" s="109"/>
      <c r="AR247" s="109"/>
      <c r="AS247" s="109"/>
      <c r="AT247" s="109"/>
      <c r="AU247" s="109"/>
      <c r="AV247" s="109"/>
      <c r="AW247" s="109"/>
      <c r="AX247" s="109"/>
      <c r="AY247" s="109"/>
      <c r="AZ247" s="109"/>
    </row>
    <row r="248" spans="39:52" s="60" customFormat="1" x14ac:dyDescent="0.25">
      <c r="AM248" s="109"/>
      <c r="AN248" s="109"/>
      <c r="AO248" s="109"/>
      <c r="AP248" s="109"/>
      <c r="AQ248" s="109"/>
      <c r="AR248" s="109"/>
      <c r="AS248" s="109"/>
      <c r="AT248" s="109"/>
      <c r="AU248" s="109"/>
      <c r="AV248" s="109"/>
      <c r="AW248" s="109"/>
      <c r="AX248" s="109"/>
      <c r="AY248" s="109"/>
      <c r="AZ248" s="109"/>
    </row>
    <row r="249" spans="39:52" s="60" customFormat="1" x14ac:dyDescent="0.25">
      <c r="AM249" s="109"/>
      <c r="AN249" s="109"/>
      <c r="AO249" s="109"/>
      <c r="AP249" s="109"/>
      <c r="AQ249" s="109"/>
      <c r="AR249" s="109"/>
      <c r="AS249" s="109"/>
      <c r="AT249" s="109"/>
      <c r="AU249" s="109"/>
      <c r="AV249" s="109"/>
      <c r="AW249" s="109"/>
      <c r="AX249" s="109"/>
      <c r="AY249" s="109"/>
      <c r="AZ249" s="109"/>
    </row>
    <row r="250" spans="39:52" s="60" customFormat="1" x14ac:dyDescent="0.25">
      <c r="AM250" s="109"/>
      <c r="AN250" s="109"/>
      <c r="AO250" s="109"/>
      <c r="AP250" s="109"/>
      <c r="AQ250" s="109"/>
      <c r="AR250" s="109"/>
      <c r="AS250" s="109"/>
      <c r="AT250" s="109"/>
      <c r="AU250" s="109"/>
      <c r="AV250" s="109"/>
      <c r="AW250" s="109"/>
      <c r="AX250" s="109"/>
      <c r="AY250" s="109"/>
      <c r="AZ250" s="109"/>
    </row>
    <row r="251" spans="39:52" s="60" customFormat="1" x14ac:dyDescent="0.25">
      <c r="AM251" s="109"/>
      <c r="AN251" s="109"/>
      <c r="AO251" s="109"/>
      <c r="AP251" s="109"/>
      <c r="AQ251" s="109"/>
      <c r="AR251" s="109"/>
      <c r="AS251" s="109"/>
      <c r="AT251" s="109"/>
      <c r="AU251" s="109"/>
      <c r="AV251" s="109"/>
      <c r="AW251" s="109"/>
      <c r="AX251" s="109"/>
      <c r="AY251" s="109"/>
      <c r="AZ251" s="109"/>
    </row>
    <row r="252" spans="39:52" s="60" customFormat="1" x14ac:dyDescent="0.25">
      <c r="AM252" s="109"/>
      <c r="AN252" s="109"/>
      <c r="AO252" s="109"/>
      <c r="AP252" s="109"/>
      <c r="AQ252" s="109"/>
      <c r="AR252" s="109"/>
      <c r="AS252" s="109"/>
      <c r="AT252" s="109"/>
      <c r="AU252" s="109"/>
      <c r="AV252" s="109"/>
      <c r="AW252" s="109"/>
      <c r="AX252" s="109"/>
      <c r="AY252" s="109"/>
      <c r="AZ252" s="109"/>
    </row>
    <row r="253" spans="39:52" s="60" customFormat="1" x14ac:dyDescent="0.25">
      <c r="AM253" s="109"/>
      <c r="AN253" s="109"/>
      <c r="AO253" s="109"/>
      <c r="AP253" s="109"/>
      <c r="AQ253" s="109"/>
      <c r="AR253" s="109"/>
      <c r="AS253" s="109"/>
      <c r="AT253" s="109"/>
      <c r="AU253" s="109"/>
      <c r="AV253" s="109"/>
      <c r="AW253" s="109"/>
      <c r="AX253" s="109"/>
      <c r="AY253" s="109"/>
      <c r="AZ253" s="109"/>
    </row>
    <row r="254" spans="39:52" s="60" customFormat="1" x14ac:dyDescent="0.25">
      <c r="AM254" s="109"/>
      <c r="AN254" s="109"/>
      <c r="AO254" s="109"/>
      <c r="AP254" s="109"/>
      <c r="AQ254" s="109"/>
      <c r="AR254" s="109"/>
      <c r="AS254" s="109"/>
      <c r="AT254" s="109"/>
      <c r="AU254" s="109"/>
      <c r="AV254" s="109"/>
      <c r="AW254" s="109"/>
      <c r="AX254" s="109"/>
      <c r="AY254" s="109"/>
      <c r="AZ254" s="109"/>
    </row>
    <row r="255" spans="39:52" s="60" customFormat="1" x14ac:dyDescent="0.25">
      <c r="AM255" s="109"/>
      <c r="AN255" s="109"/>
      <c r="AO255" s="109"/>
      <c r="AP255" s="109"/>
      <c r="AQ255" s="109"/>
      <c r="AR255" s="109"/>
      <c r="AS255" s="109"/>
      <c r="AT255" s="109"/>
      <c r="AU255" s="109"/>
      <c r="AV255" s="109"/>
      <c r="AW255" s="109"/>
      <c r="AX255" s="109"/>
      <c r="AY255" s="109"/>
      <c r="AZ255" s="109"/>
    </row>
    <row r="256" spans="39:52" s="60" customFormat="1" x14ac:dyDescent="0.25">
      <c r="AM256" s="109"/>
      <c r="AN256" s="109"/>
      <c r="AO256" s="109"/>
      <c r="AP256" s="109"/>
      <c r="AQ256" s="109"/>
      <c r="AR256" s="109"/>
      <c r="AS256" s="109"/>
      <c r="AT256" s="109"/>
      <c r="AU256" s="109"/>
      <c r="AV256" s="109"/>
      <c r="AW256" s="109"/>
      <c r="AX256" s="109"/>
      <c r="AY256" s="109"/>
      <c r="AZ256" s="109"/>
    </row>
    <row r="257" spans="39:52" s="60" customFormat="1" x14ac:dyDescent="0.25">
      <c r="AM257" s="109"/>
      <c r="AN257" s="109"/>
      <c r="AO257" s="109"/>
      <c r="AP257" s="109"/>
      <c r="AQ257" s="109"/>
      <c r="AR257" s="109"/>
      <c r="AS257" s="109"/>
      <c r="AT257" s="109"/>
      <c r="AU257" s="109"/>
      <c r="AV257" s="109"/>
      <c r="AW257" s="109"/>
      <c r="AX257" s="109"/>
      <c r="AY257" s="109"/>
      <c r="AZ257" s="109"/>
    </row>
    <row r="258" spans="39:52" s="60" customFormat="1" x14ac:dyDescent="0.25">
      <c r="AM258" s="109"/>
      <c r="AN258" s="109"/>
      <c r="AO258" s="109"/>
      <c r="AP258" s="109"/>
      <c r="AQ258" s="109"/>
      <c r="AR258" s="109"/>
      <c r="AS258" s="109"/>
      <c r="AT258" s="109"/>
      <c r="AU258" s="109"/>
      <c r="AV258" s="109"/>
      <c r="AW258" s="109"/>
      <c r="AX258" s="109"/>
      <c r="AY258" s="109"/>
      <c r="AZ258" s="109"/>
    </row>
    <row r="259" spans="39:52" s="60" customFormat="1" x14ac:dyDescent="0.25">
      <c r="AM259" s="109"/>
      <c r="AN259" s="109"/>
      <c r="AO259" s="109"/>
      <c r="AP259" s="109"/>
      <c r="AQ259" s="109"/>
      <c r="AR259" s="109"/>
      <c r="AS259" s="109"/>
      <c r="AT259" s="109"/>
      <c r="AU259" s="109"/>
      <c r="AV259" s="109"/>
      <c r="AW259" s="109"/>
      <c r="AX259" s="109"/>
      <c r="AY259" s="109"/>
      <c r="AZ259" s="109"/>
    </row>
    <row r="260" spans="39:52" s="60" customFormat="1" x14ac:dyDescent="0.25">
      <c r="AM260" s="109"/>
      <c r="AN260" s="109"/>
      <c r="AO260" s="109"/>
      <c r="AP260" s="109"/>
      <c r="AQ260" s="109"/>
      <c r="AR260" s="109"/>
      <c r="AS260" s="109"/>
      <c r="AT260" s="109"/>
      <c r="AU260" s="109"/>
      <c r="AV260" s="109"/>
      <c r="AW260" s="109"/>
      <c r="AX260" s="109"/>
      <c r="AY260" s="109"/>
      <c r="AZ260" s="109"/>
    </row>
    <row r="261" spans="39:52" s="60" customFormat="1" x14ac:dyDescent="0.25">
      <c r="AM261" s="109"/>
      <c r="AN261" s="109"/>
      <c r="AO261" s="109"/>
      <c r="AP261" s="109"/>
      <c r="AQ261" s="109"/>
      <c r="AR261" s="109"/>
      <c r="AS261" s="109"/>
      <c r="AT261" s="109"/>
      <c r="AU261" s="109"/>
      <c r="AV261" s="109"/>
      <c r="AW261" s="109"/>
      <c r="AX261" s="109"/>
      <c r="AY261" s="109"/>
      <c r="AZ261" s="109"/>
    </row>
    <row r="262" spans="39:52" s="60" customFormat="1" x14ac:dyDescent="0.25">
      <c r="AM262" s="109"/>
      <c r="AN262" s="109"/>
      <c r="AO262" s="109"/>
      <c r="AP262" s="109"/>
      <c r="AQ262" s="109"/>
      <c r="AR262" s="109"/>
      <c r="AS262" s="109"/>
      <c r="AT262" s="109"/>
      <c r="AU262" s="109"/>
      <c r="AV262" s="109"/>
      <c r="AW262" s="109"/>
      <c r="AX262" s="109"/>
      <c r="AY262" s="109"/>
      <c r="AZ262" s="109"/>
    </row>
    <row r="263" spans="39:52" s="60" customFormat="1" x14ac:dyDescent="0.25">
      <c r="AM263" s="109"/>
      <c r="AN263" s="109"/>
      <c r="AO263" s="109"/>
      <c r="AP263" s="109"/>
      <c r="AQ263" s="109"/>
      <c r="AR263" s="109"/>
      <c r="AS263" s="109"/>
      <c r="AT263" s="109"/>
      <c r="AU263" s="109"/>
      <c r="AV263" s="109"/>
      <c r="AW263" s="109"/>
      <c r="AX263" s="109"/>
      <c r="AY263" s="109"/>
      <c r="AZ263" s="109"/>
    </row>
    <row r="264" spans="39:52" s="60" customFormat="1" x14ac:dyDescent="0.25">
      <c r="AM264" s="109"/>
      <c r="AN264" s="109"/>
      <c r="AO264" s="109"/>
      <c r="AP264" s="109"/>
      <c r="AQ264" s="109"/>
      <c r="AR264" s="109"/>
      <c r="AS264" s="109"/>
      <c r="AT264" s="109"/>
      <c r="AU264" s="109"/>
      <c r="AV264" s="109"/>
      <c r="AW264" s="109"/>
      <c r="AX264" s="109"/>
      <c r="AY264" s="109"/>
      <c r="AZ264" s="109"/>
    </row>
    <row r="265" spans="39:52" s="60" customFormat="1" x14ac:dyDescent="0.25">
      <c r="AM265" s="109"/>
      <c r="AN265" s="109"/>
      <c r="AO265" s="109"/>
      <c r="AP265" s="109"/>
      <c r="AQ265" s="109"/>
      <c r="AR265" s="109"/>
      <c r="AS265" s="109"/>
      <c r="AT265" s="109"/>
      <c r="AU265" s="109"/>
      <c r="AV265" s="109"/>
      <c r="AW265" s="109"/>
      <c r="AX265" s="109"/>
      <c r="AY265" s="109"/>
      <c r="AZ265" s="109"/>
    </row>
    <row r="266" spans="39:52" s="60" customFormat="1" x14ac:dyDescent="0.25">
      <c r="AM266" s="109"/>
      <c r="AN266" s="109"/>
      <c r="AO266" s="109"/>
      <c r="AP266" s="109"/>
      <c r="AQ266" s="109"/>
      <c r="AR266" s="109"/>
      <c r="AS266" s="109"/>
      <c r="AT266" s="109"/>
      <c r="AU266" s="109"/>
      <c r="AV266" s="109"/>
      <c r="AW266" s="109"/>
      <c r="AX266" s="109"/>
      <c r="AY266" s="109"/>
      <c r="AZ266" s="109"/>
    </row>
    <row r="267" spans="39:52" s="60" customFormat="1" x14ac:dyDescent="0.25">
      <c r="AM267" s="109"/>
      <c r="AN267" s="109"/>
      <c r="AO267" s="109"/>
      <c r="AP267" s="109"/>
      <c r="AQ267" s="109"/>
      <c r="AR267" s="109"/>
      <c r="AS267" s="109"/>
      <c r="AT267" s="109"/>
      <c r="AU267" s="109"/>
      <c r="AV267" s="109"/>
      <c r="AW267" s="109"/>
      <c r="AX267" s="109"/>
      <c r="AY267" s="109"/>
      <c r="AZ267" s="109"/>
    </row>
    <row r="268" spans="39:52" s="60" customFormat="1" x14ac:dyDescent="0.25">
      <c r="AM268" s="109"/>
      <c r="AN268" s="109"/>
      <c r="AO268" s="109"/>
      <c r="AP268" s="109"/>
      <c r="AQ268" s="109"/>
      <c r="AR268" s="109"/>
      <c r="AS268" s="109"/>
      <c r="AT268" s="109"/>
      <c r="AU268" s="109"/>
      <c r="AV268" s="109"/>
      <c r="AW268" s="109"/>
      <c r="AX268" s="109"/>
      <c r="AY268" s="109"/>
      <c r="AZ268" s="109"/>
    </row>
    <row r="269" spans="39:52" s="60" customFormat="1" x14ac:dyDescent="0.25">
      <c r="AM269" s="109"/>
      <c r="AN269" s="109"/>
      <c r="AO269" s="109"/>
      <c r="AP269" s="109"/>
      <c r="AQ269" s="109"/>
      <c r="AR269" s="109"/>
      <c r="AS269" s="109"/>
      <c r="AT269" s="109"/>
      <c r="AU269" s="109"/>
      <c r="AV269" s="109"/>
      <c r="AW269" s="109"/>
      <c r="AX269" s="109"/>
      <c r="AY269" s="109"/>
      <c r="AZ269" s="109"/>
    </row>
    <row r="270" spans="39:52" s="60" customFormat="1" x14ac:dyDescent="0.25">
      <c r="AM270" s="109"/>
      <c r="AN270" s="109"/>
      <c r="AO270" s="109"/>
      <c r="AP270" s="109"/>
      <c r="AQ270" s="109"/>
      <c r="AR270" s="109"/>
      <c r="AS270" s="109"/>
      <c r="AT270" s="109"/>
      <c r="AU270" s="109"/>
      <c r="AV270" s="109"/>
      <c r="AW270" s="109"/>
      <c r="AX270" s="109"/>
      <c r="AY270" s="109"/>
      <c r="AZ270" s="109"/>
    </row>
    <row r="271" spans="39:52" s="60" customFormat="1" x14ac:dyDescent="0.25">
      <c r="AM271" s="109"/>
      <c r="AN271" s="109"/>
      <c r="AO271" s="109"/>
      <c r="AP271" s="109"/>
      <c r="AQ271" s="109"/>
      <c r="AR271" s="109"/>
      <c r="AS271" s="109"/>
      <c r="AT271" s="109"/>
      <c r="AU271" s="109"/>
      <c r="AV271" s="109"/>
      <c r="AW271" s="109"/>
      <c r="AX271" s="109"/>
      <c r="AY271" s="109"/>
      <c r="AZ271" s="109"/>
    </row>
    <row r="272" spans="39:52" s="60" customFormat="1" x14ac:dyDescent="0.25">
      <c r="AM272" s="109"/>
      <c r="AN272" s="109"/>
      <c r="AO272" s="109"/>
      <c r="AP272" s="109"/>
      <c r="AQ272" s="109"/>
      <c r="AR272" s="109"/>
      <c r="AS272" s="109"/>
      <c r="AT272" s="109"/>
      <c r="AU272" s="109"/>
      <c r="AV272" s="109"/>
      <c r="AW272" s="109"/>
      <c r="AX272" s="109"/>
      <c r="AY272" s="109"/>
      <c r="AZ272" s="109"/>
    </row>
    <row r="273" spans="39:52" s="60" customFormat="1" x14ac:dyDescent="0.25">
      <c r="AM273" s="109"/>
      <c r="AN273" s="109"/>
      <c r="AO273" s="109"/>
      <c r="AP273" s="109"/>
      <c r="AQ273" s="109"/>
      <c r="AR273" s="109"/>
      <c r="AS273" s="109"/>
      <c r="AT273" s="109"/>
      <c r="AU273" s="109"/>
      <c r="AV273" s="109"/>
      <c r="AW273" s="109"/>
      <c r="AX273" s="109"/>
      <c r="AY273" s="109"/>
      <c r="AZ273" s="109"/>
    </row>
    <row r="274" spans="39:52" s="60" customFormat="1" x14ac:dyDescent="0.25">
      <c r="AM274" s="109"/>
      <c r="AN274" s="109"/>
      <c r="AO274" s="109"/>
      <c r="AP274" s="109"/>
      <c r="AQ274" s="109"/>
      <c r="AR274" s="109"/>
      <c r="AS274" s="109"/>
      <c r="AT274" s="109"/>
      <c r="AU274" s="109"/>
      <c r="AV274" s="109"/>
      <c r="AW274" s="109"/>
      <c r="AX274" s="109"/>
      <c r="AY274" s="109"/>
      <c r="AZ274" s="109"/>
    </row>
    <row r="275" spans="39:52" s="60" customFormat="1" x14ac:dyDescent="0.25">
      <c r="AM275" s="109"/>
      <c r="AN275" s="109"/>
      <c r="AO275" s="109"/>
      <c r="AP275" s="109"/>
      <c r="AQ275" s="109"/>
      <c r="AR275" s="109"/>
      <c r="AS275" s="109"/>
      <c r="AT275" s="109"/>
      <c r="AU275" s="109"/>
      <c r="AV275" s="109"/>
      <c r="AW275" s="109"/>
      <c r="AX275" s="109"/>
      <c r="AY275" s="109"/>
      <c r="AZ275" s="109"/>
    </row>
    <row r="276" spans="39:52" s="60" customFormat="1" x14ac:dyDescent="0.25">
      <c r="AM276" s="109"/>
      <c r="AN276" s="109"/>
      <c r="AO276" s="109"/>
      <c r="AP276" s="109"/>
      <c r="AQ276" s="109"/>
      <c r="AR276" s="109"/>
      <c r="AS276" s="109"/>
      <c r="AT276" s="109"/>
      <c r="AU276" s="109"/>
      <c r="AV276" s="109"/>
      <c r="AW276" s="109"/>
      <c r="AX276" s="109"/>
      <c r="AY276" s="109"/>
      <c r="AZ276" s="109"/>
    </row>
    <row r="277" spans="39:52" s="60" customFormat="1" x14ac:dyDescent="0.25">
      <c r="AM277" s="109"/>
      <c r="AN277" s="109"/>
      <c r="AO277" s="109"/>
      <c r="AP277" s="109"/>
      <c r="AQ277" s="109"/>
      <c r="AR277" s="109"/>
      <c r="AS277" s="109"/>
      <c r="AT277" s="109"/>
      <c r="AU277" s="109"/>
      <c r="AV277" s="109"/>
      <c r="AW277" s="109"/>
      <c r="AX277" s="109"/>
      <c r="AY277" s="109"/>
      <c r="AZ277" s="109"/>
    </row>
    <row r="278" spans="39:52" s="60" customFormat="1" x14ac:dyDescent="0.25">
      <c r="AM278" s="109"/>
      <c r="AN278" s="109"/>
      <c r="AO278" s="109"/>
      <c r="AP278" s="109"/>
      <c r="AQ278" s="109"/>
      <c r="AR278" s="109"/>
      <c r="AS278" s="109"/>
      <c r="AT278" s="109"/>
      <c r="AU278" s="109"/>
      <c r="AV278" s="109"/>
      <c r="AW278" s="109"/>
      <c r="AX278" s="109"/>
      <c r="AY278" s="109"/>
      <c r="AZ278" s="109"/>
    </row>
    <row r="279" spans="39:52" s="60" customFormat="1" x14ac:dyDescent="0.25">
      <c r="AM279" s="109"/>
      <c r="AN279" s="109"/>
      <c r="AO279" s="109"/>
      <c r="AP279" s="109"/>
      <c r="AQ279" s="109"/>
      <c r="AR279" s="109"/>
      <c r="AS279" s="109"/>
      <c r="AT279" s="109"/>
      <c r="AU279" s="109"/>
      <c r="AV279" s="109"/>
      <c r="AW279" s="109"/>
      <c r="AX279" s="109"/>
      <c r="AY279" s="109"/>
      <c r="AZ279" s="109"/>
    </row>
    <row r="280" spans="39:52" s="60" customFormat="1" x14ac:dyDescent="0.25">
      <c r="AM280" s="109"/>
      <c r="AN280" s="109"/>
      <c r="AO280" s="109"/>
      <c r="AP280" s="109"/>
      <c r="AQ280" s="109"/>
      <c r="AR280" s="109"/>
      <c r="AS280" s="109"/>
      <c r="AT280" s="109"/>
      <c r="AU280" s="109"/>
      <c r="AV280" s="109"/>
      <c r="AW280" s="109"/>
      <c r="AX280" s="109"/>
      <c r="AY280" s="109"/>
      <c r="AZ280" s="109"/>
    </row>
    <row r="281" spans="39:52" s="60" customFormat="1" x14ac:dyDescent="0.25">
      <c r="AM281" s="109"/>
      <c r="AN281" s="109"/>
      <c r="AO281" s="109"/>
      <c r="AP281" s="109"/>
      <c r="AQ281" s="109"/>
      <c r="AR281" s="109"/>
      <c r="AS281" s="109"/>
      <c r="AT281" s="109"/>
      <c r="AU281" s="109"/>
      <c r="AV281" s="109"/>
      <c r="AW281" s="109"/>
      <c r="AX281" s="109"/>
      <c r="AY281" s="109"/>
      <c r="AZ281" s="109"/>
    </row>
    <row r="282" spans="39:52" s="60" customFormat="1" x14ac:dyDescent="0.25">
      <c r="AM282" s="109"/>
      <c r="AN282" s="109"/>
      <c r="AO282" s="109"/>
      <c r="AP282" s="109"/>
      <c r="AQ282" s="109"/>
      <c r="AR282" s="109"/>
      <c r="AS282" s="109"/>
      <c r="AT282" s="109"/>
      <c r="AU282" s="109"/>
      <c r="AV282" s="109"/>
      <c r="AW282" s="109"/>
      <c r="AX282" s="109"/>
      <c r="AY282" s="109"/>
      <c r="AZ282" s="109"/>
    </row>
    <row r="283" spans="39:52" s="60" customFormat="1" x14ac:dyDescent="0.25">
      <c r="AM283" s="109"/>
      <c r="AN283" s="109"/>
      <c r="AO283" s="109"/>
      <c r="AP283" s="109"/>
      <c r="AQ283" s="109"/>
      <c r="AR283" s="109"/>
      <c r="AS283" s="109"/>
      <c r="AT283" s="109"/>
      <c r="AU283" s="109"/>
      <c r="AV283" s="109"/>
      <c r="AW283" s="109"/>
      <c r="AX283" s="109"/>
      <c r="AY283" s="109"/>
      <c r="AZ283" s="109"/>
    </row>
    <row r="284" spans="39:52" s="60" customFormat="1" x14ac:dyDescent="0.25">
      <c r="AM284" s="109"/>
      <c r="AN284" s="109"/>
      <c r="AO284" s="109"/>
      <c r="AP284" s="109"/>
      <c r="AQ284" s="109"/>
      <c r="AR284" s="109"/>
      <c r="AS284" s="109"/>
      <c r="AT284" s="109"/>
      <c r="AU284" s="109"/>
      <c r="AV284" s="109"/>
      <c r="AW284" s="109"/>
      <c r="AX284" s="109"/>
      <c r="AY284" s="109"/>
      <c r="AZ284" s="109"/>
    </row>
    <row r="285" spans="39:52" s="60" customFormat="1" x14ac:dyDescent="0.25">
      <c r="AM285" s="109"/>
      <c r="AN285" s="109"/>
      <c r="AO285" s="109"/>
      <c r="AP285" s="109"/>
      <c r="AQ285" s="109"/>
      <c r="AR285" s="109"/>
      <c r="AS285" s="109"/>
      <c r="AT285" s="109"/>
      <c r="AU285" s="109"/>
      <c r="AV285" s="109"/>
      <c r="AW285" s="109"/>
      <c r="AX285" s="109"/>
      <c r="AY285" s="109"/>
      <c r="AZ285" s="109"/>
    </row>
    <row r="286" spans="39:52" s="60" customFormat="1" x14ac:dyDescent="0.25">
      <c r="AM286" s="109"/>
      <c r="AN286" s="109"/>
      <c r="AO286" s="109"/>
      <c r="AP286" s="109"/>
      <c r="AQ286" s="109"/>
      <c r="AR286" s="109"/>
      <c r="AS286" s="109"/>
      <c r="AT286" s="109"/>
      <c r="AU286" s="109"/>
      <c r="AV286" s="109"/>
      <c r="AW286" s="109"/>
      <c r="AX286" s="109"/>
      <c r="AY286" s="109"/>
      <c r="AZ286" s="109"/>
    </row>
    <row r="287" spans="39:52" s="60" customFormat="1" x14ac:dyDescent="0.25">
      <c r="AM287" s="109"/>
      <c r="AN287" s="109"/>
      <c r="AO287" s="109"/>
      <c r="AP287" s="109"/>
      <c r="AQ287" s="109"/>
      <c r="AR287" s="109"/>
      <c r="AS287" s="109"/>
      <c r="AT287" s="109"/>
      <c r="AU287" s="109"/>
      <c r="AV287" s="109"/>
      <c r="AW287" s="109"/>
      <c r="AX287" s="109"/>
      <c r="AY287" s="109"/>
      <c r="AZ287" s="109"/>
    </row>
    <row r="288" spans="39:52" s="60" customFormat="1" x14ac:dyDescent="0.25">
      <c r="AM288" s="109"/>
      <c r="AN288" s="109"/>
      <c r="AO288" s="109"/>
      <c r="AP288" s="109"/>
      <c r="AQ288" s="109"/>
      <c r="AR288" s="109"/>
      <c r="AS288" s="109"/>
      <c r="AT288" s="109"/>
      <c r="AU288" s="109"/>
      <c r="AV288" s="109"/>
      <c r="AW288" s="109"/>
      <c r="AX288" s="109"/>
      <c r="AY288" s="109"/>
      <c r="AZ288" s="109"/>
    </row>
    <row r="289" spans="39:52" s="60" customFormat="1" x14ac:dyDescent="0.25">
      <c r="AM289" s="109"/>
      <c r="AN289" s="109"/>
      <c r="AO289" s="109"/>
      <c r="AP289" s="109"/>
      <c r="AQ289" s="109"/>
      <c r="AR289" s="109"/>
      <c r="AS289" s="109"/>
      <c r="AT289" s="109"/>
      <c r="AU289" s="109"/>
      <c r="AV289" s="109"/>
      <c r="AW289" s="109"/>
      <c r="AX289" s="109"/>
      <c r="AY289" s="109"/>
      <c r="AZ289" s="109"/>
    </row>
    <row r="290" spans="39:52" s="60" customFormat="1" x14ac:dyDescent="0.25">
      <c r="AM290" s="109"/>
      <c r="AN290" s="109"/>
      <c r="AO290" s="109"/>
      <c r="AP290" s="109"/>
      <c r="AQ290" s="109"/>
      <c r="AR290" s="109"/>
      <c r="AS290" s="109"/>
      <c r="AT290" s="109"/>
      <c r="AU290" s="109"/>
      <c r="AV290" s="109"/>
      <c r="AW290" s="109"/>
      <c r="AX290" s="109"/>
      <c r="AY290" s="109"/>
      <c r="AZ290" s="109"/>
    </row>
    <row r="291" spans="39:52" s="60" customFormat="1" x14ac:dyDescent="0.25">
      <c r="AM291" s="109"/>
      <c r="AN291" s="109"/>
      <c r="AO291" s="109"/>
      <c r="AP291" s="109"/>
      <c r="AQ291" s="109"/>
      <c r="AR291" s="109"/>
      <c r="AS291" s="109"/>
      <c r="AT291" s="109"/>
      <c r="AU291" s="109"/>
      <c r="AV291" s="109"/>
      <c r="AW291" s="109"/>
      <c r="AX291" s="109"/>
      <c r="AY291" s="109"/>
      <c r="AZ291" s="109"/>
    </row>
    <row r="292" spans="39:52" s="60" customFormat="1" x14ac:dyDescent="0.25">
      <c r="AM292" s="109"/>
      <c r="AN292" s="109"/>
      <c r="AO292" s="109"/>
      <c r="AP292" s="109"/>
      <c r="AQ292" s="109"/>
      <c r="AR292" s="109"/>
      <c r="AS292" s="109"/>
      <c r="AT292" s="109"/>
      <c r="AU292" s="109"/>
      <c r="AV292" s="109"/>
      <c r="AW292" s="109"/>
      <c r="AX292" s="109"/>
      <c r="AY292" s="109"/>
      <c r="AZ292" s="109"/>
    </row>
    <row r="293" spans="39:52" s="60" customFormat="1" x14ac:dyDescent="0.25">
      <c r="AM293" s="109"/>
      <c r="AN293" s="109"/>
      <c r="AO293" s="109"/>
      <c r="AP293" s="109"/>
      <c r="AQ293" s="109"/>
      <c r="AR293" s="109"/>
      <c r="AS293" s="109"/>
      <c r="AT293" s="109"/>
      <c r="AU293" s="109"/>
      <c r="AV293" s="109"/>
      <c r="AW293" s="109"/>
      <c r="AX293" s="109"/>
      <c r="AY293" s="109"/>
      <c r="AZ293" s="109"/>
    </row>
    <row r="294" spans="39:52" s="60" customFormat="1" x14ac:dyDescent="0.25">
      <c r="AM294" s="109"/>
      <c r="AN294" s="109"/>
      <c r="AO294" s="109"/>
      <c r="AP294" s="109"/>
      <c r="AQ294" s="109"/>
      <c r="AR294" s="109"/>
      <c r="AS294" s="109"/>
      <c r="AT294" s="109"/>
      <c r="AU294" s="109"/>
      <c r="AV294" s="109"/>
      <c r="AW294" s="109"/>
      <c r="AX294" s="109"/>
      <c r="AY294" s="109"/>
      <c r="AZ294" s="109"/>
    </row>
    <row r="295" spans="39:52" s="60" customFormat="1" x14ac:dyDescent="0.25">
      <c r="AM295" s="109"/>
      <c r="AN295" s="109"/>
      <c r="AO295" s="109"/>
      <c r="AP295" s="109"/>
      <c r="AQ295" s="109"/>
      <c r="AR295" s="109"/>
      <c r="AS295" s="109"/>
      <c r="AT295" s="109"/>
      <c r="AU295" s="109"/>
      <c r="AV295" s="109"/>
      <c r="AW295" s="109"/>
      <c r="AX295" s="109"/>
      <c r="AY295" s="109"/>
      <c r="AZ295" s="109"/>
    </row>
    <row r="296" spans="39:52" s="60" customFormat="1" x14ac:dyDescent="0.25">
      <c r="AM296" s="109"/>
      <c r="AN296" s="109"/>
      <c r="AO296" s="109"/>
      <c r="AP296" s="109"/>
      <c r="AQ296" s="109"/>
      <c r="AR296" s="109"/>
      <c r="AS296" s="109"/>
      <c r="AT296" s="109"/>
      <c r="AU296" s="109"/>
      <c r="AV296" s="109"/>
      <c r="AW296" s="109"/>
      <c r="AX296" s="109"/>
      <c r="AY296" s="109"/>
      <c r="AZ296" s="109"/>
    </row>
    <row r="297" spans="39:52" s="60" customFormat="1" x14ac:dyDescent="0.25">
      <c r="AM297" s="109"/>
      <c r="AN297" s="109"/>
      <c r="AO297" s="109"/>
      <c r="AP297" s="109"/>
      <c r="AQ297" s="109"/>
      <c r="AR297" s="109"/>
      <c r="AS297" s="109"/>
      <c r="AT297" s="109"/>
      <c r="AU297" s="109"/>
      <c r="AV297" s="109"/>
      <c r="AW297" s="109"/>
      <c r="AX297" s="109"/>
      <c r="AY297" s="109"/>
      <c r="AZ297" s="109"/>
    </row>
    <row r="298" spans="39:52" s="60" customFormat="1" x14ac:dyDescent="0.25">
      <c r="AM298" s="109"/>
      <c r="AN298" s="109"/>
      <c r="AO298" s="109"/>
      <c r="AP298" s="109"/>
      <c r="AQ298" s="109"/>
      <c r="AR298" s="109"/>
      <c r="AS298" s="109"/>
      <c r="AT298" s="109"/>
      <c r="AU298" s="109"/>
      <c r="AV298" s="109"/>
      <c r="AW298" s="109"/>
      <c r="AX298" s="109"/>
      <c r="AY298" s="109"/>
      <c r="AZ298" s="109"/>
    </row>
    <row r="299" spans="39:52" s="60" customFormat="1" x14ac:dyDescent="0.25">
      <c r="AM299" s="109"/>
      <c r="AN299" s="109"/>
      <c r="AO299" s="109"/>
      <c r="AP299" s="109"/>
      <c r="AQ299" s="109"/>
      <c r="AR299" s="109"/>
      <c r="AS299" s="109"/>
      <c r="AT299" s="109"/>
      <c r="AU299" s="109"/>
      <c r="AV299" s="109"/>
      <c r="AW299" s="109"/>
      <c r="AX299" s="109"/>
      <c r="AY299" s="109"/>
      <c r="AZ299" s="109"/>
    </row>
    <row r="300" spans="39:52" s="60" customFormat="1" x14ac:dyDescent="0.25">
      <c r="AM300" s="109"/>
      <c r="AN300" s="109"/>
      <c r="AO300" s="109"/>
      <c r="AP300" s="109"/>
      <c r="AQ300" s="109"/>
      <c r="AR300" s="109"/>
      <c r="AS300" s="109"/>
      <c r="AT300" s="109"/>
      <c r="AU300" s="109"/>
      <c r="AV300" s="109"/>
      <c r="AW300" s="109"/>
      <c r="AX300" s="109"/>
      <c r="AY300" s="109"/>
      <c r="AZ300" s="109"/>
    </row>
    <row r="301" spans="39:52" s="60" customFormat="1" x14ac:dyDescent="0.25">
      <c r="AM301" s="109"/>
      <c r="AN301" s="109"/>
      <c r="AO301" s="109"/>
      <c r="AP301" s="109"/>
      <c r="AQ301" s="109"/>
      <c r="AR301" s="109"/>
      <c r="AS301" s="109"/>
      <c r="AT301" s="109"/>
      <c r="AU301" s="109"/>
      <c r="AV301" s="109"/>
      <c r="AW301" s="109"/>
      <c r="AX301" s="109"/>
      <c r="AY301" s="109"/>
      <c r="AZ301" s="109"/>
    </row>
    <row r="302" spans="39:52" s="60" customFormat="1" x14ac:dyDescent="0.25">
      <c r="AM302" s="109"/>
      <c r="AN302" s="109"/>
      <c r="AO302" s="109"/>
      <c r="AP302" s="109"/>
      <c r="AQ302" s="109"/>
      <c r="AR302" s="109"/>
      <c r="AS302" s="109"/>
      <c r="AT302" s="109"/>
      <c r="AU302" s="109"/>
      <c r="AV302" s="109"/>
      <c r="AW302" s="109"/>
      <c r="AX302" s="109"/>
      <c r="AY302" s="109"/>
      <c r="AZ302" s="109"/>
    </row>
    <row r="303" spans="39:52" s="60" customFormat="1" x14ac:dyDescent="0.25">
      <c r="AM303" s="109"/>
      <c r="AN303" s="109"/>
      <c r="AO303" s="109"/>
      <c r="AP303" s="109"/>
      <c r="AQ303" s="109"/>
      <c r="AR303" s="109"/>
      <c r="AS303" s="109"/>
      <c r="AT303" s="109"/>
      <c r="AU303" s="109"/>
      <c r="AV303" s="109"/>
      <c r="AW303" s="109"/>
      <c r="AX303" s="109"/>
      <c r="AY303" s="109"/>
      <c r="AZ303" s="109"/>
    </row>
    <row r="304" spans="39:52" s="60" customFormat="1" x14ac:dyDescent="0.25">
      <c r="AM304" s="109"/>
      <c r="AN304" s="109"/>
      <c r="AO304" s="109"/>
      <c r="AP304" s="109"/>
      <c r="AQ304" s="109"/>
      <c r="AR304" s="109"/>
      <c r="AS304" s="109"/>
      <c r="AT304" s="109"/>
      <c r="AU304" s="109"/>
      <c r="AV304" s="109"/>
      <c r="AW304" s="109"/>
      <c r="AX304" s="109"/>
      <c r="AY304" s="109"/>
      <c r="AZ304" s="109"/>
    </row>
    <row r="305" spans="39:52" s="60" customFormat="1" x14ac:dyDescent="0.25">
      <c r="AM305" s="109"/>
      <c r="AN305" s="109"/>
      <c r="AO305" s="109"/>
      <c r="AP305" s="109"/>
      <c r="AQ305" s="109"/>
      <c r="AR305" s="109"/>
      <c r="AS305" s="109"/>
      <c r="AT305" s="109"/>
      <c r="AU305" s="109"/>
      <c r="AV305" s="109"/>
      <c r="AW305" s="109"/>
      <c r="AX305" s="109"/>
      <c r="AY305" s="109"/>
      <c r="AZ305" s="109"/>
    </row>
    <row r="306" spans="39:52" s="60" customFormat="1" x14ac:dyDescent="0.25">
      <c r="AM306" s="109"/>
      <c r="AN306" s="109"/>
      <c r="AO306" s="109"/>
      <c r="AP306" s="109"/>
      <c r="AQ306" s="109"/>
      <c r="AR306" s="109"/>
      <c r="AS306" s="109"/>
      <c r="AT306" s="109"/>
      <c r="AU306" s="109"/>
      <c r="AV306" s="109"/>
      <c r="AW306" s="109"/>
      <c r="AX306" s="109"/>
      <c r="AY306" s="109"/>
      <c r="AZ306" s="109"/>
    </row>
    <row r="307" spans="39:52" s="60" customFormat="1" x14ac:dyDescent="0.25">
      <c r="AM307" s="109"/>
      <c r="AN307" s="109"/>
      <c r="AO307" s="109"/>
      <c r="AP307" s="109"/>
      <c r="AQ307" s="109"/>
      <c r="AR307" s="109"/>
      <c r="AS307" s="109"/>
      <c r="AT307" s="109"/>
      <c r="AU307" s="109"/>
      <c r="AV307" s="109"/>
      <c r="AW307" s="109"/>
      <c r="AX307" s="109"/>
      <c r="AY307" s="109"/>
      <c r="AZ307" s="109"/>
    </row>
    <row r="308" spans="39:52" s="60" customFormat="1" x14ac:dyDescent="0.25">
      <c r="AM308" s="109"/>
      <c r="AN308" s="109"/>
      <c r="AO308" s="109"/>
      <c r="AP308" s="109"/>
      <c r="AQ308" s="109"/>
      <c r="AR308" s="109"/>
      <c r="AS308" s="109"/>
      <c r="AT308" s="109"/>
      <c r="AU308" s="109"/>
      <c r="AV308" s="109"/>
      <c r="AW308" s="109"/>
      <c r="AX308" s="109"/>
      <c r="AY308" s="109"/>
      <c r="AZ308" s="109"/>
    </row>
    <row r="309" spans="39:52" s="60" customFormat="1" x14ac:dyDescent="0.25">
      <c r="AM309" s="109"/>
      <c r="AN309" s="109"/>
      <c r="AO309" s="109"/>
      <c r="AP309" s="109"/>
      <c r="AQ309" s="109"/>
      <c r="AR309" s="109"/>
      <c r="AS309" s="109"/>
      <c r="AT309" s="109"/>
      <c r="AU309" s="109"/>
      <c r="AV309" s="109"/>
      <c r="AW309" s="109"/>
      <c r="AX309" s="109"/>
      <c r="AY309" s="109"/>
      <c r="AZ309" s="109"/>
    </row>
    <row r="310" spans="39:52" s="60" customFormat="1" x14ac:dyDescent="0.25">
      <c r="AM310" s="109"/>
      <c r="AN310" s="109"/>
      <c r="AO310" s="109"/>
      <c r="AP310" s="109"/>
      <c r="AQ310" s="109"/>
      <c r="AR310" s="109"/>
      <c r="AS310" s="109"/>
      <c r="AT310" s="109"/>
      <c r="AU310" s="109"/>
      <c r="AV310" s="109"/>
      <c r="AW310" s="109"/>
      <c r="AX310" s="109"/>
      <c r="AY310" s="109"/>
      <c r="AZ310" s="109"/>
    </row>
    <row r="311" spans="39:52" s="60" customFormat="1" x14ac:dyDescent="0.25">
      <c r="AM311" s="109"/>
      <c r="AN311" s="109"/>
      <c r="AO311" s="109"/>
      <c r="AP311" s="109"/>
      <c r="AQ311" s="109"/>
      <c r="AR311" s="109"/>
      <c r="AS311" s="109"/>
      <c r="AT311" s="109"/>
      <c r="AU311" s="109"/>
      <c r="AV311" s="109"/>
      <c r="AW311" s="109"/>
      <c r="AX311" s="109"/>
      <c r="AY311" s="109"/>
      <c r="AZ311" s="109"/>
    </row>
    <row r="312" spans="39:52" s="60" customFormat="1" x14ac:dyDescent="0.25">
      <c r="AM312" s="109"/>
      <c r="AN312" s="109"/>
      <c r="AO312" s="109"/>
      <c r="AP312" s="109"/>
      <c r="AQ312" s="109"/>
      <c r="AR312" s="109"/>
      <c r="AS312" s="109"/>
      <c r="AT312" s="109"/>
      <c r="AU312" s="109"/>
      <c r="AV312" s="109"/>
      <c r="AW312" s="109"/>
      <c r="AX312" s="109"/>
      <c r="AY312" s="109"/>
      <c r="AZ312" s="109"/>
    </row>
    <row r="313" spans="39:52" s="60" customFormat="1" x14ac:dyDescent="0.25">
      <c r="AM313" s="109"/>
      <c r="AN313" s="109"/>
      <c r="AO313" s="109"/>
      <c r="AP313" s="109"/>
      <c r="AQ313" s="109"/>
      <c r="AR313" s="109"/>
      <c r="AS313" s="109"/>
      <c r="AT313" s="109"/>
      <c r="AU313" s="109"/>
      <c r="AV313" s="109"/>
      <c r="AW313" s="109"/>
      <c r="AX313" s="109"/>
      <c r="AY313" s="109"/>
      <c r="AZ313" s="109"/>
    </row>
    <row r="314" spans="39:52" s="60" customFormat="1" x14ac:dyDescent="0.25">
      <c r="AM314" s="109"/>
      <c r="AN314" s="109"/>
      <c r="AO314" s="109"/>
      <c r="AP314" s="109"/>
      <c r="AQ314" s="109"/>
      <c r="AR314" s="109"/>
      <c r="AS314" s="109"/>
      <c r="AT314" s="109"/>
      <c r="AU314" s="109"/>
      <c r="AV314" s="109"/>
      <c r="AW314" s="109"/>
      <c r="AX314" s="109"/>
      <c r="AY314" s="109"/>
      <c r="AZ314" s="109"/>
    </row>
    <row r="315" spans="39:52" s="60" customFormat="1" x14ac:dyDescent="0.25">
      <c r="AM315" s="109"/>
      <c r="AN315" s="109"/>
      <c r="AO315" s="109"/>
      <c r="AP315" s="109"/>
      <c r="AQ315" s="109"/>
      <c r="AR315" s="109"/>
      <c r="AS315" s="109"/>
      <c r="AT315" s="109"/>
      <c r="AU315" s="109"/>
      <c r="AV315" s="109"/>
      <c r="AW315" s="109"/>
      <c r="AX315" s="109"/>
      <c r="AY315" s="109"/>
      <c r="AZ315" s="109"/>
    </row>
    <row r="316" spans="39:52" s="60" customFormat="1" x14ac:dyDescent="0.25">
      <c r="AM316" s="109"/>
      <c r="AN316" s="109"/>
      <c r="AO316" s="109"/>
      <c r="AP316" s="109"/>
      <c r="AQ316" s="109"/>
      <c r="AR316" s="109"/>
      <c r="AS316" s="109"/>
      <c r="AT316" s="109"/>
      <c r="AU316" s="109"/>
      <c r="AV316" s="109"/>
      <c r="AW316" s="109"/>
      <c r="AX316" s="109"/>
      <c r="AY316" s="109"/>
      <c r="AZ316" s="109"/>
    </row>
    <row r="317" spans="39:52" s="60" customFormat="1" x14ac:dyDescent="0.25">
      <c r="AM317" s="109"/>
      <c r="AN317" s="109"/>
      <c r="AO317" s="109"/>
      <c r="AP317" s="109"/>
      <c r="AQ317" s="109"/>
      <c r="AR317" s="109"/>
      <c r="AS317" s="109"/>
      <c r="AT317" s="109"/>
      <c r="AU317" s="109"/>
      <c r="AV317" s="109"/>
      <c r="AW317" s="109"/>
      <c r="AX317" s="109"/>
      <c r="AY317" s="109"/>
      <c r="AZ317" s="109"/>
    </row>
    <row r="318" spans="39:52" s="60" customFormat="1" x14ac:dyDescent="0.25">
      <c r="AM318" s="109"/>
      <c r="AN318" s="109"/>
      <c r="AO318" s="109"/>
      <c r="AP318" s="109"/>
      <c r="AQ318" s="109"/>
      <c r="AR318" s="109"/>
      <c r="AS318" s="109"/>
      <c r="AT318" s="109"/>
      <c r="AU318" s="109"/>
      <c r="AV318" s="109"/>
      <c r="AW318" s="109"/>
      <c r="AX318" s="109"/>
      <c r="AY318" s="109"/>
      <c r="AZ318" s="109"/>
    </row>
    <row r="319" spans="39:52" s="60" customFormat="1" x14ac:dyDescent="0.25">
      <c r="AM319" s="109"/>
      <c r="AN319" s="109"/>
      <c r="AO319" s="109"/>
      <c r="AP319" s="109"/>
      <c r="AQ319" s="109"/>
      <c r="AR319" s="109"/>
      <c r="AS319" s="109"/>
      <c r="AT319" s="109"/>
      <c r="AU319" s="109"/>
      <c r="AV319" s="109"/>
      <c r="AW319" s="109"/>
      <c r="AX319" s="109"/>
      <c r="AY319" s="109"/>
      <c r="AZ319" s="109"/>
    </row>
    <row r="320" spans="39:52" s="60" customFormat="1" x14ac:dyDescent="0.25">
      <c r="AM320" s="109"/>
      <c r="AN320" s="109"/>
      <c r="AO320" s="109"/>
      <c r="AP320" s="109"/>
      <c r="AQ320" s="109"/>
      <c r="AR320" s="109"/>
      <c r="AS320" s="109"/>
      <c r="AT320" s="109"/>
      <c r="AU320" s="109"/>
      <c r="AV320" s="109"/>
      <c r="AW320" s="109"/>
      <c r="AX320" s="109"/>
      <c r="AY320" s="109"/>
      <c r="AZ320" s="109"/>
    </row>
    <row r="321" spans="39:52" s="60" customFormat="1" x14ac:dyDescent="0.25">
      <c r="AM321" s="109"/>
      <c r="AN321" s="109"/>
      <c r="AO321" s="109"/>
      <c r="AP321" s="109"/>
      <c r="AQ321" s="109"/>
      <c r="AR321" s="109"/>
      <c r="AS321" s="109"/>
      <c r="AT321" s="109"/>
      <c r="AU321" s="109"/>
      <c r="AV321" s="109"/>
      <c r="AW321" s="109"/>
      <c r="AX321" s="109"/>
      <c r="AY321" s="109"/>
      <c r="AZ321" s="109"/>
    </row>
    <row r="322" spans="39:52" s="60" customFormat="1" x14ac:dyDescent="0.25">
      <c r="AM322" s="109"/>
      <c r="AN322" s="109"/>
      <c r="AO322" s="109"/>
      <c r="AP322" s="109"/>
      <c r="AQ322" s="109"/>
      <c r="AR322" s="109"/>
      <c r="AS322" s="109"/>
      <c r="AT322" s="109"/>
      <c r="AU322" s="109"/>
      <c r="AV322" s="109"/>
      <c r="AW322" s="109"/>
      <c r="AX322" s="109"/>
      <c r="AY322" s="109"/>
      <c r="AZ322" s="109"/>
    </row>
    <row r="323" spans="39:52" s="60" customFormat="1" x14ac:dyDescent="0.25">
      <c r="AM323" s="109"/>
      <c r="AN323" s="109"/>
      <c r="AO323" s="109"/>
      <c r="AP323" s="109"/>
      <c r="AQ323" s="109"/>
      <c r="AR323" s="109"/>
      <c r="AS323" s="109"/>
      <c r="AT323" s="109"/>
      <c r="AU323" s="109"/>
      <c r="AV323" s="109"/>
      <c r="AW323" s="109"/>
      <c r="AX323" s="109"/>
      <c r="AY323" s="109"/>
      <c r="AZ323" s="109"/>
    </row>
    <row r="324" spans="39:52" s="60" customFormat="1" x14ac:dyDescent="0.25">
      <c r="AM324" s="109"/>
      <c r="AN324" s="109"/>
      <c r="AO324" s="109"/>
      <c r="AP324" s="109"/>
      <c r="AQ324" s="109"/>
      <c r="AR324" s="109"/>
      <c r="AS324" s="109"/>
      <c r="AT324" s="109"/>
      <c r="AU324" s="109"/>
      <c r="AV324" s="109"/>
      <c r="AW324" s="109"/>
      <c r="AX324" s="109"/>
      <c r="AY324" s="109"/>
      <c r="AZ324" s="109"/>
    </row>
    <row r="325" spans="39:52" s="60" customFormat="1" x14ac:dyDescent="0.25">
      <c r="AM325" s="109"/>
      <c r="AN325" s="109"/>
      <c r="AO325" s="109"/>
      <c r="AP325" s="109"/>
      <c r="AQ325" s="109"/>
      <c r="AR325" s="109"/>
      <c r="AS325" s="109"/>
      <c r="AT325" s="109"/>
      <c r="AU325" s="109"/>
      <c r="AV325" s="109"/>
      <c r="AW325" s="109"/>
      <c r="AX325" s="109"/>
      <c r="AY325" s="109"/>
      <c r="AZ325" s="109"/>
    </row>
    <row r="326" spans="39:52" s="60" customFormat="1" x14ac:dyDescent="0.25">
      <c r="AM326" s="109"/>
      <c r="AN326" s="109"/>
      <c r="AO326" s="109"/>
      <c r="AP326" s="109"/>
      <c r="AQ326" s="109"/>
      <c r="AR326" s="109"/>
      <c r="AS326" s="109"/>
      <c r="AT326" s="109"/>
      <c r="AU326" s="109"/>
      <c r="AV326" s="109"/>
      <c r="AW326" s="109"/>
      <c r="AX326" s="109"/>
      <c r="AY326" s="109"/>
      <c r="AZ326" s="109"/>
    </row>
    <row r="327" spans="39:52" s="60" customFormat="1" x14ac:dyDescent="0.25">
      <c r="AM327" s="109"/>
      <c r="AN327" s="109"/>
      <c r="AO327" s="109"/>
      <c r="AP327" s="109"/>
      <c r="AQ327" s="109"/>
      <c r="AR327" s="109"/>
      <c r="AS327" s="109"/>
      <c r="AT327" s="109"/>
      <c r="AU327" s="109"/>
      <c r="AV327" s="109"/>
      <c r="AW327" s="109"/>
      <c r="AX327" s="109"/>
      <c r="AY327" s="109"/>
      <c r="AZ327" s="109"/>
    </row>
    <row r="328" spans="39:52" s="60" customFormat="1" x14ac:dyDescent="0.25">
      <c r="AM328" s="109"/>
      <c r="AN328" s="109"/>
      <c r="AO328" s="109"/>
      <c r="AP328" s="109"/>
      <c r="AQ328" s="109"/>
      <c r="AR328" s="109"/>
      <c r="AS328" s="109"/>
      <c r="AT328" s="109"/>
      <c r="AU328" s="109"/>
      <c r="AV328" s="109"/>
      <c r="AW328" s="109"/>
      <c r="AX328" s="109"/>
      <c r="AY328" s="109"/>
      <c r="AZ328" s="109"/>
    </row>
    <row r="329" spans="39:52" s="60" customFormat="1" x14ac:dyDescent="0.25">
      <c r="AM329" s="109"/>
      <c r="AN329" s="109"/>
      <c r="AO329" s="109"/>
      <c r="AP329" s="109"/>
      <c r="AQ329" s="109"/>
      <c r="AR329" s="109"/>
      <c r="AS329" s="109"/>
      <c r="AT329" s="109"/>
      <c r="AU329" s="109"/>
      <c r="AV329" s="109"/>
      <c r="AW329" s="109"/>
      <c r="AX329" s="109"/>
      <c r="AY329" s="109"/>
      <c r="AZ329" s="109"/>
    </row>
    <row r="330" spans="39:52" s="60" customFormat="1" x14ac:dyDescent="0.25">
      <c r="AM330" s="109"/>
      <c r="AN330" s="109"/>
      <c r="AO330" s="109"/>
      <c r="AP330" s="109"/>
      <c r="AQ330" s="109"/>
      <c r="AR330" s="109"/>
      <c r="AS330" s="109"/>
      <c r="AT330" s="109"/>
      <c r="AU330" s="109"/>
      <c r="AV330" s="109"/>
      <c r="AW330" s="109"/>
      <c r="AX330" s="109"/>
      <c r="AY330" s="109"/>
      <c r="AZ330" s="109"/>
    </row>
    <row r="331" spans="39:52" s="60" customFormat="1" x14ac:dyDescent="0.25">
      <c r="AM331" s="109"/>
      <c r="AN331" s="109"/>
      <c r="AO331" s="109"/>
      <c r="AP331" s="109"/>
      <c r="AQ331" s="109"/>
      <c r="AR331" s="109"/>
      <c r="AS331" s="109"/>
      <c r="AT331" s="109"/>
      <c r="AU331" s="109"/>
      <c r="AV331" s="109"/>
      <c r="AW331" s="109"/>
      <c r="AX331" s="109"/>
      <c r="AY331" s="109"/>
      <c r="AZ331" s="109"/>
    </row>
    <row r="332" spans="39:52" s="60" customFormat="1" x14ac:dyDescent="0.25">
      <c r="AM332" s="109"/>
      <c r="AN332" s="109"/>
      <c r="AO332" s="109"/>
      <c r="AP332" s="109"/>
      <c r="AQ332" s="109"/>
      <c r="AR332" s="109"/>
      <c r="AS332" s="109"/>
      <c r="AT332" s="109"/>
      <c r="AU332" s="109"/>
      <c r="AV332" s="109"/>
      <c r="AW332" s="109"/>
      <c r="AX332" s="109"/>
      <c r="AY332" s="109"/>
      <c r="AZ332" s="109"/>
    </row>
    <row r="333" spans="39:52" s="60" customFormat="1" x14ac:dyDescent="0.25">
      <c r="AM333" s="109"/>
      <c r="AN333" s="109"/>
      <c r="AO333" s="109"/>
      <c r="AP333" s="109"/>
      <c r="AQ333" s="109"/>
      <c r="AR333" s="109"/>
      <c r="AS333" s="109"/>
      <c r="AT333" s="109"/>
      <c r="AU333" s="109"/>
      <c r="AV333" s="109"/>
      <c r="AW333" s="109"/>
      <c r="AX333" s="109"/>
      <c r="AY333" s="109"/>
      <c r="AZ333" s="109"/>
    </row>
    <row r="334" spans="39:52" s="60" customFormat="1" x14ac:dyDescent="0.25">
      <c r="AM334" s="109"/>
      <c r="AN334" s="109"/>
      <c r="AO334" s="109"/>
      <c r="AP334" s="109"/>
      <c r="AQ334" s="109"/>
      <c r="AR334" s="109"/>
      <c r="AS334" s="109"/>
      <c r="AT334" s="109"/>
      <c r="AU334" s="109"/>
      <c r="AV334" s="109"/>
      <c r="AW334" s="109"/>
      <c r="AX334" s="109"/>
      <c r="AY334" s="109"/>
      <c r="AZ334" s="109"/>
    </row>
    <row r="335" spans="39:52" s="60" customFormat="1" x14ac:dyDescent="0.25">
      <c r="AM335" s="109"/>
      <c r="AN335" s="109"/>
      <c r="AO335" s="109"/>
      <c r="AP335" s="109"/>
      <c r="AQ335" s="109"/>
      <c r="AR335" s="109"/>
      <c r="AS335" s="109"/>
      <c r="AT335" s="109"/>
      <c r="AU335" s="109"/>
      <c r="AV335" s="109"/>
      <c r="AW335" s="109"/>
      <c r="AX335" s="109"/>
      <c r="AY335" s="109"/>
      <c r="AZ335" s="109"/>
    </row>
    <row r="336" spans="39:52" s="60" customFormat="1" x14ac:dyDescent="0.25">
      <c r="AM336" s="109"/>
      <c r="AN336" s="109"/>
      <c r="AO336" s="109"/>
      <c r="AP336" s="109"/>
      <c r="AQ336" s="109"/>
      <c r="AR336" s="109"/>
      <c r="AS336" s="109"/>
      <c r="AT336" s="109"/>
      <c r="AU336" s="109"/>
      <c r="AV336" s="109"/>
      <c r="AW336" s="109"/>
      <c r="AX336" s="109"/>
      <c r="AY336" s="109"/>
      <c r="AZ336" s="109"/>
    </row>
    <row r="337" spans="39:52" s="60" customFormat="1" x14ac:dyDescent="0.25">
      <c r="AM337" s="109"/>
      <c r="AN337" s="109"/>
      <c r="AO337" s="109"/>
      <c r="AP337" s="109"/>
      <c r="AQ337" s="109"/>
      <c r="AR337" s="109"/>
      <c r="AS337" s="109"/>
      <c r="AT337" s="109"/>
      <c r="AU337" s="109"/>
      <c r="AV337" s="109"/>
      <c r="AW337" s="109"/>
      <c r="AX337" s="109"/>
      <c r="AY337" s="109"/>
      <c r="AZ337" s="109"/>
    </row>
    <row r="338" spans="39:52" s="60" customFormat="1" x14ac:dyDescent="0.25">
      <c r="AM338" s="109"/>
      <c r="AN338" s="109"/>
      <c r="AO338" s="109"/>
      <c r="AP338" s="109"/>
      <c r="AQ338" s="109"/>
      <c r="AR338" s="109"/>
      <c r="AS338" s="109"/>
      <c r="AT338" s="109"/>
      <c r="AU338" s="109"/>
      <c r="AV338" s="109"/>
      <c r="AW338" s="109"/>
      <c r="AX338" s="109"/>
      <c r="AY338" s="109"/>
      <c r="AZ338" s="109"/>
    </row>
    <row r="339" spans="39:52" s="60" customFormat="1" x14ac:dyDescent="0.25">
      <c r="AM339" s="109"/>
      <c r="AN339" s="109"/>
      <c r="AO339" s="109"/>
      <c r="AP339" s="109"/>
      <c r="AQ339" s="109"/>
      <c r="AR339" s="109"/>
      <c r="AS339" s="109"/>
      <c r="AT339" s="109"/>
      <c r="AU339" s="109"/>
      <c r="AV339" s="109"/>
      <c r="AW339" s="109"/>
      <c r="AX339" s="109"/>
      <c r="AY339" s="109"/>
      <c r="AZ339" s="109"/>
    </row>
    <row r="340" spans="39:52" s="60" customFormat="1" x14ac:dyDescent="0.25">
      <c r="AM340" s="109"/>
      <c r="AN340" s="109"/>
      <c r="AO340" s="109"/>
      <c r="AP340" s="109"/>
      <c r="AQ340" s="109"/>
      <c r="AR340" s="109"/>
      <c r="AS340" s="109"/>
      <c r="AT340" s="109"/>
      <c r="AU340" s="109"/>
      <c r="AV340" s="109"/>
      <c r="AW340" s="109"/>
      <c r="AX340" s="109"/>
      <c r="AY340" s="109"/>
      <c r="AZ340" s="109"/>
    </row>
    <row r="341" spans="39:52" s="60" customFormat="1" x14ac:dyDescent="0.25">
      <c r="AM341" s="109"/>
      <c r="AN341" s="109"/>
      <c r="AO341" s="109"/>
      <c r="AP341" s="109"/>
      <c r="AQ341" s="109"/>
      <c r="AR341" s="109"/>
      <c r="AS341" s="109"/>
      <c r="AT341" s="109"/>
      <c r="AU341" s="109"/>
      <c r="AV341" s="109"/>
      <c r="AW341" s="109"/>
      <c r="AX341" s="109"/>
      <c r="AY341" s="109"/>
      <c r="AZ341" s="109"/>
    </row>
    <row r="342" spans="39:52" s="60" customFormat="1" x14ac:dyDescent="0.25">
      <c r="AM342" s="109"/>
      <c r="AN342" s="109"/>
      <c r="AO342" s="109"/>
      <c r="AP342" s="109"/>
      <c r="AQ342" s="109"/>
      <c r="AR342" s="109"/>
      <c r="AS342" s="109"/>
      <c r="AT342" s="109"/>
      <c r="AU342" s="109"/>
      <c r="AV342" s="109"/>
      <c r="AW342" s="109"/>
      <c r="AX342" s="109"/>
      <c r="AY342" s="109"/>
      <c r="AZ342" s="109"/>
    </row>
    <row r="343" spans="39:52" s="60" customFormat="1" x14ac:dyDescent="0.25">
      <c r="AM343" s="109"/>
      <c r="AN343" s="109"/>
      <c r="AO343" s="109"/>
      <c r="AP343" s="109"/>
      <c r="AQ343" s="109"/>
      <c r="AR343" s="109"/>
      <c r="AS343" s="109"/>
      <c r="AT343" s="109"/>
      <c r="AU343" s="109"/>
      <c r="AV343" s="109"/>
      <c r="AW343" s="109"/>
      <c r="AX343" s="109"/>
      <c r="AY343" s="109"/>
      <c r="AZ343" s="109"/>
    </row>
    <row r="344" spans="39:52" s="60" customFormat="1" x14ac:dyDescent="0.25">
      <c r="AM344" s="109"/>
      <c r="AN344" s="109"/>
      <c r="AO344" s="109"/>
      <c r="AP344" s="109"/>
      <c r="AQ344" s="109"/>
      <c r="AR344" s="109"/>
      <c r="AS344" s="109"/>
      <c r="AT344" s="109"/>
      <c r="AU344" s="109"/>
      <c r="AV344" s="109"/>
      <c r="AW344" s="109"/>
      <c r="AX344" s="109"/>
      <c r="AY344" s="109"/>
      <c r="AZ344" s="109"/>
    </row>
    <row r="345" spans="39:52" s="60" customFormat="1" x14ac:dyDescent="0.25">
      <c r="AM345" s="109"/>
      <c r="AN345" s="109"/>
      <c r="AO345" s="109"/>
      <c r="AP345" s="109"/>
      <c r="AQ345" s="109"/>
      <c r="AR345" s="109"/>
      <c r="AS345" s="109"/>
      <c r="AT345" s="109"/>
      <c r="AU345" s="109"/>
      <c r="AV345" s="109"/>
      <c r="AW345" s="109"/>
      <c r="AX345" s="109"/>
      <c r="AY345" s="109"/>
      <c r="AZ345" s="109"/>
    </row>
    <row r="346" spans="39:52" s="60" customFormat="1" x14ac:dyDescent="0.25">
      <c r="AM346" s="109"/>
      <c r="AN346" s="109"/>
      <c r="AO346" s="109"/>
      <c r="AP346" s="109"/>
      <c r="AQ346" s="109"/>
      <c r="AR346" s="109"/>
      <c r="AS346" s="109"/>
      <c r="AT346" s="109"/>
      <c r="AU346" s="109"/>
      <c r="AV346" s="109"/>
      <c r="AW346" s="109"/>
      <c r="AX346" s="109"/>
      <c r="AY346" s="109"/>
      <c r="AZ346" s="109"/>
    </row>
    <row r="347" spans="39:52" s="60" customFormat="1" x14ac:dyDescent="0.25">
      <c r="AM347" s="109"/>
      <c r="AN347" s="109"/>
      <c r="AO347" s="109"/>
      <c r="AP347" s="109"/>
      <c r="AQ347" s="109"/>
      <c r="AR347" s="109"/>
      <c r="AS347" s="109"/>
      <c r="AT347" s="109"/>
      <c r="AU347" s="109"/>
      <c r="AV347" s="109"/>
      <c r="AW347" s="109"/>
      <c r="AX347" s="109"/>
      <c r="AY347" s="109"/>
      <c r="AZ347" s="109"/>
    </row>
    <row r="348" spans="39:52" s="60" customFormat="1" x14ac:dyDescent="0.25">
      <c r="AM348" s="109"/>
      <c r="AN348" s="109"/>
      <c r="AO348" s="109"/>
      <c r="AP348" s="109"/>
      <c r="AQ348" s="109"/>
      <c r="AR348" s="109"/>
      <c r="AS348" s="109"/>
      <c r="AT348" s="109"/>
      <c r="AU348" s="109"/>
      <c r="AV348" s="109"/>
      <c r="AW348" s="109"/>
      <c r="AX348" s="109"/>
      <c r="AY348" s="109"/>
      <c r="AZ348" s="109"/>
    </row>
    <row r="349" spans="39:52" s="60" customFormat="1" x14ac:dyDescent="0.25">
      <c r="AM349" s="109"/>
      <c r="AN349" s="109"/>
      <c r="AO349" s="109"/>
      <c r="AP349" s="109"/>
      <c r="AQ349" s="109"/>
      <c r="AR349" s="109"/>
      <c r="AS349" s="109"/>
      <c r="AT349" s="109"/>
      <c r="AU349" s="109"/>
      <c r="AV349" s="109"/>
      <c r="AW349" s="109"/>
      <c r="AX349" s="109"/>
      <c r="AY349" s="109"/>
      <c r="AZ349" s="109"/>
    </row>
    <row r="350" spans="39:52" s="60" customFormat="1" x14ac:dyDescent="0.25">
      <c r="AM350" s="109"/>
      <c r="AN350" s="109"/>
      <c r="AO350" s="109"/>
      <c r="AP350" s="109"/>
      <c r="AQ350" s="109"/>
      <c r="AR350" s="109"/>
      <c r="AS350" s="109"/>
      <c r="AT350" s="109"/>
      <c r="AU350" s="109"/>
      <c r="AV350" s="109"/>
      <c r="AW350" s="109"/>
      <c r="AX350" s="109"/>
      <c r="AY350" s="109"/>
      <c r="AZ350" s="109"/>
    </row>
    <row r="351" spans="39:52" s="60" customFormat="1" x14ac:dyDescent="0.25">
      <c r="AM351" s="109"/>
      <c r="AN351" s="109"/>
      <c r="AO351" s="109"/>
      <c r="AP351" s="109"/>
      <c r="AQ351" s="109"/>
      <c r="AR351" s="109"/>
      <c r="AS351" s="109"/>
      <c r="AT351" s="109"/>
      <c r="AU351" s="109"/>
      <c r="AV351" s="109"/>
      <c r="AW351" s="109"/>
      <c r="AX351" s="109"/>
      <c r="AY351" s="109"/>
      <c r="AZ351" s="109"/>
    </row>
    <row r="352" spans="39:52" s="60" customFormat="1" x14ac:dyDescent="0.25">
      <c r="AM352" s="109"/>
      <c r="AN352" s="109"/>
      <c r="AO352" s="109"/>
      <c r="AP352" s="109"/>
      <c r="AQ352" s="109"/>
      <c r="AR352" s="109"/>
      <c r="AS352" s="109"/>
      <c r="AT352" s="109"/>
      <c r="AU352" s="109"/>
      <c r="AV352" s="109"/>
      <c r="AW352" s="109"/>
      <c r="AX352" s="109"/>
      <c r="AY352" s="109"/>
      <c r="AZ352" s="109"/>
    </row>
    <row r="353" spans="39:52" s="60" customFormat="1" x14ac:dyDescent="0.25">
      <c r="AM353" s="109"/>
      <c r="AN353" s="109"/>
      <c r="AO353" s="109"/>
      <c r="AP353" s="109"/>
      <c r="AQ353" s="109"/>
      <c r="AR353" s="109"/>
      <c r="AS353" s="109"/>
      <c r="AT353" s="109"/>
      <c r="AU353" s="109"/>
      <c r="AV353" s="109"/>
      <c r="AW353" s="109"/>
      <c r="AX353" s="109"/>
      <c r="AY353" s="109"/>
      <c r="AZ353" s="109"/>
    </row>
    <row r="354" spans="39:52" s="60" customFormat="1" x14ac:dyDescent="0.25">
      <c r="AM354" s="109"/>
      <c r="AN354" s="109"/>
      <c r="AO354" s="109"/>
      <c r="AP354" s="109"/>
      <c r="AQ354" s="109"/>
      <c r="AR354" s="109"/>
      <c r="AS354" s="109"/>
      <c r="AT354" s="109"/>
      <c r="AU354" s="109"/>
      <c r="AV354" s="109"/>
      <c r="AW354" s="109"/>
      <c r="AX354" s="109"/>
      <c r="AY354" s="109"/>
      <c r="AZ354" s="109"/>
    </row>
    <row r="355" spans="39:52" s="60" customFormat="1" x14ac:dyDescent="0.25">
      <c r="AM355" s="109"/>
      <c r="AN355" s="109"/>
      <c r="AO355" s="109"/>
      <c r="AP355" s="109"/>
      <c r="AQ355" s="109"/>
      <c r="AR355" s="109"/>
      <c r="AS355" s="109"/>
      <c r="AT355" s="109"/>
      <c r="AU355" s="109"/>
      <c r="AV355" s="109"/>
      <c r="AW355" s="109"/>
      <c r="AX355" s="109"/>
      <c r="AY355" s="109"/>
      <c r="AZ355" s="109"/>
    </row>
    <row r="356" spans="39:52" s="60" customFormat="1" x14ac:dyDescent="0.25">
      <c r="AM356" s="109"/>
      <c r="AN356" s="109"/>
      <c r="AO356" s="109"/>
      <c r="AP356" s="109"/>
      <c r="AQ356" s="109"/>
      <c r="AR356" s="109"/>
      <c r="AS356" s="109"/>
      <c r="AT356" s="109"/>
      <c r="AU356" s="109"/>
      <c r="AV356" s="109"/>
      <c r="AW356" s="109"/>
      <c r="AX356" s="109"/>
      <c r="AY356" s="109"/>
      <c r="AZ356" s="109"/>
    </row>
    <row r="357" spans="39:52" s="60" customFormat="1" x14ac:dyDescent="0.25">
      <c r="AM357" s="109"/>
      <c r="AN357" s="109"/>
      <c r="AO357" s="109"/>
      <c r="AP357" s="109"/>
      <c r="AQ357" s="109"/>
      <c r="AR357" s="109"/>
      <c r="AS357" s="109"/>
      <c r="AT357" s="109"/>
      <c r="AU357" s="109"/>
      <c r="AV357" s="109"/>
      <c r="AW357" s="109"/>
      <c r="AX357" s="109"/>
      <c r="AY357" s="109"/>
      <c r="AZ357" s="109"/>
    </row>
    <row r="358" spans="39:52" s="60" customFormat="1" x14ac:dyDescent="0.25">
      <c r="AM358" s="109"/>
      <c r="AN358" s="109"/>
      <c r="AO358" s="109"/>
      <c r="AP358" s="109"/>
      <c r="AQ358" s="109"/>
      <c r="AR358" s="109"/>
      <c r="AS358" s="109"/>
      <c r="AT358" s="109"/>
      <c r="AU358" s="109"/>
      <c r="AV358" s="109"/>
      <c r="AW358" s="109"/>
      <c r="AX358" s="109"/>
      <c r="AY358" s="109"/>
      <c r="AZ358" s="109"/>
    </row>
    <row r="359" spans="39:52" s="60" customFormat="1" x14ac:dyDescent="0.25">
      <c r="AM359" s="109"/>
      <c r="AN359" s="109"/>
      <c r="AO359" s="109"/>
      <c r="AP359" s="109"/>
      <c r="AQ359" s="109"/>
      <c r="AR359" s="109"/>
      <c r="AS359" s="109"/>
      <c r="AT359" s="109"/>
      <c r="AU359" s="109"/>
      <c r="AV359" s="109"/>
      <c r="AW359" s="109"/>
      <c r="AX359" s="109"/>
      <c r="AY359" s="109"/>
      <c r="AZ359" s="109"/>
    </row>
    <row r="360" spans="39:52" s="60" customFormat="1" x14ac:dyDescent="0.25">
      <c r="AM360" s="109"/>
      <c r="AN360" s="109"/>
      <c r="AO360" s="109"/>
      <c r="AP360" s="109"/>
      <c r="AQ360" s="109"/>
      <c r="AR360" s="109"/>
      <c r="AS360" s="109"/>
      <c r="AT360" s="109"/>
      <c r="AU360" s="109"/>
      <c r="AV360" s="109"/>
      <c r="AW360" s="109"/>
      <c r="AX360" s="109"/>
      <c r="AY360" s="109"/>
      <c r="AZ360" s="109"/>
    </row>
    <row r="361" spans="39:52" s="60" customFormat="1" x14ac:dyDescent="0.25">
      <c r="AM361" s="109"/>
      <c r="AN361" s="109"/>
      <c r="AO361" s="109"/>
      <c r="AP361" s="109"/>
      <c r="AQ361" s="109"/>
      <c r="AR361" s="109"/>
      <c r="AS361" s="109"/>
      <c r="AT361" s="109"/>
      <c r="AU361" s="109"/>
      <c r="AV361" s="109"/>
      <c r="AW361" s="109"/>
      <c r="AX361" s="109"/>
      <c r="AY361" s="109"/>
      <c r="AZ361" s="109"/>
    </row>
    <row r="362" spans="39:52" s="60" customFormat="1" x14ac:dyDescent="0.25">
      <c r="AM362" s="109"/>
      <c r="AN362" s="109"/>
      <c r="AO362" s="109"/>
      <c r="AP362" s="109"/>
      <c r="AQ362" s="109"/>
      <c r="AR362" s="109"/>
      <c r="AS362" s="109"/>
      <c r="AT362" s="109"/>
      <c r="AU362" s="109"/>
      <c r="AV362" s="109"/>
      <c r="AW362" s="109"/>
      <c r="AX362" s="109"/>
      <c r="AY362" s="109"/>
      <c r="AZ362" s="109"/>
    </row>
    <row r="363" spans="39:52" s="60" customFormat="1" x14ac:dyDescent="0.25">
      <c r="AM363" s="109"/>
      <c r="AN363" s="109"/>
      <c r="AO363" s="109"/>
      <c r="AP363" s="109"/>
      <c r="AQ363" s="109"/>
      <c r="AR363" s="109"/>
      <c r="AS363" s="109"/>
      <c r="AT363" s="109"/>
      <c r="AU363" s="109"/>
      <c r="AV363" s="109"/>
      <c r="AW363" s="109"/>
      <c r="AX363" s="109"/>
      <c r="AY363" s="109"/>
      <c r="AZ363" s="109"/>
    </row>
    <row r="364" spans="39:52" s="60" customFormat="1" x14ac:dyDescent="0.25">
      <c r="AM364" s="109"/>
      <c r="AN364" s="109"/>
      <c r="AO364" s="109"/>
      <c r="AP364" s="109"/>
      <c r="AQ364" s="109"/>
      <c r="AR364" s="109"/>
      <c r="AS364" s="109"/>
      <c r="AT364" s="109"/>
      <c r="AU364" s="109"/>
      <c r="AV364" s="109"/>
      <c r="AW364" s="109"/>
      <c r="AX364" s="109"/>
      <c r="AY364" s="109"/>
      <c r="AZ364" s="109"/>
    </row>
    <row r="365" spans="39:52" s="60" customFormat="1" x14ac:dyDescent="0.25">
      <c r="AM365" s="109"/>
      <c r="AN365" s="109"/>
      <c r="AO365" s="109"/>
      <c r="AP365" s="109"/>
      <c r="AQ365" s="109"/>
      <c r="AR365" s="109"/>
      <c r="AS365" s="109"/>
      <c r="AT365" s="109"/>
      <c r="AU365" s="109"/>
      <c r="AV365" s="109"/>
      <c r="AW365" s="109"/>
      <c r="AX365" s="109"/>
      <c r="AY365" s="109"/>
      <c r="AZ365" s="109"/>
    </row>
    <row r="366" spans="39:52" s="60" customFormat="1" x14ac:dyDescent="0.25">
      <c r="AM366" s="109"/>
      <c r="AN366" s="109"/>
      <c r="AO366" s="109"/>
      <c r="AP366" s="109"/>
      <c r="AQ366" s="109"/>
      <c r="AR366" s="109"/>
      <c r="AS366" s="109"/>
      <c r="AT366" s="109"/>
      <c r="AU366" s="109"/>
      <c r="AV366" s="109"/>
      <c r="AW366" s="109"/>
      <c r="AX366" s="109"/>
      <c r="AY366" s="109"/>
      <c r="AZ366" s="109"/>
    </row>
    <row r="367" spans="39:52" s="60" customFormat="1" x14ac:dyDescent="0.25">
      <c r="AM367" s="109"/>
      <c r="AN367" s="109"/>
      <c r="AO367" s="109"/>
      <c r="AP367" s="109"/>
      <c r="AQ367" s="109"/>
      <c r="AR367" s="109"/>
      <c r="AS367" s="109"/>
      <c r="AT367" s="109"/>
      <c r="AU367" s="109"/>
      <c r="AV367" s="109"/>
      <c r="AW367" s="109"/>
      <c r="AX367" s="109"/>
      <c r="AY367" s="109"/>
      <c r="AZ367" s="109"/>
    </row>
    <row r="368" spans="39:52" s="60" customFormat="1" x14ac:dyDescent="0.25">
      <c r="AM368" s="109"/>
      <c r="AN368" s="109"/>
      <c r="AO368" s="109"/>
      <c r="AP368" s="109"/>
      <c r="AQ368" s="109"/>
      <c r="AR368" s="109"/>
      <c r="AS368" s="109"/>
      <c r="AT368" s="109"/>
      <c r="AU368" s="109"/>
      <c r="AV368" s="109"/>
      <c r="AW368" s="109"/>
      <c r="AX368" s="109"/>
      <c r="AY368" s="109"/>
      <c r="AZ368" s="109"/>
    </row>
    <row r="369" spans="39:52" s="60" customFormat="1" x14ac:dyDescent="0.25">
      <c r="AM369" s="109"/>
      <c r="AN369" s="109"/>
      <c r="AO369" s="109"/>
      <c r="AP369" s="109"/>
      <c r="AQ369" s="109"/>
      <c r="AR369" s="109"/>
      <c r="AS369" s="109"/>
      <c r="AT369" s="109"/>
      <c r="AU369" s="109"/>
      <c r="AV369" s="109"/>
      <c r="AW369" s="109"/>
      <c r="AX369" s="109"/>
      <c r="AY369" s="109"/>
      <c r="AZ369" s="109"/>
    </row>
    <row r="370" spans="39:52" s="60" customFormat="1" x14ac:dyDescent="0.25">
      <c r="AM370" s="109"/>
      <c r="AN370" s="109"/>
      <c r="AO370" s="109"/>
      <c r="AP370" s="109"/>
      <c r="AQ370" s="109"/>
      <c r="AR370" s="109"/>
      <c r="AS370" s="109"/>
      <c r="AT370" s="109"/>
      <c r="AU370" s="109"/>
      <c r="AV370" s="109"/>
      <c r="AW370" s="109"/>
      <c r="AX370" s="109"/>
      <c r="AY370" s="109"/>
      <c r="AZ370" s="109"/>
    </row>
    <row r="371" spans="39:52" s="60" customFormat="1" x14ac:dyDescent="0.25">
      <c r="AM371" s="109"/>
      <c r="AN371" s="109"/>
      <c r="AO371" s="109"/>
      <c r="AP371" s="109"/>
      <c r="AQ371" s="109"/>
      <c r="AR371" s="109"/>
      <c r="AS371" s="109"/>
      <c r="AT371" s="109"/>
      <c r="AU371" s="109"/>
      <c r="AV371" s="109"/>
      <c r="AW371" s="109"/>
      <c r="AX371" s="109"/>
      <c r="AY371" s="109"/>
      <c r="AZ371" s="109"/>
    </row>
    <row r="372" spans="39:52" s="60" customFormat="1" x14ac:dyDescent="0.25">
      <c r="AM372" s="109"/>
      <c r="AN372" s="109"/>
      <c r="AO372" s="109"/>
      <c r="AP372" s="109"/>
      <c r="AQ372" s="109"/>
      <c r="AR372" s="109"/>
      <c r="AS372" s="109"/>
      <c r="AT372" s="109"/>
      <c r="AU372" s="109"/>
      <c r="AV372" s="109"/>
      <c r="AW372" s="109"/>
      <c r="AX372" s="109"/>
      <c r="AY372" s="109"/>
      <c r="AZ372" s="109"/>
    </row>
    <row r="373" spans="39:52" s="60" customFormat="1" x14ac:dyDescent="0.25">
      <c r="AM373" s="109"/>
      <c r="AN373" s="109"/>
      <c r="AO373" s="109"/>
      <c r="AP373" s="109"/>
      <c r="AQ373" s="109"/>
      <c r="AR373" s="109"/>
      <c r="AS373" s="109"/>
      <c r="AT373" s="109"/>
      <c r="AU373" s="109"/>
      <c r="AV373" s="109"/>
      <c r="AW373" s="109"/>
      <c r="AX373" s="109"/>
      <c r="AY373" s="109"/>
      <c r="AZ373" s="109"/>
    </row>
    <row r="374" spans="39:52" s="60" customFormat="1" x14ac:dyDescent="0.25">
      <c r="AM374" s="109"/>
      <c r="AN374" s="109"/>
      <c r="AO374" s="109"/>
      <c r="AP374" s="109"/>
      <c r="AQ374" s="109"/>
      <c r="AR374" s="109"/>
      <c r="AS374" s="109"/>
      <c r="AT374" s="109"/>
      <c r="AU374" s="109"/>
      <c r="AV374" s="109"/>
      <c r="AW374" s="109"/>
      <c r="AX374" s="109"/>
      <c r="AY374" s="109"/>
      <c r="AZ374" s="109"/>
    </row>
    <row r="375" spans="39:52" s="60" customFormat="1" x14ac:dyDescent="0.25">
      <c r="AM375" s="109"/>
      <c r="AN375" s="109"/>
      <c r="AO375" s="109"/>
      <c r="AP375" s="109"/>
      <c r="AQ375" s="109"/>
      <c r="AR375" s="109"/>
      <c r="AS375" s="109"/>
      <c r="AT375" s="109"/>
      <c r="AU375" s="109"/>
      <c r="AV375" s="109"/>
      <c r="AW375" s="109"/>
      <c r="AX375" s="109"/>
      <c r="AY375" s="109"/>
      <c r="AZ375" s="109"/>
    </row>
    <row r="376" spans="39:52" s="60" customFormat="1" x14ac:dyDescent="0.25">
      <c r="AM376" s="109"/>
      <c r="AN376" s="109"/>
      <c r="AO376" s="109"/>
      <c r="AP376" s="109"/>
      <c r="AQ376" s="109"/>
      <c r="AR376" s="109"/>
      <c r="AS376" s="109"/>
      <c r="AT376" s="109"/>
      <c r="AU376" s="109"/>
      <c r="AV376" s="109"/>
      <c r="AW376" s="109"/>
      <c r="AX376" s="109"/>
      <c r="AY376" s="109"/>
      <c r="AZ376" s="109"/>
    </row>
    <row r="377" spans="39:52" s="60" customFormat="1" x14ac:dyDescent="0.25">
      <c r="AM377" s="109"/>
      <c r="AN377" s="109"/>
      <c r="AO377" s="109"/>
      <c r="AP377" s="109"/>
      <c r="AQ377" s="109"/>
      <c r="AR377" s="109"/>
      <c r="AS377" s="109"/>
      <c r="AT377" s="109"/>
      <c r="AU377" s="109"/>
      <c r="AV377" s="109"/>
      <c r="AW377" s="109"/>
      <c r="AX377" s="109"/>
      <c r="AY377" s="109"/>
      <c r="AZ377" s="109"/>
    </row>
    <row r="378" spans="39:52" s="60" customFormat="1" x14ac:dyDescent="0.25">
      <c r="AM378" s="109"/>
      <c r="AN378" s="109"/>
      <c r="AO378" s="109"/>
      <c r="AP378" s="109"/>
      <c r="AQ378" s="109"/>
      <c r="AR378" s="109"/>
      <c r="AS378" s="109"/>
      <c r="AT378" s="109"/>
      <c r="AU378" s="109"/>
      <c r="AV378" s="109"/>
      <c r="AW378" s="109"/>
      <c r="AX378" s="109"/>
      <c r="AY378" s="109"/>
      <c r="AZ378" s="109"/>
    </row>
    <row r="379" spans="39:52" s="60" customFormat="1" x14ac:dyDescent="0.25">
      <c r="AM379" s="109"/>
      <c r="AN379" s="109"/>
      <c r="AO379" s="109"/>
      <c r="AP379" s="109"/>
      <c r="AQ379" s="109"/>
      <c r="AR379" s="109"/>
      <c r="AS379" s="109"/>
      <c r="AT379" s="109"/>
      <c r="AU379" s="109"/>
      <c r="AV379" s="109"/>
      <c r="AW379" s="109"/>
      <c r="AX379" s="109"/>
      <c r="AY379" s="109"/>
      <c r="AZ379" s="109"/>
    </row>
    <row r="380" spans="39:52" s="60" customFormat="1" x14ac:dyDescent="0.25">
      <c r="AM380" s="109"/>
      <c r="AN380" s="109"/>
      <c r="AO380" s="109"/>
      <c r="AP380" s="109"/>
      <c r="AQ380" s="109"/>
      <c r="AR380" s="109"/>
      <c r="AS380" s="109"/>
      <c r="AT380" s="109"/>
      <c r="AU380" s="109"/>
      <c r="AV380" s="109"/>
      <c r="AW380" s="109"/>
      <c r="AX380" s="109"/>
      <c r="AY380" s="109"/>
      <c r="AZ380" s="109"/>
    </row>
    <row r="381" spans="39:52" s="60" customFormat="1" x14ac:dyDescent="0.25">
      <c r="AM381" s="109"/>
      <c r="AN381" s="109"/>
      <c r="AO381" s="109"/>
      <c r="AP381" s="109"/>
      <c r="AQ381" s="109"/>
      <c r="AR381" s="109"/>
      <c r="AS381" s="109"/>
      <c r="AT381" s="109"/>
      <c r="AU381" s="109"/>
      <c r="AV381" s="109"/>
      <c r="AW381" s="109"/>
      <c r="AX381" s="109"/>
      <c r="AY381" s="109"/>
      <c r="AZ381" s="109"/>
    </row>
    <row r="382" spans="39:52" s="60" customFormat="1" x14ac:dyDescent="0.25">
      <c r="AM382" s="109"/>
      <c r="AN382" s="109"/>
      <c r="AO382" s="109"/>
      <c r="AP382" s="109"/>
      <c r="AQ382" s="109"/>
      <c r="AR382" s="109"/>
      <c r="AS382" s="109"/>
      <c r="AT382" s="109"/>
      <c r="AU382" s="109"/>
      <c r="AV382" s="109"/>
      <c r="AW382" s="109"/>
      <c r="AX382" s="109"/>
      <c r="AY382" s="109"/>
      <c r="AZ382" s="109"/>
    </row>
    <row r="383" spans="39:52" s="60" customFormat="1" x14ac:dyDescent="0.25">
      <c r="AM383" s="109"/>
      <c r="AN383" s="109"/>
      <c r="AO383" s="109"/>
      <c r="AP383" s="109"/>
      <c r="AQ383" s="109"/>
      <c r="AR383" s="109"/>
      <c r="AS383" s="109"/>
      <c r="AT383" s="109"/>
      <c r="AU383" s="109"/>
      <c r="AV383" s="109"/>
      <c r="AW383" s="109"/>
      <c r="AX383" s="109"/>
      <c r="AY383" s="109"/>
      <c r="AZ383" s="109"/>
    </row>
    <row r="384" spans="39:52" s="60" customFormat="1" x14ac:dyDescent="0.25">
      <c r="AM384" s="109"/>
      <c r="AN384" s="109"/>
      <c r="AO384" s="109"/>
      <c r="AP384" s="109"/>
      <c r="AQ384" s="109"/>
      <c r="AR384" s="109"/>
      <c r="AS384" s="109"/>
      <c r="AT384" s="109"/>
      <c r="AU384" s="109"/>
      <c r="AV384" s="109"/>
      <c r="AW384" s="109"/>
      <c r="AX384" s="109"/>
      <c r="AY384" s="109"/>
      <c r="AZ384" s="109"/>
    </row>
    <row r="385" spans="39:52" s="60" customFormat="1" x14ac:dyDescent="0.25">
      <c r="AM385" s="109"/>
      <c r="AN385" s="109"/>
      <c r="AO385" s="109"/>
      <c r="AP385" s="109"/>
      <c r="AQ385" s="109"/>
      <c r="AR385" s="109"/>
      <c r="AS385" s="109"/>
      <c r="AT385" s="109"/>
      <c r="AU385" s="109"/>
      <c r="AV385" s="109"/>
      <c r="AW385" s="109"/>
      <c r="AX385" s="109"/>
      <c r="AY385" s="109"/>
      <c r="AZ385" s="109"/>
    </row>
    <row r="386" spans="39:52" s="60" customFormat="1" x14ac:dyDescent="0.25">
      <c r="AM386" s="109"/>
      <c r="AN386" s="109"/>
      <c r="AO386" s="109"/>
      <c r="AP386" s="109"/>
      <c r="AQ386" s="109"/>
      <c r="AR386" s="109"/>
      <c r="AS386" s="109"/>
      <c r="AT386" s="109"/>
      <c r="AU386" s="109"/>
      <c r="AV386" s="109"/>
      <c r="AW386" s="109"/>
      <c r="AX386" s="109"/>
      <c r="AY386" s="109"/>
      <c r="AZ386" s="109"/>
    </row>
    <row r="387" spans="39:52" s="60" customFormat="1" x14ac:dyDescent="0.25">
      <c r="AM387" s="109"/>
      <c r="AN387" s="109"/>
      <c r="AO387" s="109"/>
      <c r="AP387" s="109"/>
      <c r="AQ387" s="109"/>
      <c r="AR387" s="109"/>
      <c r="AS387" s="109"/>
      <c r="AT387" s="109"/>
      <c r="AU387" s="109"/>
      <c r="AV387" s="109"/>
      <c r="AW387" s="109"/>
      <c r="AX387" s="109"/>
      <c r="AY387" s="109"/>
      <c r="AZ387" s="109"/>
    </row>
    <row r="388" spans="39:52" s="60" customFormat="1" x14ac:dyDescent="0.25">
      <c r="AM388" s="109"/>
      <c r="AN388" s="109"/>
      <c r="AO388" s="109"/>
      <c r="AP388" s="109"/>
      <c r="AQ388" s="109"/>
      <c r="AR388" s="109"/>
      <c r="AS388" s="109"/>
      <c r="AT388" s="109"/>
      <c r="AU388" s="109"/>
      <c r="AV388" s="109"/>
      <c r="AW388" s="109"/>
      <c r="AX388" s="109"/>
      <c r="AY388" s="109"/>
      <c r="AZ388" s="109"/>
    </row>
    <row r="389" spans="39:52" s="60" customFormat="1" x14ac:dyDescent="0.25">
      <c r="AM389" s="109"/>
      <c r="AN389" s="109"/>
      <c r="AO389" s="109"/>
      <c r="AP389" s="109"/>
      <c r="AQ389" s="109"/>
      <c r="AR389" s="109"/>
      <c r="AS389" s="109"/>
      <c r="AT389" s="109"/>
      <c r="AU389" s="109"/>
      <c r="AV389" s="109"/>
      <c r="AW389" s="109"/>
      <c r="AX389" s="109"/>
      <c r="AY389" s="109"/>
      <c r="AZ389" s="109"/>
    </row>
    <row r="390" spans="39:52" s="60" customFormat="1" x14ac:dyDescent="0.25">
      <c r="AM390" s="109"/>
      <c r="AN390" s="109"/>
      <c r="AO390" s="109"/>
      <c r="AP390" s="109"/>
      <c r="AQ390" s="109"/>
      <c r="AR390" s="109"/>
      <c r="AS390" s="109"/>
      <c r="AT390" s="109"/>
      <c r="AU390" s="109"/>
      <c r="AV390" s="109"/>
      <c r="AW390" s="109"/>
      <c r="AX390" s="109"/>
      <c r="AY390" s="109"/>
      <c r="AZ390" s="109"/>
    </row>
    <row r="391" spans="39:52" s="60" customFormat="1" x14ac:dyDescent="0.25">
      <c r="AM391" s="109"/>
      <c r="AN391" s="109"/>
      <c r="AO391" s="109"/>
      <c r="AP391" s="109"/>
      <c r="AQ391" s="109"/>
      <c r="AR391" s="109"/>
      <c r="AS391" s="109"/>
      <c r="AT391" s="109"/>
      <c r="AU391" s="109"/>
      <c r="AV391" s="109"/>
      <c r="AW391" s="109"/>
      <c r="AX391" s="109"/>
      <c r="AY391" s="109"/>
      <c r="AZ391" s="109"/>
    </row>
    <row r="392" spans="39:52" s="60" customFormat="1" x14ac:dyDescent="0.25">
      <c r="AM392" s="109"/>
      <c r="AN392" s="109"/>
      <c r="AO392" s="109"/>
      <c r="AP392" s="109"/>
      <c r="AQ392" s="109"/>
      <c r="AR392" s="109"/>
      <c r="AS392" s="109"/>
      <c r="AT392" s="109"/>
      <c r="AU392" s="109"/>
      <c r="AV392" s="109"/>
      <c r="AW392" s="109"/>
      <c r="AX392" s="109"/>
      <c r="AY392" s="109"/>
      <c r="AZ392" s="109"/>
    </row>
    <row r="393" spans="39:52" s="60" customFormat="1" x14ac:dyDescent="0.25">
      <c r="AM393" s="109"/>
      <c r="AN393" s="109"/>
      <c r="AO393" s="109"/>
      <c r="AP393" s="109"/>
      <c r="AQ393" s="109"/>
      <c r="AR393" s="109"/>
      <c r="AS393" s="109"/>
      <c r="AT393" s="109"/>
      <c r="AU393" s="109"/>
      <c r="AV393" s="109"/>
      <c r="AW393" s="109"/>
      <c r="AX393" s="109"/>
      <c r="AY393" s="109"/>
      <c r="AZ393" s="109"/>
    </row>
    <row r="394" spans="39:52" s="60" customFormat="1" x14ac:dyDescent="0.25">
      <c r="AM394" s="109"/>
      <c r="AN394" s="109"/>
      <c r="AO394" s="109"/>
      <c r="AP394" s="109"/>
      <c r="AQ394" s="109"/>
      <c r="AR394" s="109"/>
      <c r="AS394" s="109"/>
      <c r="AT394" s="109"/>
      <c r="AU394" s="109"/>
      <c r="AV394" s="109"/>
      <c r="AW394" s="109"/>
      <c r="AX394" s="109"/>
      <c r="AY394" s="109"/>
      <c r="AZ394" s="109"/>
    </row>
    <row r="395" spans="39:52" s="60" customFormat="1" x14ac:dyDescent="0.25">
      <c r="AM395" s="109"/>
      <c r="AN395" s="109"/>
      <c r="AO395" s="109"/>
      <c r="AP395" s="109"/>
      <c r="AQ395" s="109"/>
      <c r="AR395" s="109"/>
      <c r="AS395" s="109"/>
      <c r="AT395" s="109"/>
      <c r="AU395" s="109"/>
      <c r="AV395" s="109"/>
      <c r="AW395" s="109"/>
      <c r="AX395" s="109"/>
      <c r="AY395" s="109"/>
      <c r="AZ395" s="109"/>
    </row>
    <row r="396" spans="39:52" s="60" customFormat="1" x14ac:dyDescent="0.25">
      <c r="AM396" s="109"/>
      <c r="AN396" s="109"/>
      <c r="AO396" s="109"/>
      <c r="AP396" s="109"/>
      <c r="AQ396" s="109"/>
      <c r="AR396" s="109"/>
      <c r="AS396" s="109"/>
      <c r="AT396" s="109"/>
      <c r="AU396" s="109"/>
      <c r="AV396" s="109"/>
      <c r="AW396" s="109"/>
      <c r="AX396" s="109"/>
      <c r="AY396" s="109"/>
      <c r="AZ396" s="109"/>
    </row>
    <row r="397" spans="39:52" s="60" customFormat="1" x14ac:dyDescent="0.25">
      <c r="AM397" s="109"/>
      <c r="AN397" s="109"/>
      <c r="AO397" s="109"/>
      <c r="AP397" s="109"/>
      <c r="AQ397" s="109"/>
      <c r="AR397" s="109"/>
      <c r="AS397" s="109"/>
      <c r="AT397" s="109"/>
      <c r="AU397" s="109"/>
      <c r="AV397" s="109"/>
      <c r="AW397" s="109"/>
      <c r="AX397" s="109"/>
      <c r="AY397" s="109"/>
      <c r="AZ397" s="109"/>
    </row>
    <row r="398" spans="39:52" s="60" customFormat="1" x14ac:dyDescent="0.25">
      <c r="AM398" s="109"/>
      <c r="AN398" s="109"/>
      <c r="AO398" s="109"/>
      <c r="AP398" s="109"/>
      <c r="AQ398" s="109"/>
      <c r="AR398" s="109"/>
      <c r="AS398" s="109"/>
      <c r="AT398" s="109"/>
      <c r="AU398" s="109"/>
      <c r="AV398" s="109"/>
      <c r="AW398" s="109"/>
      <c r="AX398" s="109"/>
      <c r="AY398" s="109"/>
      <c r="AZ398" s="109"/>
    </row>
    <row r="399" spans="39:52" s="60" customFormat="1" x14ac:dyDescent="0.25">
      <c r="AM399" s="109"/>
      <c r="AN399" s="109"/>
      <c r="AO399" s="109"/>
      <c r="AP399" s="109"/>
      <c r="AQ399" s="109"/>
      <c r="AR399" s="109"/>
      <c r="AS399" s="109"/>
      <c r="AT399" s="109"/>
      <c r="AU399" s="109"/>
      <c r="AV399" s="109"/>
      <c r="AW399" s="109"/>
      <c r="AX399" s="109"/>
      <c r="AY399" s="109"/>
      <c r="AZ399" s="109"/>
    </row>
    <row r="400" spans="39:52" s="60" customFormat="1" x14ac:dyDescent="0.25">
      <c r="AM400" s="109"/>
      <c r="AN400" s="109"/>
      <c r="AO400" s="109"/>
      <c r="AP400" s="109"/>
      <c r="AQ400" s="109"/>
      <c r="AR400" s="109"/>
      <c r="AS400" s="109"/>
      <c r="AT400" s="109"/>
      <c r="AU400" s="109"/>
      <c r="AV400" s="109"/>
      <c r="AW400" s="109"/>
      <c r="AX400" s="109"/>
      <c r="AY400" s="109"/>
      <c r="AZ400" s="109"/>
    </row>
    <row r="401" spans="39:52" s="60" customFormat="1" x14ac:dyDescent="0.25">
      <c r="AM401" s="109"/>
      <c r="AN401" s="109"/>
      <c r="AO401" s="109"/>
      <c r="AP401" s="109"/>
      <c r="AQ401" s="109"/>
      <c r="AR401" s="109"/>
      <c r="AS401" s="109"/>
      <c r="AT401" s="109"/>
      <c r="AU401" s="109"/>
      <c r="AV401" s="109"/>
      <c r="AW401" s="109"/>
      <c r="AX401" s="109"/>
      <c r="AY401" s="109"/>
      <c r="AZ401" s="109"/>
    </row>
    <row r="402" spans="39:52" s="60" customFormat="1" x14ac:dyDescent="0.25">
      <c r="AM402" s="109"/>
      <c r="AN402" s="109"/>
      <c r="AO402" s="109"/>
      <c r="AP402" s="109"/>
      <c r="AQ402" s="109"/>
      <c r="AR402" s="109"/>
      <c r="AS402" s="109"/>
      <c r="AT402" s="109"/>
      <c r="AU402" s="109"/>
      <c r="AV402" s="109"/>
      <c r="AW402" s="109"/>
      <c r="AX402" s="109"/>
      <c r="AY402" s="109"/>
      <c r="AZ402" s="109"/>
    </row>
    <row r="403" spans="39:52" s="60" customFormat="1" x14ac:dyDescent="0.25">
      <c r="AM403" s="109"/>
      <c r="AN403" s="109"/>
      <c r="AO403" s="109"/>
      <c r="AP403" s="109"/>
      <c r="AQ403" s="109"/>
      <c r="AR403" s="109"/>
      <c r="AS403" s="109"/>
      <c r="AT403" s="109"/>
      <c r="AU403" s="109"/>
      <c r="AV403" s="109"/>
      <c r="AW403" s="109"/>
      <c r="AX403" s="109"/>
      <c r="AY403" s="109"/>
      <c r="AZ403" s="109"/>
    </row>
    <row r="404" spans="39:52" s="60" customFormat="1" x14ac:dyDescent="0.25">
      <c r="AM404" s="109"/>
      <c r="AN404" s="109"/>
      <c r="AO404" s="109"/>
      <c r="AP404" s="109"/>
      <c r="AQ404" s="109"/>
      <c r="AR404" s="109"/>
      <c r="AS404" s="109"/>
      <c r="AT404" s="109"/>
      <c r="AU404" s="109"/>
      <c r="AV404" s="109"/>
      <c r="AW404" s="109"/>
      <c r="AX404" s="109"/>
      <c r="AY404" s="109"/>
      <c r="AZ404" s="109"/>
    </row>
    <row r="405" spans="39:52" s="60" customFormat="1" x14ac:dyDescent="0.25">
      <c r="AM405" s="109"/>
      <c r="AN405" s="109"/>
      <c r="AO405" s="109"/>
      <c r="AP405" s="109"/>
      <c r="AQ405" s="109"/>
      <c r="AR405" s="109"/>
      <c r="AS405" s="109"/>
      <c r="AT405" s="109"/>
      <c r="AU405" s="109"/>
      <c r="AV405" s="109"/>
      <c r="AW405" s="109"/>
      <c r="AX405" s="109"/>
      <c r="AY405" s="109"/>
      <c r="AZ405" s="109"/>
    </row>
    <row r="406" spans="39:52" s="60" customFormat="1" x14ac:dyDescent="0.25">
      <c r="AM406" s="109"/>
      <c r="AN406" s="109"/>
      <c r="AO406" s="109"/>
      <c r="AP406" s="109"/>
      <c r="AQ406" s="109"/>
      <c r="AR406" s="109"/>
      <c r="AS406" s="109"/>
      <c r="AT406" s="109"/>
      <c r="AU406" s="109"/>
      <c r="AV406" s="109"/>
      <c r="AW406" s="109"/>
      <c r="AX406" s="109"/>
      <c r="AY406" s="109"/>
      <c r="AZ406" s="109"/>
    </row>
    <row r="407" spans="39:52" s="60" customFormat="1" x14ac:dyDescent="0.25">
      <c r="AM407" s="109"/>
      <c r="AN407" s="109"/>
      <c r="AO407" s="109"/>
      <c r="AP407" s="109"/>
      <c r="AQ407" s="109"/>
      <c r="AR407" s="109"/>
      <c r="AS407" s="109"/>
      <c r="AT407" s="109"/>
      <c r="AU407" s="109"/>
      <c r="AV407" s="109"/>
      <c r="AW407" s="109"/>
      <c r="AX407" s="109"/>
      <c r="AY407" s="109"/>
      <c r="AZ407" s="109"/>
    </row>
    <row r="408" spans="39:52" s="60" customFormat="1" x14ac:dyDescent="0.25">
      <c r="AM408" s="109"/>
      <c r="AN408" s="109"/>
      <c r="AO408" s="109"/>
      <c r="AP408" s="109"/>
      <c r="AQ408" s="109"/>
      <c r="AR408" s="109"/>
      <c r="AS408" s="109"/>
      <c r="AT408" s="109"/>
      <c r="AU408" s="109"/>
      <c r="AV408" s="109"/>
      <c r="AW408" s="109"/>
      <c r="AX408" s="109"/>
      <c r="AY408" s="109"/>
      <c r="AZ408" s="109"/>
    </row>
    <row r="409" spans="39:52" s="60" customFormat="1" x14ac:dyDescent="0.25">
      <c r="AM409" s="109"/>
      <c r="AN409" s="109"/>
      <c r="AO409" s="109"/>
      <c r="AP409" s="109"/>
      <c r="AQ409" s="109"/>
      <c r="AR409" s="109"/>
      <c r="AS409" s="109"/>
      <c r="AT409" s="109"/>
      <c r="AU409" s="109"/>
      <c r="AV409" s="109"/>
      <c r="AW409" s="109"/>
      <c r="AX409" s="109"/>
      <c r="AY409" s="109"/>
      <c r="AZ409" s="109"/>
    </row>
    <row r="410" spans="39:52" s="60" customFormat="1" x14ac:dyDescent="0.25">
      <c r="AM410" s="109"/>
      <c r="AN410" s="109"/>
      <c r="AO410" s="109"/>
      <c r="AP410" s="109"/>
      <c r="AQ410" s="109"/>
      <c r="AR410" s="109"/>
      <c r="AS410" s="109"/>
      <c r="AT410" s="109"/>
      <c r="AU410" s="109"/>
      <c r="AV410" s="109"/>
      <c r="AW410" s="109"/>
      <c r="AX410" s="109"/>
      <c r="AY410" s="109"/>
      <c r="AZ410" s="109"/>
    </row>
    <row r="411" spans="39:52" s="60" customFormat="1" x14ac:dyDescent="0.25">
      <c r="AM411" s="109"/>
      <c r="AN411" s="109"/>
      <c r="AO411" s="109"/>
      <c r="AP411" s="109"/>
      <c r="AQ411" s="109"/>
      <c r="AR411" s="109"/>
      <c r="AS411" s="109"/>
      <c r="AT411" s="109"/>
      <c r="AU411" s="109"/>
      <c r="AV411" s="109"/>
      <c r="AW411" s="109"/>
      <c r="AX411" s="109"/>
      <c r="AY411" s="109"/>
      <c r="AZ411" s="109"/>
    </row>
    <row r="412" spans="39:52" s="60" customFormat="1" x14ac:dyDescent="0.25">
      <c r="AM412" s="109"/>
      <c r="AN412" s="109"/>
      <c r="AO412" s="109"/>
      <c r="AP412" s="109"/>
      <c r="AQ412" s="109"/>
      <c r="AR412" s="109"/>
      <c r="AS412" s="109"/>
      <c r="AT412" s="109"/>
      <c r="AU412" s="109"/>
      <c r="AV412" s="109"/>
      <c r="AW412" s="109"/>
      <c r="AX412" s="109"/>
      <c r="AY412" s="109"/>
      <c r="AZ412" s="109"/>
    </row>
    <row r="413" spans="39:52" s="60" customFormat="1" x14ac:dyDescent="0.25">
      <c r="AM413" s="109"/>
      <c r="AN413" s="109"/>
      <c r="AO413" s="109"/>
      <c r="AP413" s="109"/>
      <c r="AQ413" s="109"/>
      <c r="AR413" s="109"/>
      <c r="AS413" s="109"/>
      <c r="AT413" s="109"/>
      <c r="AU413" s="109"/>
      <c r="AV413" s="109"/>
      <c r="AW413" s="109"/>
      <c r="AX413" s="109"/>
      <c r="AY413" s="109"/>
      <c r="AZ413" s="109"/>
    </row>
    <row r="414" spans="39:52" s="60" customFormat="1" x14ac:dyDescent="0.25">
      <c r="AM414" s="109"/>
      <c r="AN414" s="109"/>
      <c r="AO414" s="109"/>
      <c r="AP414" s="109"/>
      <c r="AQ414" s="109"/>
      <c r="AR414" s="109"/>
      <c r="AS414" s="109"/>
      <c r="AT414" s="109"/>
      <c r="AU414" s="109"/>
      <c r="AV414" s="109"/>
      <c r="AW414" s="109"/>
      <c r="AX414" s="109"/>
      <c r="AY414" s="109"/>
      <c r="AZ414" s="109"/>
    </row>
    <row r="415" spans="39:52" s="60" customFormat="1" x14ac:dyDescent="0.25">
      <c r="AM415" s="109"/>
      <c r="AN415" s="109"/>
      <c r="AO415" s="109"/>
      <c r="AP415" s="109"/>
      <c r="AQ415" s="109"/>
      <c r="AR415" s="109"/>
      <c r="AS415" s="109"/>
      <c r="AT415" s="109"/>
      <c r="AU415" s="109"/>
      <c r="AV415" s="109"/>
      <c r="AW415" s="109"/>
      <c r="AX415" s="109"/>
      <c r="AY415" s="109"/>
      <c r="AZ415" s="109"/>
    </row>
    <row r="416" spans="39:52" s="60" customFormat="1" x14ac:dyDescent="0.25">
      <c r="AM416" s="109"/>
      <c r="AN416" s="109"/>
      <c r="AO416" s="109"/>
      <c r="AP416" s="109"/>
      <c r="AQ416" s="109"/>
      <c r="AR416" s="109"/>
      <c r="AS416" s="109"/>
      <c r="AT416" s="109"/>
      <c r="AU416" s="109"/>
      <c r="AV416" s="109"/>
      <c r="AW416" s="109"/>
      <c r="AX416" s="109"/>
      <c r="AY416" s="109"/>
      <c r="AZ416" s="109"/>
    </row>
    <row r="417" spans="39:52" s="60" customFormat="1" x14ac:dyDescent="0.25">
      <c r="AM417" s="109"/>
      <c r="AN417" s="109"/>
      <c r="AO417" s="109"/>
      <c r="AP417" s="109"/>
      <c r="AQ417" s="109"/>
      <c r="AR417" s="109"/>
      <c r="AS417" s="109"/>
      <c r="AT417" s="109"/>
      <c r="AU417" s="109"/>
      <c r="AV417" s="109"/>
      <c r="AW417" s="109"/>
      <c r="AX417" s="109"/>
      <c r="AY417" s="109"/>
      <c r="AZ417" s="109"/>
    </row>
    <row r="418" spans="39:52" s="60" customFormat="1" x14ac:dyDescent="0.25">
      <c r="AM418" s="109"/>
      <c r="AN418" s="109"/>
      <c r="AO418" s="109"/>
      <c r="AP418" s="109"/>
      <c r="AQ418" s="109"/>
      <c r="AR418" s="109"/>
      <c r="AS418" s="109"/>
      <c r="AT418" s="109"/>
      <c r="AU418" s="109"/>
      <c r="AV418" s="109"/>
      <c r="AW418" s="109"/>
      <c r="AX418" s="109"/>
      <c r="AY418" s="109"/>
      <c r="AZ418" s="109"/>
    </row>
    <row r="419" spans="39:52" s="60" customFormat="1" x14ac:dyDescent="0.25">
      <c r="AM419" s="109"/>
      <c r="AN419" s="109"/>
      <c r="AO419" s="109"/>
      <c r="AP419" s="109"/>
      <c r="AQ419" s="109"/>
      <c r="AR419" s="109"/>
      <c r="AS419" s="109"/>
      <c r="AT419" s="109"/>
      <c r="AU419" s="109"/>
      <c r="AV419" s="109"/>
      <c r="AW419" s="109"/>
      <c r="AX419" s="109"/>
      <c r="AY419" s="109"/>
      <c r="AZ419" s="109"/>
    </row>
    <row r="420" spans="39:52" s="60" customFormat="1" x14ac:dyDescent="0.25">
      <c r="AM420" s="109"/>
      <c r="AN420" s="109"/>
      <c r="AO420" s="109"/>
      <c r="AP420" s="109"/>
      <c r="AQ420" s="109"/>
      <c r="AR420" s="109"/>
      <c r="AS420" s="109"/>
      <c r="AT420" s="109"/>
      <c r="AU420" s="109"/>
      <c r="AV420" s="109"/>
      <c r="AW420" s="109"/>
      <c r="AX420" s="109"/>
      <c r="AY420" s="109"/>
      <c r="AZ420" s="109"/>
    </row>
    <row r="421" spans="39:52" s="60" customFormat="1" x14ac:dyDescent="0.25">
      <c r="AM421" s="109"/>
      <c r="AN421" s="109"/>
      <c r="AO421" s="109"/>
      <c r="AP421" s="109"/>
      <c r="AQ421" s="109"/>
      <c r="AR421" s="109"/>
      <c r="AS421" s="109"/>
      <c r="AT421" s="109"/>
      <c r="AU421" s="109"/>
      <c r="AV421" s="109"/>
      <c r="AW421" s="109"/>
      <c r="AX421" s="109"/>
      <c r="AY421" s="109"/>
      <c r="AZ421" s="109"/>
    </row>
    <row r="422" spans="39:52" s="60" customFormat="1" x14ac:dyDescent="0.25">
      <c r="AM422" s="109"/>
      <c r="AN422" s="109"/>
      <c r="AO422" s="109"/>
      <c r="AP422" s="109"/>
      <c r="AQ422" s="109"/>
      <c r="AR422" s="109"/>
      <c r="AS422" s="109"/>
      <c r="AT422" s="109"/>
      <c r="AU422" s="109"/>
      <c r="AV422" s="109"/>
      <c r="AW422" s="109"/>
      <c r="AX422" s="109"/>
      <c r="AY422" s="109"/>
      <c r="AZ422" s="109"/>
    </row>
    <row r="423" spans="39:52" s="60" customFormat="1" x14ac:dyDescent="0.25">
      <c r="AM423" s="109"/>
      <c r="AN423" s="109"/>
      <c r="AO423" s="109"/>
      <c r="AP423" s="109"/>
      <c r="AQ423" s="109"/>
      <c r="AR423" s="109"/>
      <c r="AS423" s="109"/>
      <c r="AT423" s="109"/>
      <c r="AU423" s="109"/>
      <c r="AV423" s="109"/>
      <c r="AW423" s="109"/>
      <c r="AX423" s="109"/>
      <c r="AY423" s="109"/>
      <c r="AZ423" s="109"/>
    </row>
    <row r="424" spans="39:52" s="60" customFormat="1" x14ac:dyDescent="0.25">
      <c r="AM424" s="109"/>
      <c r="AN424" s="109"/>
      <c r="AO424" s="109"/>
      <c r="AP424" s="109"/>
      <c r="AQ424" s="109"/>
      <c r="AR424" s="109"/>
      <c r="AS424" s="109"/>
      <c r="AT424" s="109"/>
      <c r="AU424" s="109"/>
      <c r="AV424" s="109"/>
      <c r="AW424" s="109"/>
      <c r="AX424" s="109"/>
      <c r="AY424" s="109"/>
      <c r="AZ424" s="109"/>
    </row>
    <row r="425" spans="39:52" s="60" customFormat="1" x14ac:dyDescent="0.25">
      <c r="AM425" s="109"/>
      <c r="AN425" s="109"/>
      <c r="AO425" s="109"/>
      <c r="AP425" s="109"/>
      <c r="AQ425" s="109"/>
      <c r="AR425" s="109"/>
      <c r="AS425" s="109"/>
      <c r="AT425" s="109"/>
      <c r="AU425" s="109"/>
      <c r="AV425" s="109"/>
      <c r="AW425" s="109"/>
      <c r="AX425" s="109"/>
      <c r="AY425" s="109"/>
      <c r="AZ425" s="109"/>
    </row>
    <row r="426" spans="39:52" s="60" customFormat="1" x14ac:dyDescent="0.25">
      <c r="AM426" s="109"/>
      <c r="AN426" s="109"/>
      <c r="AO426" s="109"/>
      <c r="AP426" s="109"/>
      <c r="AQ426" s="109"/>
      <c r="AR426" s="109"/>
      <c r="AS426" s="109"/>
      <c r="AT426" s="109"/>
      <c r="AU426" s="109"/>
      <c r="AV426" s="109"/>
      <c r="AW426" s="109"/>
      <c r="AX426" s="109"/>
      <c r="AY426" s="109"/>
      <c r="AZ426" s="109"/>
    </row>
    <row r="427" spans="39:52" s="60" customFormat="1" x14ac:dyDescent="0.25">
      <c r="AM427" s="109"/>
      <c r="AN427" s="109"/>
      <c r="AO427" s="109"/>
      <c r="AP427" s="109"/>
      <c r="AQ427" s="109"/>
      <c r="AR427" s="109"/>
      <c r="AS427" s="109"/>
      <c r="AT427" s="109"/>
      <c r="AU427" s="109"/>
      <c r="AV427" s="109"/>
      <c r="AW427" s="109"/>
      <c r="AX427" s="109"/>
      <c r="AY427" s="109"/>
      <c r="AZ427" s="109"/>
    </row>
    <row r="428" spans="39:52" s="60" customFormat="1" x14ac:dyDescent="0.25">
      <c r="AM428" s="109"/>
      <c r="AN428" s="109"/>
      <c r="AO428" s="109"/>
      <c r="AP428" s="109"/>
      <c r="AQ428" s="109"/>
      <c r="AR428" s="109"/>
      <c r="AS428" s="109"/>
      <c r="AT428" s="109"/>
      <c r="AU428" s="109"/>
      <c r="AV428" s="109"/>
      <c r="AW428" s="109"/>
      <c r="AX428" s="109"/>
      <c r="AY428" s="109"/>
      <c r="AZ428" s="109"/>
    </row>
    <row r="429" spans="39:52" s="60" customFormat="1" x14ac:dyDescent="0.25">
      <c r="AM429" s="109"/>
      <c r="AN429" s="109"/>
      <c r="AO429" s="109"/>
      <c r="AP429" s="109"/>
      <c r="AQ429" s="109"/>
      <c r="AR429" s="109"/>
      <c r="AS429" s="109"/>
      <c r="AT429" s="109"/>
      <c r="AU429" s="109"/>
      <c r="AV429" s="109"/>
      <c r="AW429" s="109"/>
      <c r="AX429" s="109"/>
      <c r="AY429" s="109"/>
      <c r="AZ429" s="109"/>
    </row>
    <row r="430" spans="39:52" s="60" customFormat="1" x14ac:dyDescent="0.25">
      <c r="AM430" s="109"/>
      <c r="AN430" s="109"/>
      <c r="AO430" s="109"/>
      <c r="AP430" s="109"/>
      <c r="AQ430" s="109"/>
      <c r="AR430" s="109"/>
      <c r="AS430" s="109"/>
      <c r="AT430" s="109"/>
      <c r="AU430" s="109"/>
      <c r="AV430" s="109"/>
      <c r="AW430" s="109"/>
      <c r="AX430" s="109"/>
      <c r="AY430" s="109"/>
      <c r="AZ430" s="109"/>
    </row>
    <row r="431" spans="39:52" s="60" customFormat="1" x14ac:dyDescent="0.25">
      <c r="AM431" s="109"/>
      <c r="AN431" s="109"/>
      <c r="AO431" s="109"/>
      <c r="AP431" s="109"/>
      <c r="AQ431" s="109"/>
      <c r="AR431" s="109"/>
      <c r="AS431" s="109"/>
      <c r="AT431" s="109"/>
      <c r="AU431" s="109"/>
      <c r="AV431" s="109"/>
      <c r="AW431" s="109"/>
      <c r="AX431" s="109"/>
      <c r="AY431" s="109"/>
      <c r="AZ431" s="109"/>
    </row>
    <row r="432" spans="39:52" s="60" customFormat="1" x14ac:dyDescent="0.25">
      <c r="AM432" s="109"/>
      <c r="AN432" s="109"/>
      <c r="AO432" s="109"/>
      <c r="AP432" s="109"/>
      <c r="AQ432" s="109"/>
      <c r="AR432" s="109"/>
      <c r="AS432" s="109"/>
      <c r="AT432" s="109"/>
      <c r="AU432" s="109"/>
      <c r="AV432" s="109"/>
      <c r="AW432" s="109"/>
      <c r="AX432" s="109"/>
      <c r="AY432" s="109"/>
      <c r="AZ432" s="109"/>
    </row>
    <row r="433" spans="39:52" s="60" customFormat="1" x14ac:dyDescent="0.25">
      <c r="AM433" s="109"/>
      <c r="AN433" s="109"/>
      <c r="AO433" s="109"/>
      <c r="AP433" s="109"/>
      <c r="AQ433" s="109"/>
      <c r="AR433" s="109"/>
      <c r="AS433" s="109"/>
      <c r="AT433" s="109"/>
      <c r="AU433" s="109"/>
      <c r="AV433" s="109"/>
      <c r="AW433" s="109"/>
      <c r="AX433" s="109"/>
      <c r="AY433" s="109"/>
      <c r="AZ433" s="109"/>
    </row>
    <row r="434" spans="39:52" s="60" customFormat="1" x14ac:dyDescent="0.25">
      <c r="AM434" s="109"/>
      <c r="AN434" s="109"/>
      <c r="AO434" s="109"/>
      <c r="AP434" s="109"/>
      <c r="AQ434" s="109"/>
      <c r="AR434" s="109"/>
      <c r="AS434" s="109"/>
      <c r="AT434" s="109"/>
      <c r="AU434" s="109"/>
      <c r="AV434" s="109"/>
      <c r="AW434" s="109"/>
      <c r="AX434" s="109"/>
      <c r="AY434" s="109"/>
      <c r="AZ434" s="109"/>
    </row>
    <row r="435" spans="39:52" s="60" customFormat="1" x14ac:dyDescent="0.25">
      <c r="AM435" s="109"/>
      <c r="AN435" s="109"/>
      <c r="AO435" s="109"/>
      <c r="AP435" s="109"/>
      <c r="AQ435" s="109"/>
      <c r="AR435" s="109"/>
      <c r="AS435" s="109"/>
      <c r="AT435" s="109"/>
      <c r="AU435" s="109"/>
      <c r="AV435" s="109"/>
      <c r="AW435" s="109"/>
      <c r="AX435" s="109"/>
      <c r="AY435" s="109"/>
      <c r="AZ435" s="109"/>
    </row>
    <row r="436" spans="39:52" s="60" customFormat="1" x14ac:dyDescent="0.25">
      <c r="AM436" s="109"/>
      <c r="AN436" s="109"/>
      <c r="AO436" s="109"/>
      <c r="AP436" s="109"/>
      <c r="AQ436" s="109"/>
      <c r="AR436" s="109"/>
      <c r="AS436" s="109"/>
      <c r="AT436" s="109"/>
      <c r="AU436" s="109"/>
      <c r="AV436" s="109"/>
      <c r="AW436" s="109"/>
      <c r="AX436" s="109"/>
      <c r="AY436" s="109"/>
      <c r="AZ436" s="109"/>
    </row>
    <row r="437" spans="39:52" s="60" customFormat="1" x14ac:dyDescent="0.25">
      <c r="AM437" s="109"/>
      <c r="AN437" s="109"/>
      <c r="AO437" s="109"/>
      <c r="AP437" s="109"/>
      <c r="AQ437" s="109"/>
      <c r="AR437" s="109"/>
      <c r="AS437" s="109"/>
      <c r="AT437" s="109"/>
      <c r="AU437" s="109"/>
      <c r="AV437" s="109"/>
      <c r="AW437" s="109"/>
      <c r="AX437" s="109"/>
      <c r="AY437" s="109"/>
      <c r="AZ437" s="109"/>
    </row>
    <row r="438" spans="39:52" s="60" customFormat="1" x14ac:dyDescent="0.25">
      <c r="AM438" s="109"/>
      <c r="AN438" s="109"/>
      <c r="AO438" s="109"/>
      <c r="AP438" s="109"/>
      <c r="AQ438" s="109"/>
      <c r="AR438" s="109"/>
      <c r="AS438" s="109"/>
      <c r="AT438" s="109"/>
      <c r="AU438" s="109"/>
      <c r="AV438" s="109"/>
      <c r="AW438" s="109"/>
      <c r="AX438" s="109"/>
      <c r="AY438" s="109"/>
      <c r="AZ438" s="109"/>
    </row>
    <row r="439" spans="39:52" s="60" customFormat="1" x14ac:dyDescent="0.25">
      <c r="AM439" s="109"/>
      <c r="AN439" s="109"/>
      <c r="AO439" s="109"/>
      <c r="AP439" s="109"/>
      <c r="AQ439" s="109"/>
      <c r="AR439" s="109"/>
      <c r="AS439" s="109"/>
      <c r="AT439" s="109"/>
      <c r="AU439" s="109"/>
      <c r="AV439" s="109"/>
      <c r="AW439" s="109"/>
      <c r="AX439" s="109"/>
      <c r="AY439" s="109"/>
      <c r="AZ439" s="109"/>
    </row>
    <row r="440" spans="39:52" s="60" customFormat="1" x14ac:dyDescent="0.25">
      <c r="AM440" s="109"/>
      <c r="AN440" s="109"/>
      <c r="AO440" s="109"/>
      <c r="AP440" s="109"/>
      <c r="AQ440" s="109"/>
      <c r="AR440" s="109"/>
      <c r="AS440" s="109"/>
      <c r="AT440" s="109"/>
      <c r="AU440" s="109"/>
      <c r="AV440" s="109"/>
      <c r="AW440" s="109"/>
      <c r="AX440" s="109"/>
      <c r="AY440" s="109"/>
      <c r="AZ440" s="109"/>
    </row>
    <row r="441" spans="39:52" s="60" customFormat="1" x14ac:dyDescent="0.25">
      <c r="AM441" s="109"/>
      <c r="AN441" s="109"/>
      <c r="AO441" s="109"/>
      <c r="AP441" s="109"/>
      <c r="AQ441" s="109"/>
      <c r="AR441" s="109"/>
      <c r="AS441" s="109"/>
      <c r="AT441" s="109"/>
      <c r="AU441" s="109"/>
      <c r="AV441" s="109"/>
      <c r="AW441" s="109"/>
      <c r="AX441" s="109"/>
      <c r="AY441" s="109"/>
      <c r="AZ441" s="109"/>
    </row>
    <row r="442" spans="39:52" s="60" customFormat="1" x14ac:dyDescent="0.25">
      <c r="AM442" s="109"/>
      <c r="AN442" s="109"/>
      <c r="AO442" s="109"/>
      <c r="AP442" s="109"/>
      <c r="AQ442" s="109"/>
      <c r="AR442" s="109"/>
      <c r="AS442" s="109"/>
      <c r="AT442" s="109"/>
      <c r="AU442" s="109"/>
      <c r="AV442" s="109"/>
      <c r="AW442" s="109"/>
      <c r="AX442" s="109"/>
      <c r="AY442" s="109"/>
      <c r="AZ442" s="109"/>
    </row>
    <row r="443" spans="39:52" s="60" customFormat="1" x14ac:dyDescent="0.25">
      <c r="AM443" s="109"/>
      <c r="AN443" s="109"/>
      <c r="AO443" s="109"/>
      <c r="AP443" s="109"/>
      <c r="AQ443" s="109"/>
      <c r="AR443" s="109"/>
      <c r="AS443" s="109"/>
      <c r="AT443" s="109"/>
      <c r="AU443" s="109"/>
      <c r="AV443" s="109"/>
      <c r="AW443" s="109"/>
      <c r="AX443" s="109"/>
      <c r="AY443" s="109"/>
      <c r="AZ443" s="109"/>
    </row>
    <row r="444" spans="39:52" s="60" customFormat="1" x14ac:dyDescent="0.25">
      <c r="AM444" s="109"/>
      <c r="AN444" s="109"/>
      <c r="AO444" s="109"/>
      <c r="AP444" s="109"/>
      <c r="AQ444" s="109"/>
      <c r="AR444" s="109"/>
      <c r="AS444" s="109"/>
      <c r="AT444" s="109"/>
      <c r="AU444" s="109"/>
      <c r="AV444" s="109"/>
      <c r="AW444" s="109"/>
      <c r="AX444" s="109"/>
      <c r="AY444" s="109"/>
      <c r="AZ444" s="109"/>
    </row>
    <row r="445" spans="39:52" s="60" customFormat="1" x14ac:dyDescent="0.25">
      <c r="AM445" s="109"/>
      <c r="AN445" s="109"/>
      <c r="AO445" s="109"/>
      <c r="AP445" s="109"/>
      <c r="AQ445" s="109"/>
      <c r="AR445" s="109"/>
      <c r="AS445" s="109"/>
      <c r="AT445" s="109"/>
      <c r="AU445" s="109"/>
      <c r="AV445" s="109"/>
      <c r="AW445" s="109"/>
      <c r="AX445" s="109"/>
      <c r="AY445" s="109"/>
      <c r="AZ445" s="109"/>
    </row>
    <row r="446" spans="39:52" s="60" customFormat="1" x14ac:dyDescent="0.25">
      <c r="AM446" s="109"/>
      <c r="AN446" s="109"/>
      <c r="AO446" s="109"/>
      <c r="AP446" s="109"/>
      <c r="AQ446" s="109"/>
      <c r="AR446" s="109"/>
      <c r="AS446" s="109"/>
      <c r="AT446" s="109"/>
      <c r="AU446" s="109"/>
      <c r="AV446" s="109"/>
      <c r="AW446" s="109"/>
      <c r="AX446" s="109"/>
      <c r="AY446" s="109"/>
      <c r="AZ446" s="109"/>
    </row>
    <row r="447" spans="39:52" s="60" customFormat="1" x14ac:dyDescent="0.25">
      <c r="AM447" s="109"/>
      <c r="AN447" s="109"/>
      <c r="AO447" s="109"/>
      <c r="AP447" s="109"/>
      <c r="AQ447" s="109"/>
      <c r="AR447" s="109"/>
      <c r="AS447" s="109"/>
      <c r="AT447" s="109"/>
      <c r="AU447" s="109"/>
      <c r="AV447" s="109"/>
      <c r="AW447" s="109"/>
      <c r="AX447" s="109"/>
      <c r="AY447" s="109"/>
      <c r="AZ447" s="109"/>
    </row>
    <row r="448" spans="39:52" s="60" customFormat="1" x14ac:dyDescent="0.25">
      <c r="AM448" s="109"/>
      <c r="AN448" s="109"/>
      <c r="AO448" s="109"/>
      <c r="AP448" s="109"/>
      <c r="AQ448" s="109"/>
      <c r="AR448" s="109"/>
      <c r="AS448" s="109"/>
      <c r="AT448" s="109"/>
      <c r="AU448" s="109"/>
      <c r="AV448" s="109"/>
      <c r="AW448" s="109"/>
      <c r="AX448" s="109"/>
      <c r="AY448" s="109"/>
      <c r="AZ448" s="109"/>
    </row>
    <row r="449" spans="39:52" s="60" customFormat="1" x14ac:dyDescent="0.25">
      <c r="AM449" s="109"/>
      <c r="AN449" s="109"/>
      <c r="AO449" s="109"/>
      <c r="AP449" s="109"/>
      <c r="AQ449" s="109"/>
      <c r="AR449" s="109"/>
      <c r="AS449" s="109"/>
      <c r="AT449" s="109"/>
      <c r="AU449" s="109"/>
      <c r="AV449" s="109"/>
      <c r="AW449" s="109"/>
      <c r="AX449" s="109"/>
      <c r="AY449" s="109"/>
      <c r="AZ449" s="109"/>
    </row>
    <row r="450" spans="39:52" s="60" customFormat="1" x14ac:dyDescent="0.25">
      <c r="AM450" s="109"/>
      <c r="AN450" s="109"/>
      <c r="AO450" s="109"/>
      <c r="AP450" s="109"/>
      <c r="AQ450" s="109"/>
      <c r="AR450" s="109"/>
      <c r="AS450" s="109"/>
      <c r="AT450" s="109"/>
      <c r="AU450" s="109"/>
      <c r="AV450" s="109"/>
      <c r="AW450" s="109"/>
      <c r="AX450" s="109"/>
      <c r="AY450" s="109"/>
      <c r="AZ450" s="109"/>
    </row>
    <row r="451" spans="39:52" s="60" customFormat="1" x14ac:dyDescent="0.25">
      <c r="AM451" s="109"/>
      <c r="AN451" s="109"/>
      <c r="AO451" s="109"/>
      <c r="AP451" s="109"/>
      <c r="AQ451" s="109"/>
      <c r="AR451" s="109"/>
      <c r="AS451" s="109"/>
      <c r="AT451" s="109"/>
      <c r="AU451" s="109"/>
      <c r="AV451" s="109"/>
      <c r="AW451" s="109"/>
      <c r="AX451" s="109"/>
      <c r="AY451" s="109"/>
      <c r="AZ451" s="109"/>
    </row>
    <row r="452" spans="39:52" s="60" customFormat="1" x14ac:dyDescent="0.25">
      <c r="AM452" s="109"/>
      <c r="AN452" s="109"/>
      <c r="AO452" s="109"/>
      <c r="AP452" s="109"/>
      <c r="AQ452" s="109"/>
      <c r="AR452" s="109"/>
      <c r="AS452" s="109"/>
      <c r="AT452" s="109"/>
      <c r="AU452" s="109"/>
      <c r="AV452" s="109"/>
      <c r="AW452" s="109"/>
      <c r="AX452" s="109"/>
      <c r="AY452" s="109"/>
      <c r="AZ452" s="109"/>
    </row>
    <row r="453" spans="39:52" s="60" customFormat="1" x14ac:dyDescent="0.25">
      <c r="AM453" s="109"/>
      <c r="AN453" s="109"/>
      <c r="AO453" s="109"/>
      <c r="AP453" s="109"/>
      <c r="AQ453" s="109"/>
      <c r="AR453" s="109"/>
      <c r="AS453" s="109"/>
      <c r="AT453" s="109"/>
      <c r="AU453" s="109"/>
      <c r="AV453" s="109"/>
      <c r="AW453" s="109"/>
      <c r="AX453" s="109"/>
      <c r="AY453" s="109"/>
      <c r="AZ453" s="109"/>
    </row>
    <row r="454" spans="39:52" s="60" customFormat="1" x14ac:dyDescent="0.25">
      <c r="AM454" s="109"/>
      <c r="AN454" s="109"/>
      <c r="AO454" s="109"/>
      <c r="AP454" s="109"/>
      <c r="AQ454" s="109"/>
      <c r="AR454" s="109"/>
      <c r="AS454" s="109"/>
      <c r="AT454" s="109"/>
      <c r="AU454" s="109"/>
      <c r="AV454" s="109"/>
      <c r="AW454" s="109"/>
      <c r="AX454" s="109"/>
      <c r="AY454" s="109"/>
      <c r="AZ454" s="109"/>
    </row>
    <row r="455" spans="39:52" s="60" customFormat="1" x14ac:dyDescent="0.25">
      <c r="AM455" s="109"/>
      <c r="AN455" s="109"/>
      <c r="AO455" s="109"/>
      <c r="AP455" s="109"/>
      <c r="AQ455" s="109"/>
      <c r="AR455" s="109"/>
      <c r="AS455" s="109"/>
      <c r="AT455" s="109"/>
      <c r="AU455" s="109"/>
      <c r="AV455" s="109"/>
      <c r="AW455" s="109"/>
      <c r="AX455" s="109"/>
      <c r="AY455" s="109"/>
      <c r="AZ455" s="109"/>
    </row>
    <row r="456" spans="39:52" s="60" customFormat="1" x14ac:dyDescent="0.25">
      <c r="AM456" s="109"/>
      <c r="AN456" s="109"/>
      <c r="AO456" s="109"/>
      <c r="AP456" s="109"/>
      <c r="AQ456" s="109"/>
      <c r="AR456" s="109"/>
      <c r="AS456" s="109"/>
      <c r="AT456" s="109"/>
      <c r="AU456" s="109"/>
      <c r="AV456" s="109"/>
      <c r="AW456" s="109"/>
      <c r="AX456" s="109"/>
      <c r="AY456" s="109"/>
      <c r="AZ456" s="109"/>
    </row>
    <row r="457" spans="39:52" s="60" customFormat="1" x14ac:dyDescent="0.25">
      <c r="AM457" s="109"/>
      <c r="AN457" s="109"/>
      <c r="AO457" s="109"/>
      <c r="AP457" s="109"/>
      <c r="AQ457" s="109"/>
      <c r="AR457" s="109"/>
      <c r="AS457" s="109"/>
      <c r="AT457" s="109"/>
      <c r="AU457" s="109"/>
      <c r="AV457" s="109"/>
      <c r="AW457" s="109"/>
      <c r="AX457" s="109"/>
      <c r="AY457" s="109"/>
      <c r="AZ457" s="109"/>
    </row>
    <row r="458" spans="39:52" s="60" customFormat="1" x14ac:dyDescent="0.25">
      <c r="AM458" s="109"/>
      <c r="AN458" s="109"/>
      <c r="AO458" s="109"/>
      <c r="AP458" s="109"/>
      <c r="AQ458" s="109"/>
      <c r="AR458" s="109"/>
      <c r="AS458" s="109"/>
      <c r="AT458" s="109"/>
      <c r="AU458" s="109"/>
      <c r="AV458" s="109"/>
      <c r="AW458" s="109"/>
      <c r="AX458" s="109"/>
      <c r="AY458" s="109"/>
      <c r="AZ458" s="109"/>
    </row>
    <row r="459" spans="39:52" s="60" customFormat="1" x14ac:dyDescent="0.25">
      <c r="AM459" s="109"/>
      <c r="AN459" s="109"/>
      <c r="AO459" s="109"/>
      <c r="AP459" s="109"/>
      <c r="AQ459" s="109"/>
      <c r="AR459" s="109"/>
      <c r="AS459" s="109"/>
      <c r="AT459" s="109"/>
      <c r="AU459" s="109"/>
      <c r="AV459" s="109"/>
      <c r="AW459" s="109"/>
      <c r="AX459" s="109"/>
      <c r="AY459" s="109"/>
      <c r="AZ459" s="109"/>
    </row>
    <row r="460" spans="39:52" s="60" customFormat="1" x14ac:dyDescent="0.25">
      <c r="AM460" s="109"/>
      <c r="AN460" s="109"/>
      <c r="AO460" s="109"/>
      <c r="AP460" s="109"/>
      <c r="AQ460" s="109"/>
      <c r="AR460" s="109"/>
      <c r="AS460" s="109"/>
      <c r="AT460" s="109"/>
      <c r="AU460" s="109"/>
      <c r="AV460" s="109"/>
      <c r="AW460" s="109"/>
      <c r="AX460" s="109"/>
      <c r="AY460" s="109"/>
      <c r="AZ460" s="109"/>
    </row>
    <row r="461" spans="39:52" s="60" customFormat="1" x14ac:dyDescent="0.25">
      <c r="AM461" s="109"/>
      <c r="AN461" s="109"/>
      <c r="AO461" s="109"/>
      <c r="AP461" s="109"/>
      <c r="AQ461" s="109"/>
      <c r="AR461" s="109"/>
      <c r="AS461" s="109"/>
      <c r="AT461" s="109"/>
      <c r="AU461" s="109"/>
      <c r="AV461" s="109"/>
      <c r="AW461" s="109"/>
      <c r="AX461" s="109"/>
      <c r="AY461" s="109"/>
      <c r="AZ461" s="109"/>
    </row>
    <row r="462" spans="39:52" s="60" customFormat="1" x14ac:dyDescent="0.25">
      <c r="AM462" s="109"/>
      <c r="AN462" s="109"/>
      <c r="AO462" s="109"/>
      <c r="AP462" s="109"/>
      <c r="AQ462" s="109"/>
      <c r="AR462" s="109"/>
      <c r="AS462" s="109"/>
      <c r="AT462" s="109"/>
      <c r="AU462" s="109"/>
      <c r="AV462" s="109"/>
      <c r="AW462" s="109"/>
      <c r="AX462" s="109"/>
      <c r="AY462" s="109"/>
      <c r="AZ462" s="109"/>
    </row>
    <row r="463" spans="39:52" s="60" customFormat="1" x14ac:dyDescent="0.25">
      <c r="AM463" s="109"/>
      <c r="AN463" s="109"/>
      <c r="AO463" s="109"/>
      <c r="AP463" s="109"/>
      <c r="AQ463" s="109"/>
      <c r="AR463" s="109"/>
      <c r="AS463" s="109"/>
      <c r="AT463" s="109"/>
      <c r="AU463" s="109"/>
      <c r="AV463" s="109"/>
      <c r="AW463" s="109"/>
      <c r="AX463" s="109"/>
      <c r="AY463" s="109"/>
      <c r="AZ463" s="109"/>
    </row>
    <row r="464" spans="39:52" s="60" customFormat="1" x14ac:dyDescent="0.25">
      <c r="AM464" s="109"/>
      <c r="AN464" s="109"/>
      <c r="AO464" s="109"/>
      <c r="AP464" s="109"/>
      <c r="AQ464" s="109"/>
      <c r="AR464" s="109"/>
      <c r="AS464" s="109"/>
      <c r="AT464" s="109"/>
      <c r="AU464" s="109"/>
      <c r="AV464" s="109"/>
      <c r="AW464" s="109"/>
      <c r="AX464" s="109"/>
      <c r="AY464" s="109"/>
      <c r="AZ464" s="109"/>
    </row>
    <row r="465" spans="39:52" s="60" customFormat="1" x14ac:dyDescent="0.25">
      <c r="AM465" s="109"/>
      <c r="AN465" s="109"/>
      <c r="AO465" s="109"/>
      <c r="AP465" s="109"/>
      <c r="AQ465" s="109"/>
      <c r="AR465" s="109"/>
      <c r="AS465" s="109"/>
      <c r="AT465" s="109"/>
      <c r="AU465" s="109"/>
      <c r="AV465" s="109"/>
      <c r="AW465" s="109"/>
      <c r="AX465" s="109"/>
      <c r="AY465" s="109"/>
      <c r="AZ465" s="109"/>
    </row>
    <row r="466" spans="39:52" s="60" customFormat="1" x14ac:dyDescent="0.25">
      <c r="AM466" s="109"/>
      <c r="AN466" s="109"/>
      <c r="AO466" s="109"/>
      <c r="AP466" s="109"/>
      <c r="AQ466" s="109"/>
      <c r="AR466" s="109"/>
      <c r="AS466" s="109"/>
      <c r="AT466" s="109"/>
      <c r="AU466" s="109"/>
      <c r="AV466" s="109"/>
      <c r="AW466" s="109"/>
      <c r="AX466" s="109"/>
      <c r="AY466" s="109"/>
      <c r="AZ466" s="109"/>
    </row>
    <row r="467" spans="39:52" s="60" customFormat="1" x14ac:dyDescent="0.25">
      <c r="AM467" s="109"/>
      <c r="AN467" s="109"/>
      <c r="AO467" s="109"/>
      <c r="AP467" s="109"/>
      <c r="AQ467" s="109"/>
      <c r="AR467" s="109"/>
      <c r="AS467" s="109"/>
      <c r="AT467" s="109"/>
      <c r="AU467" s="109"/>
      <c r="AV467" s="109"/>
      <c r="AW467" s="109"/>
      <c r="AX467" s="109"/>
      <c r="AY467" s="109"/>
      <c r="AZ467" s="109"/>
    </row>
    <row r="468" spans="39:52" s="60" customFormat="1" x14ac:dyDescent="0.25">
      <c r="AM468" s="109"/>
      <c r="AN468" s="109"/>
      <c r="AO468" s="109"/>
      <c r="AP468" s="109"/>
      <c r="AQ468" s="109"/>
      <c r="AR468" s="109"/>
      <c r="AS468" s="109"/>
      <c r="AT468" s="109"/>
      <c r="AU468" s="109"/>
      <c r="AV468" s="109"/>
      <c r="AW468" s="109"/>
      <c r="AX468" s="109"/>
      <c r="AY468" s="109"/>
      <c r="AZ468" s="109"/>
    </row>
    <row r="469" spans="39:52" s="60" customFormat="1" x14ac:dyDescent="0.25">
      <c r="AM469" s="109"/>
      <c r="AN469" s="109"/>
      <c r="AO469" s="109"/>
      <c r="AP469" s="109"/>
      <c r="AQ469" s="109"/>
      <c r="AR469" s="109"/>
      <c r="AS469" s="109"/>
      <c r="AT469" s="109"/>
      <c r="AU469" s="109"/>
      <c r="AV469" s="109"/>
      <c r="AW469" s="109"/>
      <c r="AX469" s="109"/>
      <c r="AY469" s="109"/>
      <c r="AZ469" s="109"/>
    </row>
    <row r="470" spans="39:52" s="60" customFormat="1" x14ac:dyDescent="0.25">
      <c r="AM470" s="109"/>
      <c r="AN470" s="109"/>
      <c r="AO470" s="109"/>
      <c r="AP470" s="109"/>
      <c r="AQ470" s="109"/>
      <c r="AR470" s="109"/>
      <c r="AS470" s="109"/>
      <c r="AT470" s="109"/>
      <c r="AU470" s="109"/>
      <c r="AV470" s="109"/>
      <c r="AW470" s="109"/>
      <c r="AX470" s="109"/>
      <c r="AY470" s="109"/>
      <c r="AZ470" s="109"/>
    </row>
    <row r="471" spans="39:52" s="60" customFormat="1" x14ac:dyDescent="0.25">
      <c r="AM471" s="109"/>
      <c r="AN471" s="109"/>
      <c r="AO471" s="109"/>
      <c r="AP471" s="109"/>
      <c r="AQ471" s="109"/>
      <c r="AR471" s="109"/>
      <c r="AS471" s="109"/>
      <c r="AT471" s="109"/>
      <c r="AU471" s="109"/>
      <c r="AV471" s="109"/>
      <c r="AW471" s="109"/>
      <c r="AX471" s="109"/>
      <c r="AY471" s="109"/>
      <c r="AZ471" s="109"/>
    </row>
    <row r="472" spans="39:52" s="60" customFormat="1" x14ac:dyDescent="0.25">
      <c r="AM472" s="109"/>
      <c r="AN472" s="109"/>
      <c r="AO472" s="109"/>
      <c r="AP472" s="109"/>
      <c r="AQ472" s="109"/>
      <c r="AR472" s="109"/>
      <c r="AS472" s="109"/>
      <c r="AT472" s="109"/>
      <c r="AU472" s="109"/>
      <c r="AV472" s="109"/>
      <c r="AW472" s="109"/>
      <c r="AX472" s="109"/>
      <c r="AY472" s="109"/>
      <c r="AZ472" s="109"/>
    </row>
    <row r="473" spans="39:52" s="60" customFormat="1" x14ac:dyDescent="0.25">
      <c r="AM473" s="109"/>
      <c r="AN473" s="109"/>
      <c r="AO473" s="109"/>
      <c r="AP473" s="109"/>
      <c r="AQ473" s="109"/>
      <c r="AR473" s="109"/>
      <c r="AS473" s="109"/>
      <c r="AT473" s="109"/>
      <c r="AU473" s="109"/>
      <c r="AV473" s="109"/>
      <c r="AW473" s="109"/>
      <c r="AX473" s="109"/>
      <c r="AY473" s="109"/>
      <c r="AZ473" s="109"/>
    </row>
    <row r="474" spans="39:52" s="60" customFormat="1" x14ac:dyDescent="0.25">
      <c r="AM474" s="109"/>
      <c r="AN474" s="109"/>
      <c r="AO474" s="109"/>
      <c r="AP474" s="109"/>
      <c r="AQ474" s="109"/>
      <c r="AR474" s="109"/>
      <c r="AS474" s="109"/>
      <c r="AT474" s="109"/>
      <c r="AU474" s="109"/>
      <c r="AV474" s="109"/>
      <c r="AW474" s="109"/>
      <c r="AX474" s="109"/>
      <c r="AY474" s="109"/>
      <c r="AZ474" s="109"/>
    </row>
    <row r="475" spans="39:52" s="60" customFormat="1" x14ac:dyDescent="0.25">
      <c r="AM475" s="109"/>
      <c r="AN475" s="109"/>
      <c r="AO475" s="109"/>
      <c r="AP475" s="109"/>
      <c r="AQ475" s="109"/>
      <c r="AR475" s="109"/>
      <c r="AS475" s="109"/>
      <c r="AT475" s="109"/>
      <c r="AU475" s="109"/>
      <c r="AV475" s="109"/>
      <c r="AW475" s="109"/>
      <c r="AX475" s="109"/>
      <c r="AY475" s="109"/>
      <c r="AZ475" s="109"/>
    </row>
  </sheetData>
  <sheetProtection algorithmName="SHA-512" hashValue="qlvwoY9zcSViw5HQ4NdKn2ISdzUXU1FMckyU1UGF5BgfWyX7Ml5fEm4neLsBuIQIV9bAeQ+QI6T1A4/o7uCjAA==" saltValue="F2VZWZcRCXg7HeP5SDLBMQ==" spinCount="100000" sheet="1" formatCells="0" formatRows="0" insertRows="0"/>
  <mergeCells count="348">
    <mergeCell ref="A128:AL128"/>
    <mergeCell ref="A129:AL129"/>
    <mergeCell ref="A1:AL1"/>
    <mergeCell ref="A135:AL135"/>
    <mergeCell ref="AM136:AM137"/>
    <mergeCell ref="AA102:AG102"/>
    <mergeCell ref="AH102:AJ102"/>
    <mergeCell ref="L101:O101"/>
    <mergeCell ref="A109:AL109"/>
    <mergeCell ref="A126:AL126"/>
    <mergeCell ref="A127:AL127"/>
    <mergeCell ref="B112:S112"/>
    <mergeCell ref="T112:AJ112"/>
    <mergeCell ref="P101:S101"/>
    <mergeCell ref="T101:Z101"/>
    <mergeCell ref="AA101:AG101"/>
    <mergeCell ref="AH101:AJ101"/>
    <mergeCell ref="B102:F102"/>
    <mergeCell ref="A132:AL132"/>
    <mergeCell ref="AK108:AL108"/>
    <mergeCell ref="B108:K108"/>
    <mergeCell ref="L108:O108"/>
    <mergeCell ref="A136:AL136"/>
    <mergeCell ref="A137:AL137"/>
    <mergeCell ref="A113:AL113"/>
    <mergeCell ref="A115:AL115"/>
    <mergeCell ref="A82:AL82"/>
    <mergeCell ref="B95:F95"/>
    <mergeCell ref="G95:K95"/>
    <mergeCell ref="L95:O95"/>
    <mergeCell ref="T94:Z94"/>
    <mergeCell ref="B94:F94"/>
    <mergeCell ref="G94:K94"/>
    <mergeCell ref="B92:F92"/>
    <mergeCell ref="G92:K92"/>
    <mergeCell ref="L92:O92"/>
    <mergeCell ref="B93:F93"/>
    <mergeCell ref="G93:K93"/>
    <mergeCell ref="L93:O93"/>
    <mergeCell ref="B87:F87"/>
    <mergeCell ref="G87:K87"/>
    <mergeCell ref="B88:F88"/>
    <mergeCell ref="G88:K88"/>
    <mergeCell ref="AA89:AG89"/>
    <mergeCell ref="G89:K89"/>
    <mergeCell ref="L89:O89"/>
    <mergeCell ref="B90:F90"/>
    <mergeCell ref="L90:O90"/>
    <mergeCell ref="P90:S90"/>
    <mergeCell ref="AH89:AJ89"/>
    <mergeCell ref="A81:AL81"/>
    <mergeCell ref="A138:AL142"/>
    <mergeCell ref="B47:Y47"/>
    <mergeCell ref="B48:Y48"/>
    <mergeCell ref="B49:Y49"/>
    <mergeCell ref="B50:Y50"/>
    <mergeCell ref="B51:Y51"/>
    <mergeCell ref="L87:O87"/>
    <mergeCell ref="G90:K90"/>
    <mergeCell ref="B105:F105"/>
    <mergeCell ref="G105:K105"/>
    <mergeCell ref="L105:O105"/>
    <mergeCell ref="B91:F91"/>
    <mergeCell ref="G91:K91"/>
    <mergeCell ref="L91:O91"/>
    <mergeCell ref="B97:F97"/>
    <mergeCell ref="G97:K97"/>
    <mergeCell ref="L97:O97"/>
    <mergeCell ref="AK101:AL101"/>
    <mergeCell ref="P102:S102"/>
    <mergeCell ref="B54:AL54"/>
    <mergeCell ref="P105:S105"/>
    <mergeCell ref="A117:AL117"/>
    <mergeCell ref="A118:AL118"/>
    <mergeCell ref="A119:AL119"/>
    <mergeCell ref="A120:AL120"/>
    <mergeCell ref="A121:AL121"/>
    <mergeCell ref="A122:AL122"/>
    <mergeCell ref="A123:AL123"/>
    <mergeCell ref="A124:AL124"/>
    <mergeCell ref="L103:O103"/>
    <mergeCell ref="L104:O104"/>
    <mergeCell ref="AH103:AJ103"/>
    <mergeCell ref="AK103:AL103"/>
    <mergeCell ref="P104:S104"/>
    <mergeCell ref="AH104:AJ104"/>
    <mergeCell ref="AK104:AL104"/>
    <mergeCell ref="P103:S103"/>
    <mergeCell ref="B106:F106"/>
    <mergeCell ref="T103:Z103"/>
    <mergeCell ref="AA103:AG103"/>
    <mergeCell ref="T105:Z105"/>
    <mergeCell ref="AA105:AG105"/>
    <mergeCell ref="AH105:AJ105"/>
    <mergeCell ref="AK105:AL105"/>
    <mergeCell ref="P106:S106"/>
    <mergeCell ref="AK99:AL99"/>
    <mergeCell ref="P100:S100"/>
    <mergeCell ref="T100:Z100"/>
    <mergeCell ref="AA100:AG100"/>
    <mergeCell ref="AH100:AJ100"/>
    <mergeCell ref="AK100:AL100"/>
    <mergeCell ref="P99:S99"/>
    <mergeCell ref="T99:Z99"/>
    <mergeCell ref="AA99:AG99"/>
    <mergeCell ref="AK102:AL102"/>
    <mergeCell ref="G102:K102"/>
    <mergeCell ref="T102:Z102"/>
    <mergeCell ref="AH99:AJ99"/>
    <mergeCell ref="B101:F101"/>
    <mergeCell ref="A116:AL116"/>
    <mergeCell ref="T104:Z104"/>
    <mergeCell ref="AA104:AG104"/>
    <mergeCell ref="A125:AL125"/>
    <mergeCell ref="B103:F103"/>
    <mergeCell ref="G103:K103"/>
    <mergeCell ref="L99:O99"/>
    <mergeCell ref="B107:F107"/>
    <mergeCell ref="G107:K107"/>
    <mergeCell ref="L107:O107"/>
    <mergeCell ref="P107:S107"/>
    <mergeCell ref="T107:Z107"/>
    <mergeCell ref="AA107:AG107"/>
    <mergeCell ref="AH107:AJ107"/>
    <mergeCell ref="AK107:AL107"/>
    <mergeCell ref="B104:F104"/>
    <mergeCell ref="G104:K104"/>
    <mergeCell ref="G106:K106"/>
    <mergeCell ref="L106:O106"/>
    <mergeCell ref="T92:Z92"/>
    <mergeCell ref="AH91:AJ91"/>
    <mergeCell ref="AK91:AL91"/>
    <mergeCell ref="P96:S96"/>
    <mergeCell ref="T96:Z96"/>
    <mergeCell ref="AA96:AG96"/>
    <mergeCell ref="AH96:AJ96"/>
    <mergeCell ref="AK96:AL96"/>
    <mergeCell ref="P93:S93"/>
    <mergeCell ref="T93:Z93"/>
    <mergeCell ref="AA93:AG93"/>
    <mergeCell ref="P92:S92"/>
    <mergeCell ref="A130:AL130"/>
    <mergeCell ref="A131:AL131"/>
    <mergeCell ref="A134:AL134"/>
    <mergeCell ref="A114:AL114"/>
    <mergeCell ref="T88:Z88"/>
    <mergeCell ref="B110:S110"/>
    <mergeCell ref="T110:AJ110"/>
    <mergeCell ref="B111:S111"/>
    <mergeCell ref="T111:AJ111"/>
    <mergeCell ref="P108:S108"/>
    <mergeCell ref="T108:Z108"/>
    <mergeCell ref="AA108:AG108"/>
    <mergeCell ref="AH108:AJ108"/>
    <mergeCell ref="B96:F96"/>
    <mergeCell ref="G96:K96"/>
    <mergeCell ref="L96:O96"/>
    <mergeCell ref="P95:S95"/>
    <mergeCell ref="T95:Z95"/>
    <mergeCell ref="L98:O98"/>
    <mergeCell ref="P97:S97"/>
    <mergeCell ref="B100:F100"/>
    <mergeCell ref="G100:K100"/>
    <mergeCell ref="B89:F89"/>
    <mergeCell ref="G98:K98"/>
    <mergeCell ref="AM66:AV66"/>
    <mergeCell ref="A67:AL67"/>
    <mergeCell ref="L94:O94"/>
    <mergeCell ref="L84:O84"/>
    <mergeCell ref="A78:AL78"/>
    <mergeCell ref="P84:S84"/>
    <mergeCell ref="T84:Z84"/>
    <mergeCell ref="AA84:AG84"/>
    <mergeCell ref="AH84:AJ84"/>
    <mergeCell ref="A79:AL79"/>
    <mergeCell ref="A80:AI80"/>
    <mergeCell ref="P85:S85"/>
    <mergeCell ref="T86:Z86"/>
    <mergeCell ref="AA86:AG86"/>
    <mergeCell ref="AH86:AJ86"/>
    <mergeCell ref="AK86:AL86"/>
    <mergeCell ref="AH85:AJ85"/>
    <mergeCell ref="AK85:AL85"/>
    <mergeCell ref="AA88:AG88"/>
    <mergeCell ref="AH88:AJ88"/>
    <mergeCell ref="AK88:AL88"/>
    <mergeCell ref="AA90:AG90"/>
    <mergeCell ref="AH90:AJ90"/>
    <mergeCell ref="AK90:AL90"/>
    <mergeCell ref="B84:F84"/>
    <mergeCell ref="P88:S88"/>
    <mergeCell ref="B85:F85"/>
    <mergeCell ref="A83:AL83"/>
    <mergeCell ref="A68:AL68"/>
    <mergeCell ref="G85:K85"/>
    <mergeCell ref="L85:O85"/>
    <mergeCell ref="B86:F86"/>
    <mergeCell ref="T85:Z85"/>
    <mergeCell ref="AH87:AJ87"/>
    <mergeCell ref="A77:AL77"/>
    <mergeCell ref="AA85:AG85"/>
    <mergeCell ref="G86:K86"/>
    <mergeCell ref="L86:O86"/>
    <mergeCell ref="P86:S86"/>
    <mergeCell ref="AJ80:AL80"/>
    <mergeCell ref="AK84:AL84"/>
    <mergeCell ref="G84:K84"/>
    <mergeCell ref="L88:O88"/>
    <mergeCell ref="P87:S87"/>
    <mergeCell ref="T87:Z87"/>
    <mergeCell ref="AM68:AV68"/>
    <mergeCell ref="A69:AL69"/>
    <mergeCell ref="AM69:AU70"/>
    <mergeCell ref="A70:AL70"/>
    <mergeCell ref="A71:AL71"/>
    <mergeCell ref="AM71:AZ74"/>
    <mergeCell ref="A72:AL72"/>
    <mergeCell ref="A73:AL73"/>
    <mergeCell ref="B34:AL34"/>
    <mergeCell ref="Z47:AJ47"/>
    <mergeCell ref="AK47:AL47"/>
    <mergeCell ref="Z48:AJ48"/>
    <mergeCell ref="Z49:AJ49"/>
    <mergeCell ref="B41:AL41"/>
    <mergeCell ref="A42:A43"/>
    <mergeCell ref="B42:AL42"/>
    <mergeCell ref="A40:A41"/>
    <mergeCell ref="B36:AL36"/>
    <mergeCell ref="B37:AL37"/>
    <mergeCell ref="A60:AL60"/>
    <mergeCell ref="AM57:AU58"/>
    <mergeCell ref="A58:AL58"/>
    <mergeCell ref="AM62:AT62"/>
    <mergeCell ref="B57:AL57"/>
    <mergeCell ref="B20:AL20"/>
    <mergeCell ref="B43:AL43"/>
    <mergeCell ref="A24:A27"/>
    <mergeCell ref="A28:A36"/>
    <mergeCell ref="A37:A38"/>
    <mergeCell ref="B38:S38"/>
    <mergeCell ref="T38:AL38"/>
    <mergeCell ref="B39:AL39"/>
    <mergeCell ref="B24:V24"/>
    <mergeCell ref="W24:AL24"/>
    <mergeCell ref="B25:V25"/>
    <mergeCell ref="W25:AL25"/>
    <mergeCell ref="B21:AL21"/>
    <mergeCell ref="B40:AL40"/>
    <mergeCell ref="B26:AL26"/>
    <mergeCell ref="B27:AL27"/>
    <mergeCell ref="B28:AL28"/>
    <mergeCell ref="B29:AL29"/>
    <mergeCell ref="B30:AL30"/>
    <mergeCell ref="B31:AL31"/>
    <mergeCell ref="B32:AL32"/>
    <mergeCell ref="B33:AL33"/>
    <mergeCell ref="B35:AL35"/>
    <mergeCell ref="A18:A19"/>
    <mergeCell ref="B18:AL18"/>
    <mergeCell ref="B19:AL19"/>
    <mergeCell ref="A11:AL11"/>
    <mergeCell ref="A12:AL12"/>
    <mergeCell ref="A13:AL13"/>
    <mergeCell ref="A15:AK15"/>
    <mergeCell ref="A16:A17"/>
    <mergeCell ref="B16:AL16"/>
    <mergeCell ref="B17:AL17"/>
    <mergeCell ref="A4:F4"/>
    <mergeCell ref="H4:L4"/>
    <mergeCell ref="A5:F5"/>
    <mergeCell ref="H5:L5"/>
    <mergeCell ref="A7:F7"/>
    <mergeCell ref="G7:L7"/>
    <mergeCell ref="Q8:AL8"/>
    <mergeCell ref="A9:AL9"/>
    <mergeCell ref="N7:P7"/>
    <mergeCell ref="Q7:AA7"/>
    <mergeCell ref="AB7:AE7"/>
    <mergeCell ref="A8:P8"/>
    <mergeCell ref="A62:AL62"/>
    <mergeCell ref="A74:AL74"/>
    <mergeCell ref="A75:AL75"/>
    <mergeCell ref="A76:AL76"/>
    <mergeCell ref="A59:AL59"/>
    <mergeCell ref="A66:AL66"/>
    <mergeCell ref="AK50:AL50"/>
    <mergeCell ref="AK51:AL51"/>
    <mergeCell ref="Z50:AJ50"/>
    <mergeCell ref="Z51:AJ51"/>
    <mergeCell ref="A63:AL63"/>
    <mergeCell ref="A64:AL64"/>
    <mergeCell ref="A65:AL65"/>
    <mergeCell ref="A55:AL55"/>
    <mergeCell ref="A56:AL56"/>
    <mergeCell ref="B52:AL52"/>
    <mergeCell ref="A53:AL53"/>
    <mergeCell ref="A46:A51"/>
    <mergeCell ref="AK49:AL49"/>
    <mergeCell ref="B46:AL46"/>
    <mergeCell ref="AK48:AL48"/>
    <mergeCell ref="A44:A45"/>
    <mergeCell ref="B44:AL44"/>
    <mergeCell ref="B45:AL45"/>
    <mergeCell ref="A20:A23"/>
    <mergeCell ref="T90:Z90"/>
    <mergeCell ref="AA97:AG97"/>
    <mergeCell ref="AH97:AJ97"/>
    <mergeCell ref="AA95:AG95"/>
    <mergeCell ref="AH93:AJ93"/>
    <mergeCell ref="AK93:AL93"/>
    <mergeCell ref="AK97:AL97"/>
    <mergeCell ref="AK94:AL94"/>
    <mergeCell ref="AH95:AJ95"/>
    <mergeCell ref="AK95:AL95"/>
    <mergeCell ref="AA94:AG94"/>
    <mergeCell ref="AK92:AL92"/>
    <mergeCell ref="T91:Z91"/>
    <mergeCell ref="AH94:AJ94"/>
    <mergeCell ref="AH92:AJ92"/>
    <mergeCell ref="AA92:AG92"/>
    <mergeCell ref="P94:S94"/>
    <mergeCell ref="B22:AL22"/>
    <mergeCell ref="B23:AL23"/>
    <mergeCell ref="A61:AL61"/>
    <mergeCell ref="A133:AL133"/>
    <mergeCell ref="B99:F99"/>
    <mergeCell ref="G99:K99"/>
    <mergeCell ref="T106:Z106"/>
    <mergeCell ref="AA106:AG106"/>
    <mergeCell ref="AH106:AJ106"/>
    <mergeCell ref="AK106:AL106"/>
    <mergeCell ref="AA87:AG87"/>
    <mergeCell ref="AK87:AL87"/>
    <mergeCell ref="G101:K101"/>
    <mergeCell ref="L102:O102"/>
    <mergeCell ref="L100:O100"/>
    <mergeCell ref="AK89:AL89"/>
    <mergeCell ref="P89:S89"/>
    <mergeCell ref="T89:Z89"/>
    <mergeCell ref="B98:F98"/>
    <mergeCell ref="P98:S98"/>
    <mergeCell ref="T98:Z98"/>
    <mergeCell ref="AA98:AG98"/>
    <mergeCell ref="AH98:AJ98"/>
    <mergeCell ref="AK98:AL98"/>
    <mergeCell ref="T97:Z97"/>
    <mergeCell ref="P91:S91"/>
    <mergeCell ref="AA91:AG91"/>
  </mergeCells>
  <conditionalFormatting sqref="A4 H4 A53 A55:A56 A58 A61 A63 A65 A67 A69 A71 A73 AJ80">
    <cfRule type="expression" dxfId="225" priority="279">
      <formula>IF(A4="",1,0)</formula>
    </cfRule>
  </conditionalFormatting>
  <conditionalFormatting sqref="A76">
    <cfRule type="expression" dxfId="224" priority="145">
      <formula>IF(A76="",1,0)</formula>
    </cfRule>
  </conditionalFormatting>
  <conditionalFormatting sqref="A78">
    <cfRule type="expression" dxfId="223" priority="142">
      <formula>IF(A78="",1,0)</formula>
    </cfRule>
  </conditionalFormatting>
  <conditionalFormatting sqref="A80:A82">
    <cfRule type="expression" dxfId="222" priority="11">
      <formula>IF(A80="",1,0)</formula>
    </cfRule>
  </conditionalFormatting>
  <conditionalFormatting sqref="A113:A121">
    <cfRule type="expression" dxfId="221" priority="5">
      <formula>IF(A113="",1,0)</formula>
    </cfRule>
  </conditionalFormatting>
  <conditionalFormatting sqref="A123:A129">
    <cfRule type="expression" dxfId="220" priority="2">
      <formula>IF(A123="",1,0)</formula>
    </cfRule>
  </conditionalFormatting>
  <conditionalFormatting sqref="A131:A133">
    <cfRule type="expression" dxfId="219" priority="1">
      <formula>IF(A131="",1,0)</formula>
    </cfRule>
  </conditionalFormatting>
  <conditionalFormatting sqref="A136:A137">
    <cfRule type="expression" dxfId="218" priority="219">
      <formula>IF(A136="",1,0)</formula>
    </cfRule>
  </conditionalFormatting>
  <conditionalFormatting sqref="B19">
    <cfRule type="expression" dxfId="213" priority="196">
      <formula>IF(B19="",1,0)</formula>
    </cfRule>
  </conditionalFormatting>
  <conditionalFormatting sqref="B21">
    <cfRule type="expression" dxfId="212" priority="19">
      <formula>IF(B21="",1,0)</formula>
    </cfRule>
  </conditionalFormatting>
  <conditionalFormatting sqref="B23">
    <cfRule type="expression" dxfId="211" priority="9">
      <formula>IF(B23="",1,0)</formula>
    </cfRule>
  </conditionalFormatting>
  <conditionalFormatting sqref="B30">
    <cfRule type="expression" dxfId="210" priority="55">
      <formula>IF(B30="",1,0)</formula>
    </cfRule>
  </conditionalFormatting>
  <conditionalFormatting sqref="B32">
    <cfRule type="expression" dxfId="209" priority="53">
      <formula>IF(B32="",1,0)</formula>
    </cfRule>
  </conditionalFormatting>
  <conditionalFormatting sqref="B34">
    <cfRule type="expression" dxfId="208" priority="54">
      <formula>IF(B34="",1,0)</formula>
    </cfRule>
  </conditionalFormatting>
  <conditionalFormatting sqref="B36">
    <cfRule type="expression" dxfId="207" priority="52">
      <formula>IF(B36="",1,0)</formula>
    </cfRule>
  </conditionalFormatting>
  <conditionalFormatting sqref="B38">
    <cfRule type="expression" dxfId="206" priority="10">
      <formula>IF(B38="",1,0)</formula>
    </cfRule>
  </conditionalFormatting>
  <conditionalFormatting sqref="B41:B43">
    <cfRule type="expression" dxfId="205" priority="44">
      <formula>IF(B41="",1,0)</formula>
    </cfRule>
  </conditionalFormatting>
  <conditionalFormatting sqref="B45">
    <cfRule type="expression" dxfId="204" priority="43">
      <formula>IF(B45="",1,0)</formula>
    </cfRule>
  </conditionalFormatting>
  <conditionalFormatting sqref="B86:B107">
    <cfRule type="expression" dxfId="203" priority="60">
      <formula>IF(B86="",1,0)</formula>
    </cfRule>
  </conditionalFormatting>
  <conditionalFormatting sqref="B17:AL17">
    <cfRule type="expression" dxfId="202" priority="156">
      <formula>IF(B17="",1,0)</formula>
    </cfRule>
  </conditionalFormatting>
  <conditionalFormatting sqref="G86:G107">
    <cfRule type="expression" dxfId="201" priority="72">
      <formula>IF(G86="",1,0)</formula>
    </cfRule>
  </conditionalFormatting>
  <conditionalFormatting sqref="L86:L107">
    <cfRule type="expression" dxfId="200" priority="71">
      <formula>IF(L86="",1,0)</formula>
    </cfRule>
  </conditionalFormatting>
  <conditionalFormatting sqref="N7">
    <cfRule type="expression" dxfId="199" priority="22">
      <formula>IF(N7="",1,0)</formula>
    </cfRule>
  </conditionalFormatting>
  <conditionalFormatting sqref="P86:P107">
    <cfRule type="expression" dxfId="198" priority="69">
      <formula>IF(P86="",1,0)</formula>
    </cfRule>
  </conditionalFormatting>
  <conditionalFormatting sqref="Q8:AL8">
    <cfRule type="expression" dxfId="197" priority="20">
      <formula>IF(Q8="",1,0)</formula>
    </cfRule>
  </conditionalFormatting>
  <conditionalFormatting sqref="T110:T111">
    <cfRule type="expression" dxfId="196" priority="141">
      <formula>IF(T110="",1,0)</formula>
    </cfRule>
  </conditionalFormatting>
  <conditionalFormatting sqref="W25 B25:B27">
    <cfRule type="expression" dxfId="195" priority="56">
      <formula>IF(B25="",1,0)</formula>
    </cfRule>
  </conditionalFormatting>
  <conditionalFormatting sqref="Z48">
    <cfRule type="expression" dxfId="194" priority="152">
      <formula>IF(Z48="",1,0)</formula>
    </cfRule>
  </conditionalFormatting>
  <conditionalFormatting sqref="Z50">
    <cfRule type="expression" dxfId="193" priority="151">
      <formula>IF(Z50="",1,0)</formula>
    </cfRule>
  </conditionalFormatting>
  <conditionalFormatting sqref="Z51">
    <cfRule type="expression" dxfId="192" priority="7380">
      <formula>IF($Z$51&lt;&gt;$AK$108,1,0)</formula>
    </cfRule>
  </conditionalFormatting>
  <conditionalFormatting sqref="AB7">
    <cfRule type="expression" dxfId="191" priority="21">
      <formula>IF(AB7="",1,0)</formula>
    </cfRule>
  </conditionalFormatting>
  <conditionalFormatting sqref="AH86:AH107">
    <cfRule type="expression" dxfId="190" priority="77">
      <formula>IF(AH86="",1,0)</formula>
    </cfRule>
  </conditionalFormatting>
  <dataValidations xWindow="659" yWindow="881" count="32">
    <dataValidation type="textLength" operator="equal" allowBlank="1" showInputMessage="1" showErrorMessage="1" errorTitle="NIP" error="NIP to ciąg dziesięciu cyfr np. 5719611245" promptTitle="Wprowadź" prompt="NIP" sqref="B25:V25" xr:uid="{00000000-0002-0000-0D00-000000000000}">
      <formula1>10</formula1>
    </dataValidation>
    <dataValidation allowBlank="1" showInputMessage="1" showErrorMessage="1" promptTitle="Wybierz" sqref="A55:AL55" xr:uid="{00000000-0002-0000-0D00-000001000000}"/>
    <dataValidation type="textLength" operator="equal" allowBlank="1" showInputMessage="1" showErrorMessage="1" errorTitle="REGON" error="REGON to ciąg dziewięciu cyfr np. 571961124" promptTitle="Wprowadź" prompt="nr REGON" sqref="W25:AL25" xr:uid="{00000000-0002-0000-0D00-000003000000}">
      <formula1>9</formula1>
    </dataValidation>
    <dataValidation allowBlank="1" showInputMessage="1" showErrorMessage="1" promptTitle="Wprowadź" prompt="adres przedsięwzięcia" sqref="A61" xr:uid="{00000000-0002-0000-0D00-000004000000}"/>
    <dataValidation allowBlank="1" showInputMessage="1" showErrorMessage="1" promptTitle="Wprowadź " prompt="ilość" sqref="A56" xr:uid="{00000000-0002-0000-0D00-000005000000}"/>
    <dataValidation allowBlank="1" showInputMessage="1" showErrorMessage="1" promptTitle="Wprowadź" prompt="dane" sqref="B32:AL32 B30:AL30 AJ80:AL80" xr:uid="{00000000-0002-0000-0D00-000006000000}"/>
    <dataValidation allowBlank="1" showInputMessage="1" showErrorMessage="1" promptTitle="Wprowadź" prompt="adres beneficjenta" sqref="B21" xr:uid="{00000000-0002-0000-0D00-000007000000}"/>
    <dataValidation allowBlank="1" showInputMessage="1" showErrorMessage="1" promptTitle="Wybierz" prompt="właściwy rodzaj" sqref="A59:AL59" xr:uid="{00000000-0002-0000-0D00-000008000000}"/>
    <dataValidation allowBlank="1" showInputMessage="1" showErrorMessage="1" promptTitle="Wprowadź" prompt="właściwe" sqref="A73:AL73" xr:uid="{00000000-0002-0000-0D00-000009000000}"/>
    <dataValidation type="decimal" allowBlank="1" showErrorMessage="1" promptTitle="Wprowadź" prompt="kwotę" sqref="B41:AL41" xr:uid="{00000000-0002-0000-0D00-00000A000000}">
      <formula1>0</formula1>
      <formula2>1E+83</formula2>
    </dataValidation>
    <dataValidation type="decimal" allowBlank="1" showInputMessage="1" showErrorMessage="1" promptTitle="Wprowadź" prompt="wielkość" sqref="A63:AL63" xr:uid="{00000000-0002-0000-0D00-00000B000000}">
      <formula1>0</formula1>
      <formula2>1E+78</formula2>
    </dataValidation>
    <dataValidation type="decimal" allowBlank="1" showInputMessage="1" showErrorMessage="1" promptTitle="Wprowadź" prompt="wielkość" sqref="A65:AL65" xr:uid="{00000000-0002-0000-0D00-00000C000000}">
      <formula1>0</formula1>
      <formula2>1E+95</formula2>
    </dataValidation>
    <dataValidation type="whole" allowBlank="1" showInputMessage="1" showErrorMessage="1" promptTitle="Wprowadź " prompt="wielkość" sqref="A67:AL67" xr:uid="{00000000-0002-0000-0D00-00000D000000}">
      <formula1>0</formula1>
      <formula2>1E+98</formula2>
    </dataValidation>
    <dataValidation type="decimal" allowBlank="1" showInputMessage="1" showErrorMessage="1" promptTitle="Wprowadź" prompt="wielkość" sqref="A69:AL69" xr:uid="{00000000-0002-0000-0D00-00000E000000}">
      <formula1>0</formula1>
      <formula2>1E+81</formula2>
    </dataValidation>
    <dataValidation type="whole" allowBlank="1" showInputMessage="1" showErrorMessage="1" promptTitle="Wprowadź" prompt="wielkość" sqref="A71:AL71" xr:uid="{00000000-0002-0000-0D00-00000F000000}">
      <formula1>0</formula1>
      <formula2>1E+127</formula2>
    </dataValidation>
    <dataValidation allowBlank="1" showInputMessage="1" sqref="AM116 AN115:XFD135 A117" xr:uid="{00000000-0002-0000-0D00-000010000000}"/>
    <dataValidation type="decimal" allowBlank="1" showInputMessage="1" showErrorMessage="1" sqref="AH86:AJ107" xr:uid="{00000000-0002-0000-0D00-000011000000}">
      <formula1>0</formula1>
      <formula2>1</formula2>
    </dataValidation>
    <dataValidation allowBlank="1" showInputMessage="1" showErrorMessage="1" promptTitle="Wprowadź" prompt="nr księgi wieczystej - nr działki ewidencyjnej" sqref="A123:AL123" xr:uid="{00000000-0002-0000-0D00-000012000000}"/>
    <dataValidation allowBlank="1" showInputMessage="1" showErrorMessage="1" promptTitle="Wybierz" prompt="właściwe" sqref="A119:AL119" xr:uid="{00000000-0002-0000-0D00-000013000000}"/>
    <dataValidation allowBlank="1" showInputMessage="1" showErrorMessage="1" promptTitle="Wprowadź" prompt="adres ePUAP beneficjenta" sqref="B22" xr:uid="{B781227A-671C-4DF7-B432-F07C83DB20B5}"/>
    <dataValidation type="textLength" operator="equal" allowBlank="1" showInputMessage="1" errorTitle="KRS" promptTitle="Wprowadź" prompt="numer KRS" sqref="B27:AL27" xr:uid="{00000000-0002-0000-0D00-000016000000}">
      <formula1>10</formula1>
    </dataValidation>
    <dataValidation type="textLength" operator="greaterThan" allowBlank="1" showInputMessage="1" showErrorMessage="1" promptTitle="Wprowadź" prompt="nazwę beneficjenta" sqref="B19:AL19" xr:uid="{00000000-0002-0000-0D00-000017000000}">
      <formula1>3</formula1>
    </dataValidation>
    <dataValidation type="decimal" allowBlank="1" showInputMessage="1" showErrorMessage="1" promptTitle="Wprowadź" prompt="kwotę" sqref="Z49" xr:uid="{00000000-0002-0000-0D00-000018000000}">
      <formula1>0</formula1>
      <formula2>100000000000000000</formula2>
    </dataValidation>
    <dataValidation type="decimal" allowBlank="1" showInputMessage="1" showErrorMessage="1" promptTitle="Wprowadź" prompt="kwotę" sqref="Z50" xr:uid="{00000000-0002-0000-0D00-000019000000}">
      <formula1>0</formula1>
      <formula2>10000000000000000000</formula2>
    </dataValidation>
    <dataValidation allowBlank="1" showErrorMessage="1" promptTitle="Wybierz" prompt="właściwe" sqref="A121:AL121" xr:uid="{00556173-704F-4B3E-B9FE-69F3531FDAEF}"/>
    <dataValidation allowBlank="1" showErrorMessage="1" promptTitle="Wprowadź" prompt="nr księgi wieczystej - nr działki ewidencyjnej" sqref="A124:AL124 A131:AL131 A132:A133" xr:uid="{00000000-0002-0000-0D00-00001B000000}"/>
    <dataValidation allowBlank="1" showErrorMessage="1" promptTitle="Wybierz" prompt="właściwe oświadczenie" sqref="A113:AL113 A115:AL115" xr:uid="{00000000-0002-0000-0D00-00001C000000}"/>
    <dataValidation type="decimal" allowBlank="1" showInputMessage="1" promptTitle="Wybierz" prompt="właściwą wysokość wsparcia lub wpiszmniejszą wartość" sqref="T110:AJ110" xr:uid="{00000000-0002-0000-0D00-00001D000000}">
      <formula1>0</formula1>
      <formula2>0.8</formula2>
    </dataValidation>
    <dataValidation allowBlank="1" showInputMessage="1" showErrorMessage="1" promptTitle="Wprowadź" prompt="Adres do doręczeń elektronicznych" sqref="B23:AL23" xr:uid="{38275A28-6447-4983-AEA1-B9E5B0D1A5A5}"/>
    <dataValidation operator="greaterThanOrEqual" allowBlank="1" showInputMessage="1" showErrorMessage="1" promptTitle="Wprowadź" prompt="datę w formacie rrrr-mm-dd_x000a_" sqref="B45:AL45" xr:uid="{00000000-0002-0000-0D00-000023000000}"/>
    <dataValidation type="textLength" operator="equal" allowBlank="1" showInputMessage="1" promptTitle="Wprowadź" prompt="numer rachunku bankowego" sqref="T38:AL38" xr:uid="{21240C0D-64FC-4613-AF2F-54731C85A711}">
      <formula1>26</formula1>
    </dataValidation>
    <dataValidation type="textLength" operator="equal" showInputMessage="1" promptTitle="Wprowadź" prompt="numer rachunku bankowego tj. 26 cyfr" sqref="B38:S38" xr:uid="{16570484-0ED6-4F5E-95DC-3BCCB9AB11B6}">
      <formula1>26</formula1>
    </dataValidation>
  </dataValidations>
  <hyperlinks>
    <hyperlink ref="AM41" location="Ogrzewalnia!B82" display="Kliknij &quot;tutaj&quot; i przejdź do wypełnienia zestawienia kosztów" xr:uid="{00000000-0004-0000-0D00-000000000000}"/>
    <hyperlink ref="B41:AL41" location="Ogrzewalnia!B82" display="Ogrzewalnia!B82" xr:uid="{00000000-0004-0000-0D00-000001000000}"/>
    <hyperlink ref="AM111" location="Ogrzewalnia!B42" display="Wróć do wypełniania wniosku" xr:uid="{00000000-0004-0000-0D00-000002000000}"/>
    <hyperlink ref="AM20" r:id="rId1" display="Weryfikocji można dokonać na stronie internetowej -&gt; https://eteryt.stat.gov.pl/eTeryt/rejestr_teryt/udostepnianie_danych/baza_teryt/uzytkownicy_indywidualni/wyszukiwanie/wyszukiwanie.aspx?contrast=default" xr:uid="{00000000-0004-0000-0D00-000003000000}"/>
    <hyperlink ref="AM22" r:id="rId2" xr:uid="{00000000-0004-0000-0D00-000004000000}"/>
    <hyperlink ref="AM18" r:id="rId3" xr:uid="{00000000-0004-0000-0D00-000005000000}"/>
    <hyperlink ref="AM24" r:id="rId4" xr:uid="{00000000-0004-0000-0D00-000006000000}"/>
    <hyperlink ref="AM26" r:id="rId5" xr:uid="{00000000-0004-0000-0D00-000007000000}"/>
    <hyperlink ref="AM142" r:id="rId6" xr:uid="{956AFDFD-94A7-4FF0-A440-4844D48A17E8}"/>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144" id="{A552126A-E0F4-4CA9-AB14-881F246F9F06}">
            <xm:f>IF($A$103=Słowniki!$P$2,1,0)</xm:f>
            <x14:dxf>
              <font>
                <b/>
                <i val="0"/>
                <strike/>
                <color theme="1"/>
              </font>
            </x14:dxf>
          </x14:cfRule>
          <xm:sqref>A75:AL75</xm:sqref>
        </x14:conditionalFormatting>
        <x14:conditionalFormatting xmlns:xm="http://schemas.microsoft.com/office/excel/2006/main">
          <x14:cfRule type="expression" priority="8" id="{4BE3D6FC-4716-48D6-AD5F-9FD861D16E31}">
            <xm:f>IF($A$107=Słowniki!$P$2,1,0)</xm:f>
            <x14:dxf>
              <font>
                <strike/>
              </font>
            </x14:dxf>
          </x14:cfRule>
          <xm:sqref>A77:AL77</xm:sqref>
        </x14:conditionalFormatting>
        <x14:conditionalFormatting xmlns:xm="http://schemas.microsoft.com/office/excel/2006/main">
          <x14:cfRule type="expression" priority="16" id="{79264B79-2CF4-4D21-A4E1-F502A97C5950}">
            <xm:f>IF('Wniosek art 5 budowa'!$A$151=Słowniki!$P$2,1,0)</xm:f>
            <x14:dxf>
              <font>
                <strike/>
              </font>
            </x14:dxf>
          </x14:cfRule>
          <xm:sqref>A79:AL79</xm:sqref>
        </x14:conditionalFormatting>
        <x14:conditionalFormatting xmlns:xm="http://schemas.microsoft.com/office/excel/2006/main">
          <x14:cfRule type="expression" priority="39" id="{3F603E76-8E17-4B0B-9472-7785E1AC261A}">
            <xm:f>IF(#REF!=Słowniki!$Q$2,1,0)</xm:f>
            <x14:dxf>
              <font>
                <strike/>
              </font>
            </x14:dxf>
          </x14:cfRule>
          <xm:sqref>A119:AL119</xm:sqref>
        </x14:conditionalFormatting>
      </x14:conditionalFormattings>
    </ext>
    <ext xmlns:x14="http://schemas.microsoft.com/office/spreadsheetml/2009/9/main" uri="{CCE6A557-97BC-4b89-ADB6-D9C93CAAB3DF}">
      <x14:dataValidations xmlns:xm="http://schemas.microsoft.com/office/excel/2006/main" xWindow="659" yWindow="881" count="21">
        <x14:dataValidation type="list" allowBlank="1" showInputMessage="1" promptTitle="Wybierz" prompt="i modyfikuj" xr:uid="{00000000-0002-0000-0D00-000024000000}">
          <x14:formula1>
            <xm:f>Słowniki!$D$3:$D$5</xm:f>
          </x14:formula1>
          <xm:sqref>A53:AL53</xm:sqref>
        </x14:dataValidation>
        <x14:dataValidation type="list" allowBlank="1" showInputMessage="1" promptTitle="Wybierz" prompt="właściwe" xr:uid="{00000000-0002-0000-0D00-000025000000}">
          <x14:formula1>
            <xm:f>Słowniki!$O$2:$O$5</xm:f>
          </x14:formula1>
          <xm:sqref>A136</xm:sqref>
        </x14:dataValidation>
        <x14:dataValidation type="list" allowBlank="1" showInputMessage="1" showErrorMessage="1" promptTitle="Wybierz" prompt="właściwy rodzaj" xr:uid="{00000000-0002-0000-0D00-000026000000}">
          <x14:formula1>
            <xm:f>Słowniki!$J$6:$J$7</xm:f>
          </x14:formula1>
          <xm:sqref>A58:AL58</xm:sqref>
        </x14:dataValidation>
        <x14:dataValidation type="list" allowBlank="1" showInputMessage="1" showErrorMessage="1" promptTitle="Wybierz" prompt="właściwe" xr:uid="{00000000-0002-0000-0D00-000027000000}">
          <x14:formula1>
            <xm:f>Słowniki!$P$1:$P$2</xm:f>
          </x14:formula1>
          <xm:sqref>AN76:XFD76</xm:sqref>
        </x14:dataValidation>
        <x14:dataValidation type="list" allowBlank="1" showInputMessage="1" promptTitle="Wprowadź" prompt="dane lub wybierz nie dotyczy" xr:uid="{00000000-0002-0000-0D00-00002B000000}">
          <x14:formula1>
            <xm:f>Słowniki!$F$26</xm:f>
          </x14:formula1>
          <xm:sqref>B34:AL34 B36:AL36</xm:sqref>
        </x14:dataValidation>
        <x14:dataValidation type="list" allowBlank="1" showInputMessage="1" showErrorMessage="1" promptTitle="Wybierz" prompt="beneficjenta" xr:uid="{00000000-0002-0000-0D00-00002C000000}">
          <x14:formula1>
            <xm:f>'Słownik N_S_O'!$F$2:$F$6</xm:f>
          </x14:formula1>
          <xm:sqref>B17:AL17</xm:sqref>
        </x14:dataValidation>
        <x14:dataValidation type="list" allowBlank="1" showInputMessage="1" showErrorMessage="1" promptTitle="Wybierz" prompt="właściwe" xr:uid="{00000000-0002-0000-0D00-00002D000000}">
          <x14:formula1>
            <xm:f>'Słownik N_S_O'!$Q$2:$Q$5</xm:f>
          </x14:formula1>
          <xm:sqref>A125:AL125</xm:sqref>
        </x14:dataValidation>
        <x14:dataValidation type="list" allowBlank="1" showInputMessage="1" showErrorMessage="1" promptTitle="Wybierz" prompt="właściwe" xr:uid="{00000000-0002-0000-0D00-00002E000000}">
          <x14:formula1>
            <xm:f>Słowniki!$Z$3:$Z$4</xm:f>
          </x14:formula1>
          <xm:sqref>A120:AL120</xm:sqref>
        </x14:dataValidation>
        <x14:dataValidation type="list" allowBlank="1" showInputMessage="1" showErrorMessage="1" promptTitle="Wybierz" prompt="właściwe" xr:uid="{00000000-0002-0000-0D00-00002F000000}">
          <x14:formula1>
            <xm:f>'Słownik N_S_O'!$O$1:$O$2</xm:f>
          </x14:formula1>
          <xm:sqref>A118:AL118</xm:sqref>
        </x14:dataValidation>
        <x14:dataValidation type="list" allowBlank="1" showInputMessage="1" showErrorMessage="1" promptTitle="Wybierz" prompt="właściwe" xr:uid="{00000000-0002-0000-0D00-000030000000}">
          <x14:formula1>
            <xm:f>Słowniki!$W$1:$W$2</xm:f>
          </x14:formula1>
          <xm:sqref>A114:AL114</xm:sqref>
        </x14:dataValidation>
        <x14:dataValidation type="list" allowBlank="1" showInputMessage="1" showErrorMessage="1" promptTitle="Wybierz" prompt="właściwe" xr:uid="{00000000-0002-0000-0D00-000031000000}">
          <x14:formula1>
            <xm:f>Słowniki!$W$3:$W$4</xm:f>
          </x14:formula1>
          <xm:sqref>A116:AL116</xm:sqref>
        </x14:dataValidation>
        <x14:dataValidation type="list" allowBlank="1" showInputMessage="1" showErrorMessage="1" promptTitle="Wybierz" prompt="właściwe" xr:uid="{00000000-0002-0000-0D00-000032000000}">
          <x14:formula1>
            <xm:f>Słowniki!$E$169:$E$170</xm:f>
          </x14:formula1>
          <xm:sqref>T111:AJ111</xm:sqref>
        </x14:dataValidation>
        <x14:dataValidation type="list" allowBlank="1" showInputMessage="1" showErrorMessage="1" promptTitle="Wybierz" prompt="właściwe" xr:uid="{00000000-0002-0000-0D00-000033000000}">
          <x14:formula1>
            <xm:f>Słowniki!$U$5:$U$6</xm:f>
          </x14:formula1>
          <xm:sqref>A78:AL78</xm:sqref>
        </x14:dataValidation>
        <x14:dataValidation type="list" allowBlank="1" showInputMessage="1" showErrorMessage="1" promptTitle="Wybierz" prompt="właściwe" xr:uid="{00000000-0002-0000-0D00-000034000000}">
          <x14:formula1>
            <xm:f>Słowniki!$U$1:$U$2</xm:f>
          </x14:formula1>
          <xm:sqref>A76:AL76</xm:sqref>
        </x14:dataValidation>
        <x14:dataValidation type="list" errorStyle="information" allowBlank="1" showInputMessage="1" showErrorMessage="1" xr:uid="{00000000-0002-0000-0D00-000035000000}">
          <x14:formula1>
            <xm:f>Słowniki!$A$34:$A$39</xm:f>
          </x14:formula1>
          <xm:sqref>G86:K107</xm:sqref>
        </x14:dataValidation>
        <x14:dataValidation type="list" allowBlank="1" showInputMessage="1" showErrorMessage="1" promptTitle="Wybierz" prompt="właściwe" xr:uid="{00000000-0002-0000-0D00-000038000000}">
          <x14:formula1>
            <xm:f>Słowniki!$AO$1:$AO$2</xm:f>
          </x14:formula1>
          <xm:sqref>B42:AL42</xm:sqref>
        </x14:dataValidation>
        <x14:dataValidation type="list" allowBlank="1" showInputMessage="1" showErrorMessage="1" promptTitle="Wybierz" prompt="właściwe" xr:uid="{00000000-0002-0000-0D00-000039000000}">
          <x14:formula1>
            <xm:f>Słowniki!$W$12:$W$14</xm:f>
          </x14:formula1>
          <xm:sqref>A127:AL127</xm:sqref>
        </x14:dataValidation>
        <x14:dataValidation type="list" allowBlank="1" showInputMessage="1" showErrorMessage="1" promptTitle="Wybierz" prompt="właściwe" xr:uid="{00000000-0002-0000-0D00-00003A000000}">
          <x14:formula1>
            <xm:f>Słowniki!$C$3:$C$4</xm:f>
          </x14:formula1>
          <xm:sqref>AB7:AE7 N7:P7</xm:sqref>
        </x14:dataValidation>
        <x14:dataValidation type="list" errorStyle="information" allowBlank="1" showInputMessage="1" showErrorMessage="1" promptTitle="Wybierz" prompt="właściwe" xr:uid="{04D530B4-D2B5-403E-9FCF-55C1F95957E9}">
          <x14:formula1>
            <xm:f>Słowniki!$A$46:$A$57</xm:f>
          </x14:formula1>
          <xm:sqref>B86:F107</xm:sqref>
        </x14:dataValidation>
        <x14:dataValidation type="list" allowBlank="1" showInputMessage="1" showErrorMessage="1" xr:uid="{C9100480-9A3A-4815-9B41-BD7C1AB230F4}">
          <x14:formula1>
            <xm:f>Słowniki!$Y$9:$Y$10</xm:f>
          </x14:formula1>
          <xm:sqref>A129:AL129</xm:sqref>
        </x14:dataValidation>
        <x14:dataValidation type="date" operator="greaterThan" allowBlank="1" showInputMessage="1" showErrorMessage="1" promptTitle="Wprowadź" prompt="datę w formacie rrrr-mm-dd_x000a_" xr:uid="{00000000-0002-0000-0D00-00003B000000}">
          <x14:formula1>
            <xm:f>Słowniki!AQ1</xm:f>
          </x14:formula1>
          <xm:sqref>B43:AL43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Arkusz16"/>
  <dimension ref="A1:BI200"/>
  <sheetViews>
    <sheetView showGridLines="0" view="pageBreakPreview" topLeftCell="A188" zoomScaleNormal="130" zoomScaleSheetLayoutView="100" workbookViewId="0">
      <selection activeCell="AM199" sqref="AM199"/>
    </sheetView>
  </sheetViews>
  <sheetFormatPr defaultColWidth="9.33203125" defaultRowHeight="13.8" x14ac:dyDescent="0.25"/>
  <cols>
    <col min="1" max="1" width="3.33203125" style="60" customWidth="1"/>
    <col min="2" max="2" width="4" style="60" customWidth="1"/>
    <col min="3" max="3" width="2.33203125" style="60" customWidth="1"/>
    <col min="4" max="4" width="2.5546875" style="60" customWidth="1"/>
    <col min="5" max="5" width="2" style="60" customWidth="1"/>
    <col min="6" max="6" width="1.6640625" style="60" customWidth="1"/>
    <col min="7" max="7" width="1.44140625" style="60" customWidth="1"/>
    <col min="8" max="8" width="2.33203125" style="60" customWidth="1"/>
    <col min="9" max="9" width="2.44140625" style="60" customWidth="1"/>
    <col min="10" max="10" width="1.5546875" style="60" customWidth="1"/>
    <col min="11" max="11" width="1.6640625" style="60" customWidth="1"/>
    <col min="12" max="12" width="5.33203125" style="60" customWidth="1"/>
    <col min="13" max="13" width="0.6640625" style="60" customWidth="1"/>
    <col min="14" max="14" width="3.44140625" style="60" customWidth="1"/>
    <col min="15" max="15" width="2.5546875" style="60" customWidth="1"/>
    <col min="16" max="17" width="1.5546875" style="60" customWidth="1"/>
    <col min="18" max="18" width="1.33203125" style="60" customWidth="1"/>
    <col min="19" max="19" width="2.33203125" style="60" customWidth="1"/>
    <col min="20" max="20" width="1.33203125" style="60" customWidth="1"/>
    <col min="21" max="21" width="1" style="60" customWidth="1"/>
    <col min="22" max="22" width="0.6640625" style="60" customWidth="1"/>
    <col min="23" max="23" width="3" style="60" customWidth="1"/>
    <col min="24" max="24" width="1.33203125" style="60" customWidth="1"/>
    <col min="25" max="25" width="1.44140625" style="60" customWidth="1"/>
    <col min="26" max="27" width="1.33203125" style="60" customWidth="1"/>
    <col min="28" max="28" width="2" style="60" customWidth="1"/>
    <col min="29" max="29" width="1" style="60" customWidth="1"/>
    <col min="30" max="31" width="1.6640625" style="60" customWidth="1"/>
    <col min="32" max="32" width="1.33203125" style="60" customWidth="1"/>
    <col min="33" max="33" width="1.6640625" style="60" customWidth="1"/>
    <col min="34" max="34" width="2.33203125" style="60" customWidth="1"/>
    <col min="35" max="35" width="1.44140625" style="60" customWidth="1"/>
    <col min="36" max="36" width="4" style="60" customWidth="1"/>
    <col min="37" max="37" width="9.33203125" style="60" customWidth="1"/>
    <col min="38" max="38" width="5.6640625" style="60" customWidth="1"/>
    <col min="39" max="39" width="115" style="109" customWidth="1"/>
    <col min="40" max="41" width="10.6640625" style="109" bestFit="1" customWidth="1"/>
    <col min="42" max="52" width="9.33203125" style="109"/>
    <col min="53" max="16384" width="9.33203125" style="60"/>
  </cols>
  <sheetData>
    <row r="1" spans="1:61" s="68" customFormat="1" ht="27"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6"/>
      <c r="AN1" s="106"/>
      <c r="AO1" s="106"/>
      <c r="AP1" s="106"/>
      <c r="AQ1" s="106"/>
      <c r="AR1" s="106"/>
      <c r="AS1" s="106"/>
      <c r="AT1" s="106"/>
      <c r="AU1" s="106"/>
      <c r="AV1" s="106"/>
      <c r="AW1" s="106"/>
      <c r="AX1" s="106"/>
      <c r="AY1" s="106"/>
      <c r="AZ1" s="106"/>
      <c r="BA1" s="70"/>
      <c r="BB1" s="70"/>
      <c r="BC1" s="60"/>
      <c r="BD1" s="60"/>
      <c r="BE1" s="60"/>
      <c r="BF1" s="60"/>
      <c r="BG1" s="60"/>
      <c r="BH1" s="60"/>
      <c r="BI1" s="60"/>
    </row>
    <row r="2" spans="1:61" s="68" customFormat="1" x14ac:dyDescent="0.25">
      <c r="A2" s="69" t="s">
        <v>123</v>
      </c>
      <c r="B2" s="69"/>
      <c r="C2" s="69"/>
      <c r="D2" s="69"/>
      <c r="E2" s="69"/>
      <c r="F2" s="69"/>
      <c r="G2" s="69"/>
      <c r="H2" s="69"/>
      <c r="I2" s="69"/>
      <c r="J2" s="69"/>
      <c r="K2" s="69"/>
      <c r="L2" s="69"/>
      <c r="M2" s="69"/>
      <c r="N2" s="69"/>
      <c r="O2" s="69"/>
      <c r="P2" s="69"/>
      <c r="Q2" s="69"/>
      <c r="R2" s="69"/>
      <c r="S2" s="69"/>
      <c r="T2" s="70"/>
      <c r="U2" s="70"/>
      <c r="V2" s="70"/>
      <c r="W2" s="70"/>
      <c r="X2" s="70"/>
      <c r="Y2" s="70"/>
      <c r="Z2" s="70"/>
      <c r="AA2" s="70"/>
      <c r="AB2" s="70"/>
      <c r="AC2" s="70"/>
      <c r="AD2" s="70"/>
      <c r="AE2" s="70"/>
      <c r="AF2" s="70"/>
      <c r="AG2" s="70"/>
      <c r="AH2" s="70"/>
      <c r="AI2" s="70"/>
      <c r="AJ2" s="70"/>
      <c r="AK2" s="70"/>
      <c r="AL2" s="70"/>
      <c r="AM2" s="106"/>
      <c r="AN2" s="106"/>
      <c r="AO2" s="106"/>
      <c r="AP2" s="106"/>
      <c r="AQ2" s="106"/>
      <c r="AR2" s="106"/>
      <c r="AS2" s="106"/>
      <c r="AT2" s="106"/>
      <c r="AU2" s="106"/>
      <c r="AV2" s="106"/>
      <c r="AW2" s="106"/>
      <c r="AX2" s="106"/>
      <c r="AY2" s="106"/>
      <c r="AZ2" s="106"/>
      <c r="BA2" s="70"/>
      <c r="BB2" s="70"/>
      <c r="BC2" s="60"/>
      <c r="BD2" s="60"/>
      <c r="BE2" s="60"/>
      <c r="BF2" s="60"/>
      <c r="BG2" s="60"/>
      <c r="BH2" s="60"/>
      <c r="BI2" s="60"/>
    </row>
    <row r="3" spans="1:61" s="68" customFormat="1" ht="14.4" x14ac:dyDescent="0.3">
      <c r="A3" s="88"/>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3"/>
      <c r="AM3" s="102" t="s">
        <v>160</v>
      </c>
      <c r="AN3" s="109"/>
      <c r="AO3" s="109"/>
      <c r="AP3" s="109"/>
      <c r="AQ3" s="109"/>
      <c r="AR3" s="109"/>
      <c r="AS3" s="109"/>
      <c r="AT3" s="109"/>
      <c r="AU3" s="109"/>
      <c r="AV3" s="109"/>
      <c r="AW3" s="109"/>
      <c r="AX3" s="109"/>
      <c r="AY3" s="109"/>
      <c r="AZ3" s="109"/>
      <c r="BA3" s="60"/>
      <c r="BB3" s="60"/>
      <c r="BC3" s="60"/>
      <c r="BD3" s="60"/>
      <c r="BE3" s="60"/>
      <c r="BF3" s="60"/>
      <c r="BG3" s="60"/>
      <c r="BH3" s="60"/>
      <c r="BI3" s="60"/>
    </row>
    <row r="4" spans="1:61" s="68" customFormat="1" ht="14.4" x14ac:dyDescent="0.3">
      <c r="A4" s="513"/>
      <c r="B4" s="513"/>
      <c r="C4" s="513"/>
      <c r="D4" s="513"/>
      <c r="E4" s="513"/>
      <c r="F4" s="513"/>
      <c r="G4" s="89"/>
      <c r="H4" s="514">
        <f ca="1">TODAY()</f>
        <v>46184</v>
      </c>
      <c r="I4" s="514"/>
      <c r="J4" s="514"/>
      <c r="K4" s="514"/>
      <c r="L4" s="514"/>
      <c r="M4" s="88"/>
      <c r="N4"/>
      <c r="O4"/>
      <c r="P4"/>
      <c r="Q4"/>
      <c r="R4"/>
      <c r="S4"/>
      <c r="T4"/>
      <c r="U4"/>
      <c r="V4"/>
      <c r="W4"/>
      <c r="X4"/>
      <c r="Y4"/>
      <c r="Z4"/>
      <c r="AA4"/>
      <c r="AB4" s="88"/>
      <c r="AC4" s="88"/>
      <c r="AD4" s="88"/>
      <c r="AE4" s="88"/>
      <c r="AF4" s="88"/>
      <c r="AG4" s="88"/>
      <c r="AH4" s="88"/>
      <c r="AI4" s="88"/>
      <c r="AJ4" s="88"/>
      <c r="AK4" s="88"/>
      <c r="AL4" s="88"/>
      <c r="AM4" s="108"/>
      <c r="AN4" s="109"/>
      <c r="AO4" s="109"/>
      <c r="AP4" s="109"/>
      <c r="AQ4" s="109"/>
      <c r="AR4" s="109"/>
      <c r="AS4" s="109"/>
      <c r="AT4" s="109"/>
      <c r="AU4" s="109"/>
      <c r="AV4" s="109"/>
      <c r="AW4" s="109"/>
      <c r="AX4" s="109"/>
      <c r="AY4" s="109"/>
      <c r="AZ4" s="109"/>
      <c r="BA4" s="60"/>
      <c r="BB4" s="60"/>
      <c r="BC4" s="60"/>
      <c r="BD4" s="60"/>
      <c r="BE4" s="60"/>
      <c r="BF4" s="60"/>
      <c r="BG4" s="60"/>
      <c r="BH4" s="60"/>
      <c r="BI4" s="60"/>
    </row>
    <row r="5" spans="1:61" s="68" customFormat="1" ht="14.4" x14ac:dyDescent="0.3">
      <c r="A5" s="515" t="s">
        <v>125</v>
      </c>
      <c r="B5" s="515"/>
      <c r="C5" s="515"/>
      <c r="D5" s="515"/>
      <c r="E5" s="515"/>
      <c r="F5" s="515"/>
      <c r="G5" s="151"/>
      <c r="H5" s="515" t="s">
        <v>124</v>
      </c>
      <c r="I5" s="515"/>
      <c r="J5" s="515"/>
      <c r="K5" s="515"/>
      <c r="L5" s="515"/>
      <c r="M5" s="148"/>
      <c r="N5"/>
      <c r="O5"/>
      <c r="P5"/>
      <c r="Q5"/>
      <c r="R5"/>
      <c r="S5"/>
      <c r="T5"/>
      <c r="U5"/>
      <c r="V5"/>
      <c r="W5"/>
      <c r="X5"/>
      <c r="Y5"/>
      <c r="Z5"/>
      <c r="AA5"/>
      <c r="AB5" s="148"/>
      <c r="AC5" s="148"/>
      <c r="AD5" s="148"/>
      <c r="AE5" s="148"/>
      <c r="AF5" s="148"/>
      <c r="AG5" s="148"/>
      <c r="AH5" s="148"/>
      <c r="AI5" s="148"/>
      <c r="AJ5" s="148"/>
      <c r="AK5" s="148"/>
      <c r="AL5" s="148"/>
      <c r="AM5" s="108"/>
      <c r="AN5" s="109"/>
      <c r="AO5" s="109"/>
      <c r="AP5" s="109"/>
      <c r="AQ5" s="109"/>
      <c r="AR5" s="109"/>
      <c r="AS5" s="109"/>
      <c r="AT5" s="109"/>
      <c r="AU5" s="109"/>
      <c r="AV5" s="109"/>
      <c r="AW5" s="109"/>
      <c r="AX5" s="109"/>
      <c r="AY5" s="109"/>
      <c r="AZ5" s="109"/>
      <c r="BA5" s="60"/>
      <c r="BB5" s="60"/>
      <c r="BC5" s="60"/>
      <c r="BD5" s="60"/>
      <c r="BE5" s="60"/>
      <c r="BF5" s="60"/>
      <c r="BG5" s="60"/>
      <c r="BH5" s="60"/>
      <c r="BI5" s="60"/>
    </row>
    <row r="6" spans="1:61" s="68" customFormat="1" ht="14.4" x14ac:dyDescent="0.3">
      <c r="A6" s="153"/>
      <c r="B6" s="153"/>
      <c r="C6" s="153"/>
      <c r="D6" s="153"/>
      <c r="E6" s="153"/>
      <c r="F6" s="153"/>
      <c r="G6" s="151"/>
      <c r="H6" s="148"/>
      <c r="I6" s="148"/>
      <c r="J6" s="148"/>
      <c r="K6" s="148"/>
      <c r="L6" s="148"/>
      <c r="M6" s="148"/>
      <c r="N6"/>
      <c r="O6"/>
      <c r="P6"/>
      <c r="Q6"/>
      <c r="R6"/>
      <c r="S6"/>
      <c r="T6"/>
      <c r="U6"/>
      <c r="V6"/>
      <c r="W6"/>
      <c r="X6"/>
      <c r="Y6"/>
      <c r="Z6"/>
      <c r="AA6"/>
      <c r="AB6" s="148"/>
      <c r="AC6" s="148"/>
      <c r="AD6" s="148"/>
      <c r="AE6" s="148"/>
      <c r="AF6" s="148"/>
      <c r="AG6" s="148"/>
      <c r="AH6" s="148"/>
      <c r="AI6" s="148"/>
      <c r="AJ6" s="148"/>
      <c r="AK6" s="148"/>
      <c r="AL6" s="148"/>
      <c r="AM6" s="108"/>
      <c r="AN6" s="109"/>
      <c r="AO6" s="109"/>
      <c r="AP6" s="109"/>
      <c r="AQ6" s="109"/>
      <c r="AR6" s="109"/>
      <c r="AS6" s="109"/>
      <c r="AT6" s="109"/>
      <c r="AU6" s="109"/>
      <c r="AV6" s="109"/>
      <c r="AW6" s="109"/>
      <c r="AX6" s="109"/>
      <c r="AY6" s="109"/>
      <c r="AZ6" s="109"/>
      <c r="BA6" s="60"/>
      <c r="BB6" s="60"/>
      <c r="BC6" s="60"/>
      <c r="BD6" s="60"/>
      <c r="BE6" s="60"/>
      <c r="BF6" s="60"/>
      <c r="BG6" s="60"/>
      <c r="BH6" s="60"/>
      <c r="BI6" s="60"/>
    </row>
    <row r="7" spans="1:61" ht="24" customHeight="1"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c r="AN7" s="60"/>
      <c r="AO7" s="60"/>
      <c r="AP7" s="60"/>
      <c r="AQ7" s="60"/>
      <c r="AR7" s="60"/>
      <c r="AS7" s="60"/>
      <c r="AT7" s="60"/>
      <c r="AU7" s="60"/>
      <c r="AV7" s="60"/>
      <c r="AW7" s="60"/>
      <c r="AX7" s="60"/>
      <c r="AY7" s="60"/>
      <c r="AZ7" s="60"/>
    </row>
    <row r="8" spans="1:61" ht="34.5"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c r="AN8" s="60"/>
      <c r="AO8" s="60"/>
      <c r="AP8" s="60"/>
      <c r="AQ8" s="60"/>
      <c r="AR8" s="60"/>
      <c r="AS8" s="60"/>
      <c r="AT8" s="60"/>
      <c r="AU8" s="60"/>
      <c r="AV8" s="60"/>
      <c r="AW8" s="60"/>
      <c r="AX8" s="60"/>
      <c r="AY8" s="60"/>
      <c r="AZ8" s="60"/>
    </row>
    <row r="9" spans="1:61" ht="112.5"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c r="AN9" s="60"/>
      <c r="AO9" s="60"/>
      <c r="AP9" s="60"/>
      <c r="AQ9" s="60"/>
      <c r="AR9" s="60"/>
      <c r="AS9" s="60"/>
      <c r="AT9" s="60"/>
      <c r="AU9" s="60"/>
      <c r="AV9" s="60"/>
      <c r="AW9" s="60"/>
      <c r="AX9" s="60"/>
      <c r="AY9" s="60"/>
      <c r="AZ9" s="60"/>
    </row>
    <row r="10" spans="1:61" s="68" customFormat="1" ht="14.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08"/>
      <c r="AN10" s="109"/>
      <c r="AO10" s="109"/>
      <c r="AP10" s="109"/>
      <c r="AQ10" s="109"/>
      <c r="AR10" s="109"/>
      <c r="AS10" s="109"/>
      <c r="AT10" s="109"/>
      <c r="AU10" s="109"/>
      <c r="AV10" s="109"/>
      <c r="AW10" s="109"/>
      <c r="AX10" s="109"/>
      <c r="AY10" s="109"/>
      <c r="AZ10" s="109"/>
      <c r="BA10" s="60"/>
      <c r="BB10" s="60"/>
      <c r="BC10" s="60"/>
      <c r="BD10" s="60"/>
      <c r="BE10" s="60"/>
      <c r="BF10" s="60"/>
      <c r="BG10" s="60"/>
      <c r="BH10" s="60"/>
      <c r="BI10" s="60"/>
    </row>
    <row r="11" spans="1:61" s="68" customFormat="1"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108"/>
      <c r="AN11" s="109"/>
      <c r="AO11" s="109"/>
      <c r="AP11" s="109"/>
      <c r="AQ11" s="109"/>
      <c r="AR11" s="109"/>
      <c r="AS11" s="109"/>
      <c r="AT11" s="109"/>
      <c r="AU11" s="109"/>
      <c r="AV11" s="109"/>
      <c r="AW11" s="109"/>
      <c r="AX11" s="109"/>
      <c r="AY11" s="109"/>
      <c r="AZ11" s="109"/>
      <c r="BA11" s="60"/>
      <c r="BB11" s="60"/>
      <c r="BC11" s="60"/>
      <c r="BD11" s="60"/>
      <c r="BE11" s="60"/>
      <c r="BF11" s="60"/>
      <c r="BG11" s="60"/>
      <c r="BH11" s="60"/>
      <c r="BI11" s="60"/>
    </row>
    <row r="12" spans="1:61" s="68" customFormat="1" ht="14.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c r="AM12" s="108"/>
      <c r="AN12" s="109"/>
      <c r="AO12" s="109"/>
      <c r="AP12" s="109"/>
      <c r="AQ12" s="109"/>
      <c r="AR12" s="109"/>
      <c r="AS12" s="109"/>
      <c r="AT12" s="109"/>
      <c r="AU12" s="109"/>
      <c r="AV12" s="109"/>
      <c r="AW12" s="109"/>
      <c r="AX12" s="109"/>
      <c r="AY12" s="109"/>
      <c r="AZ12" s="109"/>
      <c r="BA12" s="60"/>
      <c r="BB12" s="60"/>
      <c r="BC12" s="60"/>
      <c r="BD12" s="60"/>
      <c r="BE12" s="60"/>
      <c r="BF12" s="60"/>
      <c r="BG12" s="60"/>
      <c r="BH12" s="60"/>
      <c r="BI12" s="60"/>
    </row>
    <row r="13" spans="1:61" s="68" customFormat="1" ht="22.2"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108"/>
      <c r="AN13" s="109"/>
      <c r="AO13" s="109"/>
      <c r="AP13" s="109"/>
      <c r="AQ13" s="109"/>
      <c r="AR13" s="109"/>
      <c r="AS13" s="109"/>
      <c r="AT13" s="109"/>
      <c r="AU13" s="109"/>
      <c r="AV13" s="109"/>
      <c r="AW13" s="109"/>
      <c r="AX13" s="109"/>
      <c r="AY13" s="109"/>
      <c r="AZ13" s="109"/>
      <c r="BA13" s="60"/>
      <c r="BB13" s="60"/>
      <c r="BC13" s="60"/>
      <c r="BD13" s="60"/>
      <c r="BE13" s="60"/>
      <c r="BF13" s="60"/>
      <c r="BG13" s="60"/>
      <c r="BH13" s="60"/>
      <c r="BI13" s="60"/>
    </row>
    <row r="14" spans="1:61" s="68" customFormat="1"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08"/>
      <c r="AN14" s="109"/>
      <c r="AO14" s="109"/>
      <c r="AP14" s="109"/>
      <c r="AQ14" s="109"/>
      <c r="AR14" s="109"/>
      <c r="AS14" s="109"/>
      <c r="AT14" s="109"/>
      <c r="AU14" s="109"/>
      <c r="AV14" s="109"/>
      <c r="AW14" s="109"/>
      <c r="AX14" s="109"/>
      <c r="AY14" s="109"/>
      <c r="AZ14" s="109"/>
      <c r="BA14" s="60"/>
      <c r="BB14" s="60"/>
      <c r="BC14" s="60"/>
      <c r="BD14" s="60"/>
      <c r="BE14" s="60"/>
      <c r="BF14" s="60"/>
      <c r="BG14" s="60"/>
      <c r="BH14" s="60"/>
      <c r="BI14" s="60"/>
    </row>
    <row r="15" spans="1:61" s="68" customFormat="1" ht="14.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c r="AM15" s="108"/>
      <c r="AN15" s="109"/>
      <c r="AO15" s="109"/>
      <c r="AP15" s="109"/>
      <c r="AQ15" s="109"/>
      <c r="AR15" s="109"/>
      <c r="AS15" s="109"/>
      <c r="AT15" s="109"/>
      <c r="AU15" s="109"/>
      <c r="AV15" s="109"/>
      <c r="AW15" s="109"/>
      <c r="AX15" s="109"/>
      <c r="AY15" s="109"/>
      <c r="AZ15" s="109"/>
      <c r="BA15" s="60"/>
      <c r="BB15" s="60"/>
      <c r="BC15" s="60"/>
      <c r="BD15" s="60"/>
      <c r="BE15" s="60"/>
      <c r="BF15" s="60"/>
      <c r="BG15" s="60"/>
      <c r="BH15" s="60"/>
      <c r="BI15" s="60"/>
    </row>
    <row r="16" spans="1:61" s="68" customFormat="1" ht="14.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108"/>
      <c r="AN16" s="109"/>
      <c r="AO16" s="109"/>
      <c r="AP16" s="109"/>
      <c r="AQ16" s="109"/>
      <c r="AR16" s="109"/>
      <c r="AS16" s="109"/>
      <c r="AT16" s="109"/>
      <c r="AU16" s="109"/>
      <c r="AV16" s="109"/>
      <c r="AW16" s="109"/>
      <c r="AX16" s="109"/>
      <c r="AY16" s="109"/>
      <c r="AZ16" s="109"/>
      <c r="BA16" s="60"/>
      <c r="BB16" s="60"/>
      <c r="BC16" s="60"/>
      <c r="BD16" s="60"/>
      <c r="BE16" s="60"/>
      <c r="BF16" s="60"/>
      <c r="BG16" s="60"/>
      <c r="BH16" s="60"/>
      <c r="BI16" s="60"/>
    </row>
    <row r="17" spans="1:61" s="68" customFormat="1" ht="28.95" customHeight="1" x14ac:dyDescent="0.25">
      <c r="A17" s="326"/>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c r="AM17" s="109"/>
      <c r="AN17" s="109"/>
      <c r="AO17" s="109"/>
      <c r="AP17" s="109"/>
      <c r="AQ17" s="109"/>
      <c r="AR17" s="109"/>
      <c r="AS17" s="109"/>
      <c r="AT17" s="109"/>
      <c r="AU17" s="109"/>
      <c r="AV17" s="109"/>
      <c r="AW17" s="109"/>
      <c r="AX17" s="109"/>
      <c r="AY17" s="109"/>
      <c r="AZ17" s="109"/>
      <c r="BA17" s="60"/>
      <c r="BB17" s="60"/>
      <c r="BC17" s="60"/>
      <c r="BD17" s="60"/>
      <c r="BE17" s="60"/>
      <c r="BF17" s="60"/>
      <c r="BG17" s="60"/>
      <c r="BH17" s="60"/>
      <c r="BI17" s="60"/>
    </row>
    <row r="18" spans="1:61" s="68" customFormat="1" ht="14.4"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c r="AN18" s="109"/>
      <c r="AO18" s="109"/>
      <c r="AP18" s="109"/>
      <c r="AQ18" s="109"/>
      <c r="AR18" s="109"/>
      <c r="AS18" s="109"/>
      <c r="AT18" s="109"/>
      <c r="AU18" s="109"/>
      <c r="AV18" s="109"/>
      <c r="AW18" s="109"/>
      <c r="AX18" s="109"/>
      <c r="AY18" s="109"/>
      <c r="AZ18" s="109"/>
      <c r="BA18" s="60"/>
      <c r="BB18" s="60"/>
      <c r="BC18" s="60"/>
      <c r="BD18" s="60"/>
      <c r="BE18" s="60"/>
      <c r="BF18" s="60"/>
      <c r="BG18" s="60"/>
      <c r="BH18" s="60"/>
      <c r="BI18" s="60"/>
    </row>
    <row r="19" spans="1:61" s="68" customFormat="1" ht="14.4" x14ac:dyDescent="0.25">
      <c r="A19" s="326"/>
      <c r="B19" s="598"/>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109"/>
      <c r="AN19" s="109"/>
      <c r="AO19" s="109"/>
      <c r="AP19" s="109"/>
      <c r="AQ19" s="109"/>
      <c r="AR19" s="109"/>
      <c r="AS19" s="109"/>
      <c r="AT19" s="109"/>
      <c r="AU19" s="109"/>
      <c r="AV19" s="109"/>
      <c r="AW19" s="109"/>
      <c r="AX19" s="109"/>
      <c r="AY19" s="109"/>
      <c r="AZ19" s="109"/>
      <c r="BA19" s="60"/>
      <c r="BB19" s="60"/>
      <c r="BC19" s="60"/>
      <c r="BD19" s="60"/>
      <c r="BE19" s="60"/>
      <c r="BF19" s="60"/>
      <c r="BG19" s="60"/>
      <c r="BH19" s="60"/>
      <c r="BI19" s="60"/>
    </row>
    <row r="20" spans="1:61" s="68" customFormat="1" ht="29.7"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c r="AN20" s="109"/>
      <c r="AO20" s="109"/>
      <c r="AP20" s="109"/>
      <c r="AQ20" s="109"/>
      <c r="AR20" s="109"/>
      <c r="AS20" s="109"/>
      <c r="AT20" s="109"/>
      <c r="AU20" s="109"/>
      <c r="AV20" s="109"/>
      <c r="AW20" s="109"/>
      <c r="AX20" s="109"/>
      <c r="AY20" s="109"/>
      <c r="AZ20" s="109"/>
      <c r="BA20" s="60"/>
      <c r="BB20" s="60"/>
      <c r="BC20" s="60"/>
      <c r="BD20" s="60"/>
      <c r="BE20" s="60"/>
      <c r="BF20" s="60"/>
      <c r="BG20" s="60"/>
      <c r="BH20" s="60"/>
      <c r="BI20" s="60"/>
    </row>
    <row r="21" spans="1:61" s="68" customFormat="1" ht="14.4"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77"/>
      <c r="AN21" s="109"/>
      <c r="AO21" s="109"/>
      <c r="AP21" s="109"/>
      <c r="AQ21" s="109"/>
      <c r="AR21" s="109"/>
      <c r="AS21" s="109"/>
      <c r="AT21" s="109"/>
      <c r="AU21" s="109"/>
      <c r="AV21" s="109"/>
      <c r="AW21" s="109"/>
      <c r="AX21" s="109"/>
      <c r="AY21" s="109"/>
      <c r="AZ21" s="109"/>
      <c r="BA21" s="60"/>
      <c r="BB21" s="60"/>
      <c r="BC21" s="60"/>
      <c r="BD21" s="60"/>
      <c r="BE21" s="60"/>
      <c r="BF21" s="60"/>
      <c r="BG21" s="60"/>
      <c r="BH21" s="60"/>
      <c r="BI21" s="60"/>
    </row>
    <row r="22" spans="1:61" s="68" customFormat="1" ht="46.2"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c r="AN22" s="109"/>
      <c r="AO22" s="109"/>
      <c r="AP22" s="109"/>
      <c r="AQ22" s="109"/>
      <c r="AR22" s="109"/>
      <c r="AS22" s="109"/>
      <c r="AT22" s="109"/>
      <c r="AU22" s="109"/>
      <c r="AV22" s="109"/>
      <c r="AW22" s="109"/>
      <c r="AX22" s="109"/>
      <c r="AY22" s="109"/>
      <c r="AZ22" s="109"/>
      <c r="BA22" s="60"/>
      <c r="BB22" s="60"/>
      <c r="BC22" s="60"/>
      <c r="BD22" s="60"/>
      <c r="BE22" s="60"/>
      <c r="BF22" s="60"/>
      <c r="BG22" s="60"/>
      <c r="BH22" s="60"/>
      <c r="BI22" s="60"/>
    </row>
    <row r="23" spans="1:61" s="68" customFormat="1" ht="14.4"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c r="AM23" s="77"/>
      <c r="AN23" s="109"/>
      <c r="AO23" s="109"/>
      <c r="AP23" s="109"/>
      <c r="AQ23" s="109"/>
      <c r="AR23" s="109"/>
      <c r="AS23" s="109"/>
      <c r="AT23" s="109"/>
      <c r="AU23" s="109"/>
      <c r="AV23" s="109"/>
      <c r="AW23" s="109"/>
      <c r="AX23" s="109"/>
      <c r="AY23" s="109"/>
      <c r="AZ23" s="109"/>
      <c r="BA23" s="60"/>
      <c r="BB23" s="60"/>
      <c r="BC23" s="60"/>
      <c r="BD23" s="60"/>
      <c r="BE23" s="60"/>
      <c r="BF23" s="60"/>
      <c r="BG23" s="60"/>
      <c r="BH23" s="60"/>
      <c r="BI23" s="60"/>
    </row>
    <row r="24" spans="1:61" s="68" customFormat="1" ht="14.4"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c r="AN24" s="109"/>
      <c r="AO24" s="109"/>
      <c r="AP24" s="109"/>
      <c r="AQ24" s="109"/>
      <c r="AR24" s="109"/>
      <c r="AS24" s="109"/>
      <c r="AT24" s="109"/>
      <c r="AU24" s="109"/>
      <c r="AV24" s="109"/>
      <c r="AW24" s="109"/>
      <c r="AX24" s="109"/>
      <c r="AY24" s="109"/>
      <c r="AZ24" s="109"/>
      <c r="BA24" s="60"/>
      <c r="BB24" s="60"/>
      <c r="BC24" s="60"/>
      <c r="BD24" s="60"/>
      <c r="BE24" s="60"/>
      <c r="BF24" s="60"/>
      <c r="BG24" s="60"/>
      <c r="BH24" s="60"/>
      <c r="BI24" s="60"/>
    </row>
    <row r="25" spans="1:61" s="68" customFormat="1" ht="14.4" x14ac:dyDescent="0.3">
      <c r="A25" s="326"/>
      <c r="B25" s="350"/>
      <c r="C25" s="350"/>
      <c r="D25" s="350"/>
      <c r="E25" s="350"/>
      <c r="F25" s="350"/>
      <c r="G25" s="350"/>
      <c r="H25" s="350"/>
      <c r="I25" s="350"/>
      <c r="J25" s="350"/>
      <c r="K25" s="350"/>
      <c r="L25" s="350"/>
      <c r="M25" s="350"/>
      <c r="N25" s="350"/>
      <c r="O25" s="350"/>
      <c r="P25" s="350"/>
      <c r="Q25" s="350"/>
      <c r="R25" s="350"/>
      <c r="S25" s="350"/>
      <c r="T25" s="350"/>
      <c r="U25" s="350"/>
      <c r="V25" s="350"/>
      <c r="W25" s="327"/>
      <c r="X25" s="327"/>
      <c r="Y25" s="327"/>
      <c r="Z25" s="327"/>
      <c r="AA25" s="327"/>
      <c r="AB25" s="327"/>
      <c r="AC25" s="327"/>
      <c r="AD25" s="327"/>
      <c r="AE25" s="327"/>
      <c r="AF25" s="327"/>
      <c r="AG25" s="327"/>
      <c r="AH25" s="327"/>
      <c r="AI25" s="327"/>
      <c r="AJ25" s="327"/>
      <c r="AK25" s="327"/>
      <c r="AL25" s="327"/>
      <c r="AM25" s="77"/>
      <c r="AN25" s="109"/>
      <c r="AO25" s="109"/>
      <c r="AP25" s="109"/>
      <c r="AQ25" s="109"/>
      <c r="AR25" s="109"/>
      <c r="AS25" s="109"/>
      <c r="AT25" s="109"/>
      <c r="AU25" s="109"/>
      <c r="AV25" s="109"/>
      <c r="AW25" s="109"/>
      <c r="AX25" s="109"/>
      <c r="AY25" s="109"/>
      <c r="AZ25" s="109"/>
      <c r="BA25" s="60"/>
      <c r="BB25" s="60"/>
      <c r="BC25" s="60"/>
      <c r="BD25" s="60"/>
      <c r="BE25" s="60"/>
      <c r="BF25" s="60"/>
      <c r="BG25" s="60"/>
      <c r="BH25" s="60"/>
      <c r="BI25" s="60"/>
    </row>
    <row r="26" spans="1:61" s="68" customFormat="1" ht="14.4" x14ac:dyDescent="0.3">
      <c r="A26" s="326"/>
      <c r="B26" s="338" t="s">
        <v>668</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100" t="s">
        <v>970</v>
      </c>
      <c r="AN26" s="109"/>
      <c r="AO26" s="109"/>
      <c r="AP26" s="109"/>
      <c r="AQ26" s="109"/>
      <c r="AR26" s="109"/>
      <c r="AS26" s="109"/>
      <c r="AT26" s="109"/>
      <c r="AU26" s="109"/>
      <c r="AV26" s="109"/>
      <c r="AW26" s="109"/>
      <c r="AX26" s="109"/>
      <c r="AY26" s="109"/>
      <c r="AZ26" s="109"/>
      <c r="BA26" s="60"/>
      <c r="BB26" s="60"/>
      <c r="BC26" s="60"/>
      <c r="BD26" s="60"/>
      <c r="BE26" s="60"/>
      <c r="BF26" s="60"/>
      <c r="BG26" s="60"/>
      <c r="BH26" s="60"/>
      <c r="BI26" s="60"/>
    </row>
    <row r="27" spans="1:61" s="68" customFormat="1" ht="14.4" x14ac:dyDescent="0.3">
      <c r="A27" s="326"/>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c r="AA27" s="327"/>
      <c r="AB27" s="327"/>
      <c r="AC27" s="327"/>
      <c r="AD27" s="327"/>
      <c r="AE27" s="327"/>
      <c r="AF27" s="327"/>
      <c r="AG27" s="327"/>
      <c r="AH27" s="327"/>
      <c r="AI27" s="327"/>
      <c r="AJ27" s="327"/>
      <c r="AK27" s="327"/>
      <c r="AL27" s="327"/>
      <c r="AM27" s="77"/>
      <c r="AN27" s="109"/>
      <c r="AO27" s="109"/>
      <c r="AP27" s="109"/>
      <c r="AQ27" s="109"/>
      <c r="AR27" s="109"/>
      <c r="AS27" s="109"/>
      <c r="AT27" s="109"/>
      <c r="AU27" s="109"/>
      <c r="AV27" s="109"/>
      <c r="AW27" s="109"/>
      <c r="AX27" s="109"/>
      <c r="AY27" s="109"/>
      <c r="AZ27" s="109"/>
      <c r="BA27" s="60"/>
      <c r="BB27" s="60"/>
      <c r="BC27" s="60"/>
      <c r="BD27" s="60"/>
      <c r="BE27" s="60"/>
      <c r="BF27" s="60"/>
      <c r="BG27" s="60"/>
      <c r="BH27" s="60"/>
      <c r="BI27" s="60"/>
    </row>
    <row r="28" spans="1:61" s="68" customFormat="1" ht="14.4" x14ac:dyDescent="0.25">
      <c r="A28" s="337" t="s">
        <v>9</v>
      </c>
      <c r="B28" s="344" t="s">
        <v>66</v>
      </c>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77"/>
      <c r="AN28" s="109"/>
      <c r="AO28" s="109"/>
      <c r="AP28" s="109"/>
      <c r="AQ28" s="109"/>
      <c r="AR28" s="109"/>
      <c r="AS28" s="109"/>
      <c r="AT28" s="109"/>
      <c r="AU28" s="109"/>
      <c r="AV28" s="109"/>
      <c r="AW28" s="109"/>
      <c r="AX28" s="109"/>
      <c r="AY28" s="109"/>
      <c r="AZ28" s="109"/>
      <c r="BA28" s="60"/>
      <c r="BB28" s="60"/>
      <c r="BC28" s="60"/>
      <c r="BD28" s="60"/>
      <c r="BE28" s="60"/>
      <c r="BF28" s="60"/>
      <c r="BG28" s="60"/>
      <c r="BH28" s="60"/>
      <c r="BI28" s="60"/>
    </row>
    <row r="29" spans="1:61" s="68" customFormat="1" ht="14.4" x14ac:dyDescent="0.25">
      <c r="A29" s="326"/>
      <c r="B29" s="344" t="s">
        <v>170</v>
      </c>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77"/>
      <c r="AN29" s="109"/>
      <c r="AO29" s="109"/>
      <c r="AP29" s="109"/>
      <c r="AQ29" s="109"/>
      <c r="AR29" s="109"/>
      <c r="AS29" s="109"/>
      <c r="AT29" s="109"/>
      <c r="AU29" s="109"/>
      <c r="AV29" s="109"/>
      <c r="AW29" s="109"/>
      <c r="AX29" s="109"/>
      <c r="AY29" s="109"/>
      <c r="AZ29" s="109"/>
      <c r="BA29" s="60"/>
      <c r="BB29" s="60"/>
      <c r="BC29" s="60"/>
      <c r="BD29" s="60"/>
      <c r="BE29" s="60"/>
      <c r="BF29" s="60"/>
      <c r="BG29" s="60"/>
      <c r="BH29" s="60"/>
      <c r="BI29" s="60"/>
    </row>
    <row r="30" spans="1:61" s="68" customFormat="1" ht="14.4" x14ac:dyDescent="0.25">
      <c r="A30" s="326"/>
      <c r="B30" s="339"/>
      <c r="C30" s="340"/>
      <c r="D30" s="340"/>
      <c r="E30" s="340"/>
      <c r="F30" s="340"/>
      <c r="G30" s="340"/>
      <c r="H30" s="340"/>
      <c r="I30" s="340"/>
      <c r="J30" s="340"/>
      <c r="K30" s="340"/>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77"/>
      <c r="AN30" s="109"/>
      <c r="AO30" s="109"/>
      <c r="AP30" s="109"/>
      <c r="AQ30" s="109"/>
      <c r="AR30" s="109"/>
      <c r="AS30" s="109"/>
      <c r="AT30" s="109"/>
      <c r="AU30" s="109"/>
      <c r="AV30" s="109"/>
      <c r="AW30" s="109"/>
      <c r="AX30" s="109"/>
      <c r="AY30" s="109"/>
      <c r="AZ30" s="109"/>
      <c r="BA30" s="60"/>
      <c r="BB30" s="60"/>
      <c r="BC30" s="60"/>
      <c r="BD30" s="60"/>
      <c r="BE30" s="60"/>
      <c r="BF30" s="60"/>
      <c r="BG30" s="60"/>
      <c r="BH30" s="60"/>
      <c r="BI30" s="60"/>
    </row>
    <row r="31" spans="1:61" s="68" customFormat="1" ht="14.4" x14ac:dyDescent="0.25">
      <c r="A31" s="326"/>
      <c r="B31" s="345" t="s">
        <v>699</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4"/>
      <c r="AH31" s="344"/>
      <c r="AI31" s="344"/>
      <c r="AJ31" s="344"/>
      <c r="AK31" s="344"/>
      <c r="AL31" s="344"/>
      <c r="AM31" s="77"/>
      <c r="AN31" s="109"/>
      <c r="AO31" s="109"/>
      <c r="AP31" s="109"/>
      <c r="AQ31" s="109"/>
      <c r="AR31" s="109"/>
      <c r="AS31" s="109"/>
      <c r="AT31" s="109"/>
      <c r="AU31" s="109"/>
      <c r="AV31" s="109"/>
      <c r="AW31" s="109"/>
      <c r="AX31" s="109"/>
      <c r="AY31" s="109"/>
      <c r="AZ31" s="109"/>
      <c r="BA31" s="60"/>
      <c r="BB31" s="60"/>
      <c r="BC31" s="60"/>
      <c r="BD31" s="60"/>
      <c r="BE31" s="60"/>
      <c r="BF31" s="60"/>
      <c r="BG31" s="60"/>
      <c r="BH31" s="60"/>
      <c r="BI31" s="60"/>
    </row>
    <row r="32" spans="1:61" s="68" customFormat="1" ht="14.4" x14ac:dyDescent="0.25">
      <c r="A32" s="326"/>
      <c r="B32" s="339"/>
      <c r="C32" s="340"/>
      <c r="D32" s="340"/>
      <c r="E32" s="340"/>
      <c r="F32" s="340"/>
      <c r="G32" s="340"/>
      <c r="H32" s="340"/>
      <c r="I32" s="340"/>
      <c r="J32" s="340"/>
      <c r="K32" s="340"/>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77"/>
      <c r="AN32" s="109"/>
      <c r="AO32" s="109"/>
      <c r="AP32" s="109"/>
      <c r="AQ32" s="109"/>
      <c r="AR32" s="109"/>
      <c r="AS32" s="109"/>
      <c r="AT32" s="109"/>
      <c r="AU32" s="109"/>
      <c r="AV32" s="109"/>
      <c r="AW32" s="109"/>
      <c r="AX32" s="109"/>
      <c r="AY32" s="109"/>
      <c r="AZ32" s="109"/>
      <c r="BA32" s="60"/>
      <c r="BB32" s="60"/>
      <c r="BC32" s="60"/>
      <c r="BD32" s="60"/>
      <c r="BE32" s="60"/>
      <c r="BF32" s="60"/>
      <c r="BG32" s="60"/>
      <c r="BH32" s="60"/>
      <c r="BI32" s="60"/>
    </row>
    <row r="33" spans="1:61" s="68" customFormat="1" ht="14.4" x14ac:dyDescent="0.25">
      <c r="A33" s="326"/>
      <c r="B33" s="344" t="s">
        <v>171</v>
      </c>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344"/>
      <c r="AF33" s="344"/>
      <c r="AG33" s="344"/>
      <c r="AH33" s="344"/>
      <c r="AI33" s="344"/>
      <c r="AJ33" s="344"/>
      <c r="AK33" s="344"/>
      <c r="AL33" s="344"/>
      <c r="AM33" s="77"/>
      <c r="AN33" s="109"/>
      <c r="AO33" s="109"/>
      <c r="AP33" s="109"/>
      <c r="AQ33" s="109"/>
      <c r="AR33" s="109"/>
      <c r="AS33" s="109"/>
      <c r="AT33" s="109"/>
      <c r="AU33" s="109"/>
      <c r="AV33" s="109"/>
      <c r="AW33" s="109"/>
      <c r="AX33" s="109"/>
      <c r="AY33" s="109"/>
      <c r="AZ33" s="109"/>
      <c r="BA33" s="60"/>
      <c r="BB33" s="60"/>
      <c r="BC33" s="60"/>
      <c r="BD33" s="60"/>
      <c r="BE33" s="60"/>
      <c r="BF33" s="60"/>
      <c r="BG33" s="60"/>
      <c r="BH33" s="60"/>
      <c r="BI33" s="60"/>
    </row>
    <row r="34" spans="1:61" s="68" customFormat="1" ht="14.4" x14ac:dyDescent="0.25">
      <c r="A34" s="326"/>
      <c r="B34" s="339"/>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101" t="s">
        <v>174</v>
      </c>
      <c r="AN34" s="109"/>
      <c r="AO34" s="109"/>
      <c r="AP34" s="109"/>
      <c r="AQ34" s="109"/>
      <c r="AR34" s="109"/>
      <c r="AS34" s="109"/>
      <c r="AT34" s="109"/>
      <c r="AU34" s="109"/>
      <c r="AV34" s="109"/>
      <c r="AW34" s="109"/>
      <c r="AX34" s="109"/>
      <c r="AY34" s="109"/>
      <c r="AZ34" s="109"/>
      <c r="BA34" s="60"/>
      <c r="BB34" s="60"/>
      <c r="BC34" s="60"/>
      <c r="BD34" s="60"/>
      <c r="BE34" s="60"/>
      <c r="BF34" s="60"/>
      <c r="BG34" s="60"/>
      <c r="BH34" s="60"/>
      <c r="BI34" s="60"/>
    </row>
    <row r="35" spans="1:61" s="68" customFormat="1" ht="14.4" x14ac:dyDescent="0.25">
      <c r="A35" s="326"/>
      <c r="B35" s="346" t="s">
        <v>766</v>
      </c>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344"/>
      <c r="AF35" s="344"/>
      <c r="AG35" s="344"/>
      <c r="AH35" s="344"/>
      <c r="AI35" s="344"/>
      <c r="AJ35" s="344"/>
      <c r="AK35" s="344"/>
      <c r="AL35" s="344"/>
      <c r="AM35" s="101"/>
      <c r="AN35" s="109"/>
      <c r="AO35" s="109"/>
      <c r="AP35" s="109"/>
      <c r="AQ35" s="109"/>
      <c r="AR35" s="109"/>
      <c r="AS35" s="109"/>
      <c r="AT35" s="109"/>
      <c r="AU35" s="109"/>
      <c r="AV35" s="109"/>
      <c r="AW35" s="109"/>
      <c r="AX35" s="109"/>
      <c r="AY35" s="109"/>
      <c r="AZ35" s="109"/>
      <c r="BA35" s="60"/>
      <c r="BB35" s="60"/>
      <c r="BC35" s="60"/>
      <c r="BD35" s="60"/>
      <c r="BE35" s="60"/>
      <c r="BF35" s="60"/>
      <c r="BG35" s="60"/>
      <c r="BH35" s="60"/>
      <c r="BI35" s="60"/>
    </row>
    <row r="36" spans="1:61" s="68" customFormat="1" ht="14.4" x14ac:dyDescent="0.25">
      <c r="A36" s="326"/>
      <c r="B36" s="339"/>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101" t="s">
        <v>174</v>
      </c>
      <c r="AN36" s="109"/>
      <c r="AO36" s="109"/>
      <c r="AP36" s="109"/>
      <c r="AQ36" s="109"/>
      <c r="AR36" s="109"/>
      <c r="AS36" s="109"/>
      <c r="AT36" s="109"/>
      <c r="AU36" s="109"/>
      <c r="AV36" s="109"/>
      <c r="AW36" s="109"/>
      <c r="AX36" s="109"/>
      <c r="AY36" s="109"/>
      <c r="AZ36" s="109"/>
      <c r="BA36" s="60"/>
      <c r="BB36" s="60"/>
      <c r="BC36" s="60"/>
      <c r="BD36" s="60"/>
      <c r="BE36" s="60"/>
      <c r="BF36" s="60"/>
      <c r="BG36" s="60"/>
      <c r="BH36" s="60"/>
      <c r="BI36" s="60"/>
    </row>
    <row r="37" spans="1:61" s="68" customFormat="1" ht="28.5" customHeight="1" x14ac:dyDescent="0.25">
      <c r="A37" s="337" t="s">
        <v>640</v>
      </c>
      <c r="B37" s="342" t="s">
        <v>754</v>
      </c>
      <c r="C37" s="342"/>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42"/>
      <c r="AG37" s="342"/>
      <c r="AH37" s="342"/>
      <c r="AI37" s="342"/>
      <c r="AJ37" s="342"/>
      <c r="AK37" s="342"/>
      <c r="AL37" s="342"/>
      <c r="AM37" s="101"/>
      <c r="AN37" s="109"/>
      <c r="AO37" s="109"/>
      <c r="AP37" s="109"/>
      <c r="AQ37" s="109"/>
      <c r="AR37" s="109"/>
      <c r="AS37" s="109"/>
      <c r="AT37" s="109"/>
      <c r="AU37" s="109"/>
      <c r="AV37" s="109"/>
      <c r="AW37" s="109"/>
      <c r="AX37" s="109"/>
      <c r="AY37" s="109"/>
      <c r="AZ37" s="109"/>
      <c r="BA37" s="60"/>
      <c r="BB37" s="60"/>
      <c r="BC37" s="60"/>
      <c r="BD37" s="60"/>
      <c r="BE37" s="60"/>
      <c r="BF37" s="60"/>
      <c r="BG37" s="60"/>
      <c r="BH37" s="60"/>
      <c r="BI37" s="60"/>
    </row>
    <row r="38" spans="1:61" s="68" customFormat="1" ht="14.4" x14ac:dyDescent="0.3">
      <c r="A38" s="326"/>
      <c r="B38" s="352"/>
      <c r="C38" s="352"/>
      <c r="D38" s="352"/>
      <c r="E38" s="352"/>
      <c r="F38" s="352"/>
      <c r="G38" s="352"/>
      <c r="H38" s="352"/>
      <c r="I38" s="352"/>
      <c r="J38" s="352"/>
      <c r="K38" s="352"/>
      <c r="L38" s="352"/>
      <c r="M38" s="352"/>
      <c r="N38" s="352"/>
      <c r="O38" s="352"/>
      <c r="P38" s="352"/>
      <c r="Q38" s="352"/>
      <c r="R38" s="352"/>
      <c r="S38" s="352"/>
      <c r="T38" s="348" t="str" cm="1">
        <f t="array" ref="T38">LEFT(B38,2)&amp;" "&amp;_xlfn.TEXTJOIN(" ",,MID(B38,{3,7,11,15,19,23},4))</f>
        <v xml:space="preserve"> </v>
      </c>
      <c r="U38" s="348"/>
      <c r="V38" s="348"/>
      <c r="W38" s="348"/>
      <c r="X38" s="348"/>
      <c r="Y38" s="348"/>
      <c r="Z38" s="348"/>
      <c r="AA38" s="348"/>
      <c r="AB38" s="348"/>
      <c r="AC38" s="348"/>
      <c r="AD38" s="348"/>
      <c r="AE38" s="348"/>
      <c r="AF38" s="348"/>
      <c r="AG38" s="348"/>
      <c r="AH38" s="348"/>
      <c r="AI38" s="348"/>
      <c r="AJ38" s="348"/>
      <c r="AK38" s="348"/>
      <c r="AL38" s="348"/>
      <c r="AM38" s="101"/>
      <c r="AN38" s="109"/>
      <c r="AO38" s="109"/>
      <c r="AP38" s="109"/>
      <c r="AQ38" s="109"/>
      <c r="AR38" s="109"/>
      <c r="AS38" s="109"/>
      <c r="AT38" s="109"/>
      <c r="AU38" s="109"/>
      <c r="AV38" s="109"/>
      <c r="AW38" s="109"/>
      <c r="AX38" s="109"/>
      <c r="AY38" s="109"/>
      <c r="AZ38" s="109"/>
      <c r="BA38" s="60"/>
      <c r="BB38" s="60"/>
      <c r="BC38" s="60"/>
      <c r="BD38" s="60"/>
      <c r="BE38" s="60"/>
      <c r="BF38" s="60"/>
      <c r="BG38" s="60"/>
      <c r="BH38" s="60"/>
      <c r="BI38" s="60"/>
    </row>
    <row r="39" spans="1:61" s="68" customFormat="1" ht="14.4" x14ac:dyDescent="0.25">
      <c r="A39" s="149" t="s">
        <v>67</v>
      </c>
      <c r="B39" s="351" t="s">
        <v>68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c r="AM39" s="108"/>
      <c r="AN39" s="109"/>
      <c r="AO39" s="109"/>
      <c r="AP39" s="109"/>
      <c r="AQ39" s="109"/>
      <c r="AR39" s="109"/>
      <c r="AS39" s="109"/>
      <c r="AT39" s="109"/>
      <c r="AU39" s="109"/>
      <c r="AV39" s="109"/>
      <c r="AW39" s="109"/>
      <c r="AX39" s="109"/>
      <c r="AY39" s="109"/>
      <c r="AZ39" s="109"/>
      <c r="BA39" s="60"/>
      <c r="BB39" s="60"/>
      <c r="BC39" s="60"/>
      <c r="BD39" s="60"/>
      <c r="BE39" s="60"/>
      <c r="BF39" s="60"/>
      <c r="BG39" s="60"/>
      <c r="BH39" s="60"/>
      <c r="BI39" s="60"/>
    </row>
    <row r="40" spans="1:61" s="68" customFormat="1" ht="14.4" x14ac:dyDescent="0.25">
      <c r="A40" s="326" t="s">
        <v>1</v>
      </c>
      <c r="B40" s="344" t="s">
        <v>85</v>
      </c>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344"/>
      <c r="AF40" s="344"/>
      <c r="AG40" s="344"/>
      <c r="AH40" s="344"/>
      <c r="AI40" s="344"/>
      <c r="AJ40" s="344"/>
      <c r="AK40" s="344"/>
      <c r="AL40" s="344"/>
      <c r="AM40" s="108"/>
      <c r="AN40" s="109"/>
      <c r="AO40" s="109"/>
      <c r="AP40" s="109"/>
      <c r="AQ40" s="109"/>
      <c r="AR40" s="109"/>
      <c r="AS40" s="109"/>
      <c r="AT40" s="109"/>
      <c r="AU40" s="109"/>
      <c r="AV40" s="109"/>
      <c r="AW40" s="109"/>
      <c r="AX40" s="109"/>
      <c r="AY40" s="109"/>
      <c r="AZ40" s="109"/>
      <c r="BA40" s="60"/>
      <c r="BB40" s="60"/>
      <c r="BC40" s="60"/>
      <c r="BD40" s="60"/>
      <c r="BE40" s="60"/>
      <c r="BF40" s="60"/>
      <c r="BG40" s="60"/>
      <c r="BH40" s="60"/>
      <c r="BI40" s="60"/>
    </row>
    <row r="41" spans="1:61" s="68" customFormat="1" ht="14.4" x14ac:dyDescent="0.3">
      <c r="A41" s="326"/>
      <c r="B41" s="655" t="e">
        <f>T170</f>
        <v>#DIV/0!</v>
      </c>
      <c r="C41" s="655"/>
      <c r="D41" s="655"/>
      <c r="E41" s="655"/>
      <c r="F41" s="655"/>
      <c r="G41" s="655"/>
      <c r="H41" s="655"/>
      <c r="I41" s="655"/>
      <c r="J41" s="655"/>
      <c r="K41" s="655"/>
      <c r="L41" s="655"/>
      <c r="M41" s="655"/>
      <c r="N41" s="655"/>
      <c r="O41" s="655"/>
      <c r="P41" s="655"/>
      <c r="Q41" s="655"/>
      <c r="R41" s="655"/>
      <c r="S41" s="655"/>
      <c r="T41" s="655"/>
      <c r="U41" s="655"/>
      <c r="V41" s="655"/>
      <c r="W41" s="655"/>
      <c r="X41" s="655"/>
      <c r="Y41" s="655"/>
      <c r="Z41" s="655"/>
      <c r="AA41" s="655"/>
      <c r="AB41" s="655"/>
      <c r="AC41" s="655"/>
      <c r="AD41" s="655"/>
      <c r="AE41" s="655"/>
      <c r="AF41" s="655"/>
      <c r="AG41" s="655"/>
      <c r="AH41" s="655"/>
      <c r="AI41" s="655"/>
      <c r="AJ41" s="655"/>
      <c r="AK41" s="655"/>
      <c r="AL41" s="655"/>
      <c r="AM41" s="110" t="s">
        <v>213</v>
      </c>
      <c r="AN41" s="109"/>
      <c r="AO41" s="109"/>
      <c r="AP41" s="109"/>
      <c r="AQ41" s="109"/>
      <c r="AR41" s="109"/>
      <c r="AS41" s="109"/>
      <c r="AT41" s="109"/>
      <c r="AU41" s="109"/>
      <c r="AV41" s="109"/>
      <c r="AW41" s="109"/>
      <c r="AX41" s="109"/>
      <c r="AY41" s="109"/>
      <c r="AZ41" s="109"/>
      <c r="BA41" s="60"/>
      <c r="BB41" s="60"/>
      <c r="BC41" s="60"/>
      <c r="BD41" s="60"/>
      <c r="BE41" s="60"/>
      <c r="BF41" s="60"/>
      <c r="BG41" s="60"/>
      <c r="BH41" s="60"/>
      <c r="BI41" s="60"/>
    </row>
    <row r="42" spans="1:61" s="68" customFormat="1" ht="30" customHeight="1" x14ac:dyDescent="0.25">
      <c r="A42" s="706" t="s">
        <v>6</v>
      </c>
      <c r="B42" s="445" t="s">
        <v>1023</v>
      </c>
      <c r="C42" s="445"/>
      <c r="D42" s="445"/>
      <c r="E42" s="445"/>
      <c r="F42" s="445"/>
      <c r="G42" s="445"/>
      <c r="H42" s="445"/>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c r="AM42" s="108"/>
      <c r="AN42" s="109"/>
      <c r="AO42" s="109"/>
      <c r="AP42" s="109"/>
      <c r="AQ42" s="109"/>
      <c r="AR42" s="109"/>
      <c r="AS42" s="109"/>
      <c r="AT42" s="109"/>
      <c r="AU42" s="109"/>
      <c r="AV42" s="109"/>
      <c r="AW42" s="109"/>
      <c r="AX42" s="109"/>
      <c r="AY42" s="109"/>
      <c r="AZ42" s="109"/>
      <c r="BA42" s="60"/>
      <c r="BB42" s="60"/>
      <c r="BC42" s="60"/>
      <c r="BD42" s="60"/>
      <c r="BE42" s="60"/>
      <c r="BF42" s="60"/>
      <c r="BG42" s="60"/>
      <c r="BH42" s="60"/>
      <c r="BI42" s="60"/>
    </row>
    <row r="43" spans="1:61" s="68" customFormat="1" ht="14.4" x14ac:dyDescent="0.25">
      <c r="A43" s="326"/>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77" t="s">
        <v>165</v>
      </c>
      <c r="AN43" s="109"/>
      <c r="AO43" s="109"/>
      <c r="AP43" s="109"/>
      <c r="AQ43" s="109"/>
      <c r="AR43" s="109"/>
      <c r="AS43" s="109"/>
      <c r="AT43" s="109"/>
      <c r="AU43" s="109"/>
      <c r="AV43" s="109"/>
      <c r="AW43" s="109"/>
      <c r="AX43" s="109"/>
      <c r="AY43" s="109"/>
      <c r="AZ43" s="109"/>
      <c r="BA43" s="60"/>
      <c r="BB43" s="60"/>
      <c r="BC43" s="60"/>
      <c r="BD43" s="60"/>
      <c r="BE43" s="60"/>
      <c r="BF43" s="60"/>
      <c r="BG43" s="60"/>
      <c r="BH43" s="60"/>
      <c r="BI43" s="60"/>
    </row>
    <row r="44" spans="1:61" s="68" customFormat="1" ht="14.4" x14ac:dyDescent="0.25">
      <c r="A44" s="706" t="s">
        <v>7</v>
      </c>
      <c r="B44" s="444" t="s">
        <v>885</v>
      </c>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76"/>
      <c r="AN44" s="109"/>
      <c r="AO44" s="109"/>
      <c r="AP44" s="109"/>
      <c r="AQ44" s="109"/>
      <c r="AR44" s="109"/>
      <c r="AS44" s="109"/>
      <c r="AT44" s="109"/>
      <c r="AU44" s="109"/>
      <c r="AV44" s="109"/>
      <c r="AW44" s="109"/>
      <c r="AX44" s="109"/>
      <c r="AY44" s="109"/>
      <c r="AZ44" s="109"/>
      <c r="BA44" s="60"/>
      <c r="BB44" s="60"/>
      <c r="BC44" s="60"/>
      <c r="BD44" s="60"/>
      <c r="BE44" s="60"/>
      <c r="BF44" s="60"/>
      <c r="BG44" s="60"/>
      <c r="BH44" s="60"/>
      <c r="BI44" s="60"/>
    </row>
    <row r="45" spans="1:61" s="68" customFormat="1" ht="14.4" x14ac:dyDescent="0.25">
      <c r="A45" s="326"/>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77" t="s">
        <v>632</v>
      </c>
      <c r="AN45" s="109"/>
      <c r="AO45" s="109"/>
      <c r="AP45" s="109"/>
      <c r="AQ45" s="109"/>
      <c r="AR45" s="109"/>
      <c r="AS45" s="109"/>
      <c r="AT45" s="109"/>
      <c r="AU45" s="109"/>
      <c r="AV45" s="109"/>
      <c r="AW45" s="109"/>
      <c r="AX45" s="109"/>
      <c r="AY45" s="109"/>
      <c r="AZ45" s="109"/>
      <c r="BA45" s="60"/>
      <c r="BB45" s="60"/>
      <c r="BC45" s="60"/>
      <c r="BD45" s="60"/>
      <c r="BE45" s="60"/>
      <c r="BF45" s="60"/>
      <c r="BG45" s="60"/>
      <c r="BH45" s="60"/>
      <c r="BI45" s="60"/>
    </row>
    <row r="46" spans="1:61" s="68" customFormat="1" ht="14.4" x14ac:dyDescent="0.25">
      <c r="A46" s="345" t="s">
        <v>9</v>
      </c>
      <c r="B46" s="419" t="s">
        <v>223</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c r="AM46" s="108"/>
      <c r="AN46" s="109"/>
      <c r="AO46" s="109"/>
      <c r="AP46" s="109"/>
      <c r="AQ46" s="109"/>
      <c r="AR46" s="109"/>
      <c r="AS46" s="109"/>
      <c r="AT46" s="109"/>
      <c r="AU46" s="109"/>
      <c r="AV46" s="109"/>
      <c r="AW46" s="109"/>
      <c r="AX46" s="109"/>
      <c r="AY46" s="109"/>
      <c r="AZ46" s="109"/>
      <c r="BA46" s="60"/>
      <c r="BB46" s="60"/>
      <c r="BC46" s="60"/>
      <c r="BD46" s="60"/>
      <c r="BE46" s="60"/>
      <c r="BF46" s="60"/>
      <c r="BG46" s="60"/>
      <c r="BH46" s="60"/>
      <c r="BI46" s="60"/>
    </row>
    <row r="47" spans="1:61" s="68" customFormat="1" ht="14.7" customHeight="1" x14ac:dyDescent="0.25">
      <c r="A47" s="344"/>
      <c r="B47" s="420" t="s">
        <v>700</v>
      </c>
      <c r="C47" s="420"/>
      <c r="D47" s="420"/>
      <c r="E47" s="420"/>
      <c r="F47" s="420"/>
      <c r="G47" s="420"/>
      <c r="H47" s="420"/>
      <c r="I47" s="420"/>
      <c r="J47" s="420"/>
      <c r="K47" s="420"/>
      <c r="L47" s="420"/>
      <c r="M47" s="420"/>
      <c r="N47" s="420"/>
      <c r="O47" s="420"/>
      <c r="P47" s="420"/>
      <c r="Q47" s="420"/>
      <c r="R47" s="420"/>
      <c r="S47" s="420"/>
      <c r="T47" s="420"/>
      <c r="U47" s="420"/>
      <c r="V47" s="420"/>
      <c r="W47" s="420"/>
      <c r="X47" s="420"/>
      <c r="Y47" s="421"/>
      <c r="Z47" s="426" t="s">
        <v>702</v>
      </c>
      <c r="AA47" s="427"/>
      <c r="AB47" s="427"/>
      <c r="AC47" s="427"/>
      <c r="AD47" s="427"/>
      <c r="AE47" s="427"/>
      <c r="AF47" s="427"/>
      <c r="AG47" s="427"/>
      <c r="AH47" s="427"/>
      <c r="AI47" s="427"/>
      <c r="AJ47" s="427"/>
      <c r="AK47" s="426" t="s">
        <v>701</v>
      </c>
      <c r="AL47" s="427"/>
      <c r="AM47" s="108"/>
      <c r="AN47" s="109"/>
      <c r="AO47" s="109"/>
      <c r="AP47" s="109"/>
      <c r="AQ47" s="109"/>
      <c r="AR47" s="109"/>
      <c r="AS47" s="109"/>
      <c r="AT47" s="109"/>
      <c r="AU47" s="109"/>
      <c r="AV47" s="109"/>
      <c r="AW47" s="109"/>
      <c r="AX47" s="109"/>
      <c r="AY47" s="109"/>
      <c r="AZ47" s="109"/>
      <c r="BA47" s="60"/>
      <c r="BB47" s="60"/>
      <c r="BC47" s="60"/>
      <c r="BD47" s="60"/>
      <c r="BE47" s="60"/>
      <c r="BF47" s="60"/>
      <c r="BG47" s="60"/>
      <c r="BH47" s="60"/>
      <c r="BI47" s="60"/>
    </row>
    <row r="48" spans="1:61" s="68" customFormat="1" ht="18.45" customHeight="1" x14ac:dyDescent="0.3">
      <c r="A48" s="344"/>
      <c r="B48" s="420" t="s">
        <v>222</v>
      </c>
      <c r="C48" s="420"/>
      <c r="D48" s="420"/>
      <c r="E48" s="420"/>
      <c r="F48" s="420"/>
      <c r="G48" s="420"/>
      <c r="H48" s="420"/>
      <c r="I48" s="420"/>
      <c r="J48" s="420"/>
      <c r="K48" s="420"/>
      <c r="L48" s="420"/>
      <c r="M48" s="420"/>
      <c r="N48" s="420"/>
      <c r="O48" s="420"/>
      <c r="P48" s="420"/>
      <c r="Q48" s="420"/>
      <c r="R48" s="420"/>
      <c r="S48" s="420"/>
      <c r="T48" s="420"/>
      <c r="U48" s="420"/>
      <c r="V48" s="420"/>
      <c r="W48" s="420"/>
      <c r="X48" s="420"/>
      <c r="Y48" s="421"/>
      <c r="Z48" s="403"/>
      <c r="AA48" s="403"/>
      <c r="AB48" s="403"/>
      <c r="AC48" s="403"/>
      <c r="AD48" s="403"/>
      <c r="AE48" s="403"/>
      <c r="AF48" s="403"/>
      <c r="AG48" s="403"/>
      <c r="AH48" s="403"/>
      <c r="AI48" s="403"/>
      <c r="AJ48" s="403"/>
      <c r="AK48" s="341" t="e">
        <f>ROUND(Z48/Z$51,5)</f>
        <v>#DIV/0!</v>
      </c>
      <c r="AL48" s="341"/>
      <c r="AM48" s="108"/>
      <c r="AN48" s="109"/>
      <c r="AO48" s="109"/>
      <c r="AP48" s="109"/>
      <c r="AQ48" s="109"/>
      <c r="AR48" s="109"/>
      <c r="AS48" s="109"/>
      <c r="AT48" s="109"/>
      <c r="AU48" s="109"/>
      <c r="AV48" s="109"/>
      <c r="AW48" s="109"/>
      <c r="AX48" s="109"/>
      <c r="AY48" s="109"/>
      <c r="AZ48" s="109"/>
      <c r="BA48" s="60"/>
      <c r="BB48" s="60"/>
      <c r="BC48" s="60"/>
      <c r="BD48" s="60"/>
      <c r="BE48" s="60"/>
      <c r="BF48" s="60"/>
      <c r="BG48" s="60"/>
      <c r="BH48" s="60"/>
      <c r="BI48" s="60"/>
    </row>
    <row r="49" spans="1:61" s="68" customFormat="1" ht="19.2" customHeight="1" x14ac:dyDescent="0.3">
      <c r="A49" s="344"/>
      <c r="B49" s="420" t="s">
        <v>88</v>
      </c>
      <c r="C49" s="420"/>
      <c r="D49" s="420"/>
      <c r="E49" s="420"/>
      <c r="F49" s="420"/>
      <c r="G49" s="420"/>
      <c r="H49" s="420"/>
      <c r="I49" s="420"/>
      <c r="J49" s="420"/>
      <c r="K49" s="420"/>
      <c r="L49" s="420"/>
      <c r="M49" s="420"/>
      <c r="N49" s="420"/>
      <c r="O49" s="420"/>
      <c r="P49" s="420"/>
      <c r="Q49" s="420"/>
      <c r="R49" s="420"/>
      <c r="S49" s="420"/>
      <c r="T49" s="420"/>
      <c r="U49" s="420"/>
      <c r="V49" s="420"/>
      <c r="W49" s="420"/>
      <c r="X49" s="420"/>
      <c r="Y49" s="421"/>
      <c r="Z49" s="432" t="e">
        <f>B$41</f>
        <v>#DIV/0!</v>
      </c>
      <c r="AA49" s="341"/>
      <c r="AB49" s="341"/>
      <c r="AC49" s="341"/>
      <c r="AD49" s="341"/>
      <c r="AE49" s="341"/>
      <c r="AF49" s="341"/>
      <c r="AG49" s="341"/>
      <c r="AH49" s="341"/>
      <c r="AI49" s="341"/>
      <c r="AJ49" s="341"/>
      <c r="AK49" s="341" t="e">
        <f>ROUND(Z49/Z$51,5)</f>
        <v>#DIV/0!</v>
      </c>
      <c r="AL49" s="341"/>
      <c r="AM49" s="108" t="s">
        <v>634</v>
      </c>
      <c r="AN49" s="109"/>
      <c r="AO49" s="109"/>
      <c r="AP49" s="109"/>
      <c r="AQ49" s="109"/>
      <c r="AR49" s="109"/>
      <c r="AS49" s="109"/>
      <c r="AT49" s="109"/>
      <c r="AU49" s="109"/>
      <c r="AV49" s="109"/>
      <c r="AW49" s="109"/>
      <c r="AX49" s="109"/>
      <c r="AY49" s="109"/>
      <c r="AZ49" s="109"/>
      <c r="BA49" s="60"/>
      <c r="BB49" s="60"/>
      <c r="BC49" s="60"/>
      <c r="BD49" s="60"/>
      <c r="BE49" s="60"/>
      <c r="BF49" s="60"/>
      <c r="BG49" s="60"/>
      <c r="BH49" s="60"/>
      <c r="BI49" s="60"/>
    </row>
    <row r="50" spans="1:61" s="68" customFormat="1" ht="14.7" customHeight="1" x14ac:dyDescent="0.3">
      <c r="A50" s="344"/>
      <c r="B50" s="420" t="s">
        <v>92</v>
      </c>
      <c r="C50" s="420"/>
      <c r="D50" s="420"/>
      <c r="E50" s="420"/>
      <c r="F50" s="420"/>
      <c r="G50" s="420"/>
      <c r="H50" s="420"/>
      <c r="I50" s="420"/>
      <c r="J50" s="420"/>
      <c r="K50" s="420"/>
      <c r="L50" s="420"/>
      <c r="M50" s="420"/>
      <c r="N50" s="420"/>
      <c r="O50" s="420"/>
      <c r="P50" s="420"/>
      <c r="Q50" s="420"/>
      <c r="R50" s="420"/>
      <c r="S50" s="420"/>
      <c r="T50" s="420"/>
      <c r="U50" s="420"/>
      <c r="V50" s="420"/>
      <c r="W50" s="420"/>
      <c r="X50" s="420"/>
      <c r="Y50" s="421"/>
      <c r="Z50" s="403"/>
      <c r="AA50" s="403"/>
      <c r="AB50" s="403"/>
      <c r="AC50" s="403"/>
      <c r="AD50" s="403"/>
      <c r="AE50" s="403"/>
      <c r="AF50" s="403"/>
      <c r="AG50" s="403"/>
      <c r="AH50" s="403"/>
      <c r="AI50" s="403"/>
      <c r="AJ50" s="403"/>
      <c r="AK50" s="341" t="e">
        <f>ROUND(Z50/Z$51,5)</f>
        <v>#DIV/0!</v>
      </c>
      <c r="AL50" s="341"/>
      <c r="AM50" s="76" t="s">
        <v>635</v>
      </c>
      <c r="AN50" s="109"/>
      <c r="AO50" s="109"/>
      <c r="AP50" s="109"/>
      <c r="AQ50" s="109"/>
      <c r="AR50" s="109"/>
      <c r="AS50" s="109"/>
      <c r="AT50" s="109"/>
      <c r="AU50" s="109"/>
      <c r="AV50" s="109"/>
      <c r="AW50" s="109"/>
      <c r="AX50" s="109"/>
      <c r="AY50" s="109"/>
      <c r="AZ50" s="109"/>
      <c r="BA50" s="60"/>
      <c r="BB50" s="60"/>
      <c r="BC50" s="60"/>
      <c r="BD50" s="60"/>
      <c r="BE50" s="60"/>
      <c r="BF50" s="60"/>
      <c r="BG50" s="60"/>
      <c r="BH50" s="60"/>
      <c r="BI50" s="60"/>
    </row>
    <row r="51" spans="1:61" s="68" customFormat="1" ht="14.7" customHeight="1" x14ac:dyDescent="0.3">
      <c r="A51" s="344"/>
      <c r="B51" s="420" t="s">
        <v>89</v>
      </c>
      <c r="C51" s="420"/>
      <c r="D51" s="420"/>
      <c r="E51" s="420"/>
      <c r="F51" s="420"/>
      <c r="G51" s="420"/>
      <c r="H51" s="420"/>
      <c r="I51" s="420"/>
      <c r="J51" s="420"/>
      <c r="K51" s="420"/>
      <c r="L51" s="420"/>
      <c r="M51" s="420"/>
      <c r="N51" s="420"/>
      <c r="O51" s="420"/>
      <c r="P51" s="420"/>
      <c r="Q51" s="420"/>
      <c r="R51" s="420"/>
      <c r="S51" s="420"/>
      <c r="T51" s="420"/>
      <c r="U51" s="420"/>
      <c r="V51" s="420"/>
      <c r="W51" s="420"/>
      <c r="X51" s="420"/>
      <c r="Y51" s="421"/>
      <c r="Z51" s="571" t="e">
        <f>SUM(Z48:AJ50)</f>
        <v>#DIV/0!</v>
      </c>
      <c r="AA51" s="571"/>
      <c r="AB51" s="571"/>
      <c r="AC51" s="571"/>
      <c r="AD51" s="571"/>
      <c r="AE51" s="571"/>
      <c r="AF51" s="571"/>
      <c r="AG51" s="571"/>
      <c r="AH51" s="571"/>
      <c r="AI51" s="571"/>
      <c r="AJ51" s="571"/>
      <c r="AK51" s="560" t="e">
        <f>SUM(AK48:AL50)</f>
        <v>#DIV/0!</v>
      </c>
      <c r="AL51" s="560"/>
      <c r="AM51" s="77" t="s">
        <v>1150</v>
      </c>
      <c r="AN51" s="109"/>
      <c r="AO51" s="109"/>
      <c r="AP51" s="109"/>
      <c r="AQ51" s="109"/>
      <c r="AR51" s="109"/>
      <c r="AS51" s="109"/>
      <c r="AT51" s="109"/>
      <c r="AU51" s="109"/>
      <c r="AV51" s="109"/>
      <c r="AW51" s="109"/>
      <c r="AX51" s="109"/>
      <c r="AY51" s="109"/>
      <c r="AZ51" s="109"/>
      <c r="BA51" s="60"/>
      <c r="BB51" s="60"/>
      <c r="BC51" s="60"/>
      <c r="BD51" s="60"/>
      <c r="BE51" s="60"/>
      <c r="BF51" s="60"/>
      <c r="BG51" s="60"/>
      <c r="BH51" s="60"/>
      <c r="BI51" s="60"/>
    </row>
    <row r="52" spans="1:61" s="68" customFormat="1" ht="41.7" customHeight="1" x14ac:dyDescent="0.25">
      <c r="A52" s="343" t="s">
        <v>11</v>
      </c>
      <c r="B52" s="374" t="s">
        <v>1070</v>
      </c>
      <c r="C52" s="374"/>
      <c r="D52" s="374"/>
      <c r="E52" s="374"/>
      <c r="F52" s="374"/>
      <c r="G52" s="374"/>
      <c r="H52" s="374"/>
      <c r="I52" s="374"/>
      <c r="J52" s="374"/>
      <c r="K52" s="374"/>
      <c r="L52" s="374"/>
      <c r="M52" s="374"/>
      <c r="N52" s="374"/>
      <c r="O52" s="374"/>
      <c r="P52" s="374"/>
      <c r="Q52" s="374"/>
      <c r="R52" s="374"/>
      <c r="S52" s="374"/>
      <c r="T52" s="374"/>
      <c r="U52" s="374"/>
      <c r="V52" s="374"/>
      <c r="W52" s="374"/>
      <c r="X52" s="374"/>
      <c r="Y52" s="374"/>
      <c r="Z52" s="374"/>
      <c r="AA52" s="374"/>
      <c r="AB52" s="374"/>
      <c r="AC52" s="374"/>
      <c r="AD52" s="374"/>
      <c r="AE52" s="374"/>
      <c r="AF52" s="374"/>
      <c r="AG52" s="374"/>
      <c r="AH52" s="374"/>
      <c r="AI52" s="374"/>
      <c r="AJ52" s="374"/>
      <c r="AK52" s="374"/>
      <c r="AL52" s="374"/>
      <c r="AM52" s="101"/>
      <c r="AN52" s="109"/>
      <c r="AO52" s="109"/>
      <c r="AP52" s="109"/>
      <c r="AQ52" s="109"/>
      <c r="AR52" s="109"/>
      <c r="AS52" s="109"/>
      <c r="AT52" s="109"/>
      <c r="AU52" s="109"/>
      <c r="AV52" s="109"/>
      <c r="AW52" s="109"/>
      <c r="AX52" s="109"/>
      <c r="AY52" s="109"/>
      <c r="AZ52" s="109"/>
      <c r="BA52" s="60"/>
      <c r="BB52" s="60"/>
      <c r="BC52" s="60"/>
      <c r="BD52" s="60"/>
      <c r="BE52" s="60"/>
      <c r="BF52" s="60"/>
      <c r="BG52" s="60"/>
      <c r="BH52" s="60"/>
      <c r="BI52" s="60"/>
    </row>
    <row r="53" spans="1:61" s="68" customFormat="1" ht="57" customHeight="1" x14ac:dyDescent="0.3">
      <c r="A53" s="343"/>
      <c r="B53" s="388" t="s">
        <v>1072</v>
      </c>
      <c r="C53" s="389"/>
      <c r="D53" s="389"/>
      <c r="E53" s="389"/>
      <c r="F53" s="389"/>
      <c r="G53" s="389"/>
      <c r="H53" s="389"/>
      <c r="I53" s="389"/>
      <c r="J53" s="389"/>
      <c r="K53" s="389"/>
      <c r="L53" s="389"/>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M53" s="101"/>
      <c r="AN53" s="109"/>
      <c r="AO53" s="109"/>
      <c r="AP53" s="109"/>
      <c r="AQ53" s="109"/>
      <c r="AR53" s="109"/>
      <c r="AS53" s="109"/>
      <c r="AT53" s="109"/>
      <c r="AU53" s="109"/>
      <c r="AV53" s="109"/>
      <c r="AW53" s="109"/>
      <c r="AX53" s="109"/>
      <c r="AY53" s="109"/>
      <c r="AZ53" s="109"/>
      <c r="BA53" s="60"/>
      <c r="BB53" s="60"/>
      <c r="BC53" s="60"/>
      <c r="BD53" s="60"/>
      <c r="BE53" s="60"/>
      <c r="BF53" s="60"/>
      <c r="BG53" s="60"/>
      <c r="BH53" s="60"/>
      <c r="BI53" s="60"/>
    </row>
    <row r="54" spans="1:61" s="68" customFormat="1" ht="14.7" customHeight="1" x14ac:dyDescent="0.3">
      <c r="A54" s="343"/>
      <c r="B54" s="390" t="s">
        <v>703</v>
      </c>
      <c r="C54" s="390"/>
      <c r="D54" s="390"/>
      <c r="E54" s="390"/>
      <c r="F54" s="390"/>
      <c r="G54" s="390"/>
      <c r="H54" s="390"/>
      <c r="I54" s="390"/>
      <c r="J54" s="390"/>
      <c r="K54" s="390"/>
      <c r="L54" s="390"/>
      <c r="M54" s="390"/>
      <c r="N54" s="390"/>
      <c r="O54" s="390"/>
      <c r="P54" s="390"/>
      <c r="Q54" s="390"/>
      <c r="R54" s="390"/>
      <c r="S54" s="386"/>
      <c r="T54" s="387"/>
      <c r="U54" s="387"/>
      <c r="V54" s="387"/>
      <c r="W54" s="387"/>
      <c r="X54" s="387"/>
      <c r="Y54" s="387"/>
      <c r="Z54" s="387"/>
      <c r="AA54" s="387"/>
      <c r="AB54" s="387"/>
      <c r="AC54" s="387"/>
      <c r="AD54" s="387"/>
      <c r="AE54" s="387"/>
      <c r="AF54" s="387"/>
      <c r="AG54" s="387"/>
      <c r="AH54" s="387"/>
      <c r="AI54" s="387"/>
      <c r="AJ54" s="387"/>
      <c r="AK54" s="387"/>
      <c r="AL54" s="387"/>
      <c r="AM54" s="101"/>
      <c r="AN54" s="109"/>
      <c r="AO54" s="109"/>
      <c r="AP54" s="109"/>
      <c r="AQ54" s="109"/>
      <c r="AR54" s="109"/>
      <c r="AS54" s="109"/>
      <c r="AT54" s="109"/>
      <c r="AU54" s="109"/>
      <c r="AV54" s="109"/>
      <c r="AW54" s="109"/>
      <c r="AX54" s="109"/>
      <c r="AY54" s="109"/>
      <c r="AZ54" s="109"/>
      <c r="BA54" s="60"/>
      <c r="BB54" s="60"/>
      <c r="BC54" s="60"/>
      <c r="BD54" s="60"/>
      <c r="BE54" s="60"/>
      <c r="BF54" s="60"/>
      <c r="BG54" s="60"/>
      <c r="BH54" s="60"/>
      <c r="BI54" s="60"/>
    </row>
    <row r="55" spans="1:61" s="68" customFormat="1" ht="14.7" customHeight="1" x14ac:dyDescent="0.3">
      <c r="A55" s="343"/>
      <c r="B55" s="390" t="s">
        <v>704</v>
      </c>
      <c r="C55" s="390"/>
      <c r="D55" s="390"/>
      <c r="E55" s="390"/>
      <c r="F55" s="390"/>
      <c r="G55" s="390"/>
      <c r="H55" s="390"/>
      <c r="I55" s="390"/>
      <c r="J55" s="390"/>
      <c r="K55" s="390"/>
      <c r="L55" s="390"/>
      <c r="M55" s="390"/>
      <c r="N55" s="390"/>
      <c r="O55" s="390"/>
      <c r="P55" s="390"/>
      <c r="Q55" s="390"/>
      <c r="R55" s="390"/>
      <c r="S55" s="386"/>
      <c r="T55" s="387"/>
      <c r="U55" s="387"/>
      <c r="V55" s="387"/>
      <c r="W55" s="387"/>
      <c r="X55" s="387"/>
      <c r="Y55" s="387"/>
      <c r="Z55" s="387"/>
      <c r="AA55" s="387"/>
      <c r="AB55" s="387"/>
      <c r="AC55" s="387"/>
      <c r="AD55" s="387"/>
      <c r="AE55" s="387"/>
      <c r="AF55" s="387"/>
      <c r="AG55" s="387"/>
      <c r="AH55" s="387"/>
      <c r="AI55" s="387"/>
      <c r="AJ55" s="387"/>
      <c r="AK55" s="387"/>
      <c r="AL55" s="387"/>
      <c r="AM55" s="101"/>
      <c r="AN55" s="109"/>
      <c r="AO55" s="109"/>
      <c r="AP55" s="109"/>
      <c r="AQ55" s="109"/>
      <c r="AR55" s="109"/>
      <c r="AS55" s="109"/>
      <c r="AT55" s="109"/>
      <c r="AU55" s="109"/>
      <c r="AV55" s="109"/>
      <c r="AW55" s="109"/>
      <c r="AX55" s="109"/>
      <c r="AY55" s="109"/>
      <c r="AZ55" s="109"/>
      <c r="BA55" s="60"/>
      <c r="BB55" s="60"/>
      <c r="BC55" s="60"/>
      <c r="BD55" s="60"/>
      <c r="BE55" s="60"/>
      <c r="BF55" s="60"/>
      <c r="BG55" s="60"/>
      <c r="BH55" s="60"/>
      <c r="BI55" s="60"/>
    </row>
    <row r="56" spans="1:61" s="68" customFormat="1" ht="14.7" customHeight="1" x14ac:dyDescent="0.3">
      <c r="A56" s="343"/>
      <c r="B56" s="390" t="s">
        <v>705</v>
      </c>
      <c r="C56" s="390"/>
      <c r="D56" s="390"/>
      <c r="E56" s="390"/>
      <c r="F56" s="390"/>
      <c r="G56" s="390"/>
      <c r="H56" s="390"/>
      <c r="I56" s="390"/>
      <c r="J56" s="390"/>
      <c r="K56" s="390"/>
      <c r="L56" s="390"/>
      <c r="M56" s="390"/>
      <c r="N56" s="390"/>
      <c r="O56" s="390"/>
      <c r="P56" s="390"/>
      <c r="Q56" s="390"/>
      <c r="R56" s="390"/>
      <c r="S56" s="386"/>
      <c r="T56" s="387"/>
      <c r="U56" s="387"/>
      <c r="V56" s="387"/>
      <c r="W56" s="387"/>
      <c r="X56" s="387"/>
      <c r="Y56" s="387"/>
      <c r="Z56" s="387"/>
      <c r="AA56" s="387"/>
      <c r="AB56" s="387"/>
      <c r="AC56" s="387"/>
      <c r="AD56" s="387"/>
      <c r="AE56" s="387"/>
      <c r="AF56" s="387"/>
      <c r="AG56" s="387"/>
      <c r="AH56" s="387"/>
      <c r="AI56" s="387"/>
      <c r="AJ56" s="387"/>
      <c r="AK56" s="387"/>
      <c r="AL56" s="387"/>
      <c r="AM56" s="101"/>
      <c r="AN56" s="109"/>
      <c r="AO56" s="109"/>
      <c r="AP56" s="109"/>
      <c r="AQ56" s="109"/>
      <c r="AR56" s="109"/>
      <c r="AS56" s="109"/>
      <c r="AT56" s="109"/>
      <c r="AU56" s="109"/>
      <c r="AV56" s="109"/>
      <c r="AW56" s="109"/>
      <c r="AX56" s="109"/>
      <c r="AY56" s="109"/>
      <c r="AZ56" s="109"/>
      <c r="BA56" s="60"/>
      <c r="BB56" s="60"/>
      <c r="BC56" s="60"/>
      <c r="BD56" s="60"/>
      <c r="BE56" s="60"/>
      <c r="BF56" s="60"/>
      <c r="BG56" s="60"/>
      <c r="BH56" s="60"/>
      <c r="BI56" s="60"/>
    </row>
    <row r="57" spans="1:61" s="68" customFormat="1" ht="19.95" customHeight="1" x14ac:dyDescent="0.3">
      <c r="A57" s="343"/>
      <c r="B57" s="389" t="s">
        <v>706</v>
      </c>
      <c r="C57" s="389"/>
      <c r="D57" s="389"/>
      <c r="E57" s="389"/>
      <c r="F57" s="389"/>
      <c r="G57" s="389"/>
      <c r="H57" s="389"/>
      <c r="I57" s="389"/>
      <c r="J57" s="389"/>
      <c r="K57" s="389"/>
      <c r="L57" s="389"/>
      <c r="M57" s="389"/>
      <c r="N57" s="389"/>
      <c r="O57" s="389"/>
      <c r="P57" s="389"/>
      <c r="Q57" s="389"/>
      <c r="R57" s="389"/>
      <c r="S57" s="386"/>
      <c r="T57" s="387"/>
      <c r="U57" s="387"/>
      <c r="V57" s="387"/>
      <c r="W57" s="387"/>
      <c r="X57" s="387"/>
      <c r="Y57" s="387"/>
      <c r="Z57" s="387"/>
      <c r="AA57" s="387"/>
      <c r="AB57" s="387"/>
      <c r="AC57" s="387"/>
      <c r="AD57" s="387"/>
      <c r="AE57" s="387"/>
      <c r="AF57" s="387"/>
      <c r="AG57" s="387"/>
      <c r="AH57" s="387"/>
      <c r="AI57" s="387"/>
      <c r="AJ57" s="387"/>
      <c r="AK57" s="387"/>
      <c r="AL57" s="387"/>
      <c r="AM57" s="101"/>
      <c r="AN57" s="109"/>
      <c r="AO57" s="109"/>
      <c r="AP57" s="109"/>
      <c r="AQ57" s="109"/>
      <c r="AR57" s="109"/>
      <c r="AS57" s="109"/>
      <c r="AT57" s="109"/>
      <c r="AU57" s="109"/>
      <c r="AV57" s="109"/>
      <c r="AW57" s="109"/>
      <c r="AX57" s="109"/>
      <c r="AY57" s="109"/>
      <c r="AZ57" s="109"/>
      <c r="BA57" s="60"/>
      <c r="BB57" s="60"/>
      <c r="BC57" s="60"/>
      <c r="BD57" s="60"/>
      <c r="BE57" s="60"/>
      <c r="BF57" s="60"/>
      <c r="BG57" s="60"/>
      <c r="BH57" s="60"/>
      <c r="BI57" s="60"/>
    </row>
    <row r="58" spans="1:61" s="68" customFormat="1" ht="28.5" customHeight="1" x14ac:dyDescent="0.3">
      <c r="A58" s="343"/>
      <c r="B58" s="436" t="s">
        <v>887</v>
      </c>
      <c r="C58" s="437"/>
      <c r="D58" s="437"/>
      <c r="E58" s="437"/>
      <c r="F58" s="437"/>
      <c r="G58" s="437"/>
      <c r="H58" s="437"/>
      <c r="I58" s="437"/>
      <c r="J58" s="437"/>
      <c r="K58" s="437"/>
      <c r="L58" s="437"/>
      <c r="M58" s="437"/>
      <c r="N58" s="437"/>
      <c r="O58" s="437"/>
      <c r="P58" s="437"/>
      <c r="Q58" s="437"/>
      <c r="R58" s="438"/>
      <c r="S58" s="428"/>
      <c r="T58" s="429"/>
      <c r="U58" s="429"/>
      <c r="V58" s="429"/>
      <c r="W58" s="429"/>
      <c r="X58" s="429"/>
      <c r="Y58" s="429"/>
      <c r="Z58" s="429"/>
      <c r="AA58" s="429"/>
      <c r="AB58" s="429"/>
      <c r="AC58" s="429"/>
      <c r="AD58" s="429"/>
      <c r="AE58" s="429"/>
      <c r="AF58" s="429"/>
      <c r="AG58" s="429"/>
      <c r="AH58" s="429"/>
      <c r="AI58" s="429"/>
      <c r="AJ58" s="429"/>
      <c r="AK58" s="429"/>
      <c r="AL58" s="430"/>
      <c r="AM58" s="101"/>
      <c r="AN58" s="109"/>
      <c r="AO58" s="109"/>
      <c r="AP58" s="109"/>
      <c r="AQ58" s="109"/>
      <c r="AR58" s="109"/>
      <c r="AS58" s="109"/>
      <c r="AT58" s="109"/>
      <c r="AU58" s="109"/>
      <c r="AV58" s="109"/>
      <c r="AW58" s="109"/>
      <c r="AX58" s="109"/>
      <c r="AY58" s="109"/>
      <c r="AZ58" s="109"/>
      <c r="BA58" s="60"/>
      <c r="BB58" s="60"/>
      <c r="BC58" s="60"/>
      <c r="BD58" s="60"/>
      <c r="BE58" s="60"/>
      <c r="BF58" s="60"/>
      <c r="BG58" s="60"/>
      <c r="BH58" s="60"/>
      <c r="BI58" s="60"/>
    </row>
    <row r="59" spans="1:61" s="68" customFormat="1" ht="111" customHeight="1" x14ac:dyDescent="0.3">
      <c r="A59" s="343"/>
      <c r="B59" s="388" t="s">
        <v>1071</v>
      </c>
      <c r="C59" s="389"/>
      <c r="D59" s="389"/>
      <c r="E59" s="389"/>
      <c r="F59" s="389"/>
      <c r="G59" s="389"/>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101"/>
      <c r="AN59" s="109"/>
      <c r="AO59" s="109"/>
      <c r="AP59" s="109"/>
      <c r="AQ59" s="109"/>
      <c r="AR59" s="109"/>
      <c r="AS59" s="109"/>
      <c r="AT59" s="109"/>
      <c r="AU59" s="109"/>
      <c r="AV59" s="109"/>
      <c r="AW59" s="109"/>
      <c r="AX59" s="109"/>
      <c r="AY59" s="109"/>
      <c r="AZ59" s="109"/>
      <c r="BA59" s="60"/>
      <c r="BB59" s="60"/>
      <c r="BC59" s="60"/>
      <c r="BD59" s="60"/>
      <c r="BE59" s="60"/>
      <c r="BF59" s="60"/>
      <c r="BG59" s="60"/>
      <c r="BH59" s="60"/>
      <c r="BI59" s="60"/>
    </row>
    <row r="60" spans="1:61" s="68" customFormat="1" ht="14.7" customHeight="1" x14ac:dyDescent="0.3">
      <c r="A60" s="343"/>
      <c r="B60" s="390" t="s">
        <v>707</v>
      </c>
      <c r="C60" s="390"/>
      <c r="D60" s="390"/>
      <c r="E60" s="390"/>
      <c r="F60" s="390"/>
      <c r="G60" s="390"/>
      <c r="H60" s="390"/>
      <c r="I60" s="390"/>
      <c r="J60" s="390"/>
      <c r="K60" s="390"/>
      <c r="L60" s="390"/>
      <c r="M60" s="390"/>
      <c r="N60" s="390"/>
      <c r="O60" s="390"/>
      <c r="P60" s="390"/>
      <c r="Q60" s="390"/>
      <c r="R60" s="390"/>
      <c r="S60" s="386"/>
      <c r="T60" s="387"/>
      <c r="U60" s="387"/>
      <c r="V60" s="387"/>
      <c r="W60" s="387"/>
      <c r="X60" s="387"/>
      <c r="Y60" s="387"/>
      <c r="Z60" s="387"/>
      <c r="AA60" s="387"/>
      <c r="AB60" s="387"/>
      <c r="AC60" s="387"/>
      <c r="AD60" s="387"/>
      <c r="AE60" s="387"/>
      <c r="AF60" s="387"/>
      <c r="AG60" s="387"/>
      <c r="AH60" s="387"/>
      <c r="AI60" s="387"/>
      <c r="AJ60" s="387"/>
      <c r="AK60" s="387"/>
      <c r="AL60" s="387"/>
      <c r="AM60" s="101"/>
      <c r="AN60" s="109"/>
      <c r="AO60" s="109"/>
      <c r="AP60" s="109"/>
      <c r="AQ60" s="109"/>
      <c r="AR60" s="109"/>
      <c r="AS60" s="109"/>
      <c r="AT60" s="109"/>
      <c r="AU60" s="109"/>
      <c r="AV60" s="109"/>
      <c r="AW60" s="109"/>
      <c r="AX60" s="109"/>
      <c r="AY60" s="109"/>
      <c r="AZ60" s="109"/>
      <c r="BA60" s="60"/>
      <c r="BB60" s="60"/>
      <c r="BC60" s="60"/>
      <c r="BD60" s="60"/>
      <c r="BE60" s="60"/>
      <c r="BF60" s="60"/>
      <c r="BG60" s="60"/>
      <c r="BH60" s="60"/>
      <c r="BI60" s="60"/>
    </row>
    <row r="61" spans="1:61" s="68" customFormat="1" ht="30" customHeight="1" x14ac:dyDescent="0.3">
      <c r="A61" s="343"/>
      <c r="B61" s="390" t="s">
        <v>710</v>
      </c>
      <c r="C61" s="390"/>
      <c r="D61" s="390"/>
      <c r="E61" s="390"/>
      <c r="F61" s="390"/>
      <c r="G61" s="390"/>
      <c r="H61" s="390"/>
      <c r="I61" s="390"/>
      <c r="J61" s="390"/>
      <c r="K61" s="390"/>
      <c r="L61" s="390"/>
      <c r="M61" s="390"/>
      <c r="N61" s="390"/>
      <c r="O61" s="390"/>
      <c r="P61" s="390"/>
      <c r="Q61" s="390"/>
      <c r="R61" s="390"/>
      <c r="S61" s="386"/>
      <c r="T61" s="387"/>
      <c r="U61" s="387"/>
      <c r="V61" s="387"/>
      <c r="W61" s="387"/>
      <c r="X61" s="387"/>
      <c r="Y61" s="387"/>
      <c r="Z61" s="387"/>
      <c r="AA61" s="387"/>
      <c r="AB61" s="387"/>
      <c r="AC61" s="387"/>
      <c r="AD61" s="387"/>
      <c r="AE61" s="387"/>
      <c r="AF61" s="387"/>
      <c r="AG61" s="387"/>
      <c r="AH61" s="387"/>
      <c r="AI61" s="387"/>
      <c r="AJ61" s="387"/>
      <c r="AK61" s="387"/>
      <c r="AL61" s="387"/>
      <c r="AM61" s="101"/>
      <c r="AN61" s="109"/>
      <c r="AO61" s="109"/>
      <c r="AP61" s="109"/>
      <c r="AQ61" s="109"/>
      <c r="AR61" s="109"/>
      <c r="AS61" s="109"/>
      <c r="AT61" s="109"/>
      <c r="AU61" s="109"/>
      <c r="AV61" s="109"/>
      <c r="AW61" s="109"/>
      <c r="AX61" s="109"/>
      <c r="AY61" s="109"/>
      <c r="AZ61" s="109"/>
      <c r="BA61" s="60"/>
      <c r="BB61" s="60"/>
      <c r="BC61" s="60"/>
      <c r="BD61" s="60"/>
      <c r="BE61" s="60"/>
      <c r="BF61" s="60"/>
      <c r="BG61" s="60"/>
      <c r="BH61" s="60"/>
      <c r="BI61" s="60"/>
    </row>
    <row r="62" spans="1:61" s="68" customFormat="1" ht="55.2" customHeight="1" x14ac:dyDescent="0.3">
      <c r="A62" s="343"/>
      <c r="B62" s="390" t="s">
        <v>709</v>
      </c>
      <c r="C62" s="390"/>
      <c r="D62" s="390"/>
      <c r="E62" s="390"/>
      <c r="F62" s="390"/>
      <c r="G62" s="390"/>
      <c r="H62" s="390"/>
      <c r="I62" s="390"/>
      <c r="J62" s="390"/>
      <c r="K62" s="390"/>
      <c r="L62" s="390"/>
      <c r="M62" s="390"/>
      <c r="N62" s="390"/>
      <c r="O62" s="390"/>
      <c r="P62" s="390"/>
      <c r="Q62" s="390"/>
      <c r="R62" s="390"/>
      <c r="S62" s="386"/>
      <c r="T62" s="387"/>
      <c r="U62" s="387"/>
      <c r="V62" s="387"/>
      <c r="W62" s="387"/>
      <c r="X62" s="387"/>
      <c r="Y62" s="387"/>
      <c r="Z62" s="387"/>
      <c r="AA62" s="387"/>
      <c r="AB62" s="387"/>
      <c r="AC62" s="387"/>
      <c r="AD62" s="387"/>
      <c r="AE62" s="387"/>
      <c r="AF62" s="387"/>
      <c r="AG62" s="387"/>
      <c r="AH62" s="387"/>
      <c r="AI62" s="387"/>
      <c r="AJ62" s="387"/>
      <c r="AK62" s="387"/>
      <c r="AL62" s="387"/>
      <c r="AM62" s="101"/>
      <c r="AN62" s="109"/>
      <c r="AO62" s="109"/>
      <c r="AP62" s="109"/>
      <c r="AQ62" s="109"/>
      <c r="AR62" s="109"/>
      <c r="AS62" s="109"/>
      <c r="AT62" s="109"/>
      <c r="AU62" s="109"/>
      <c r="AV62" s="109"/>
      <c r="AW62" s="109"/>
      <c r="AX62" s="109"/>
      <c r="AY62" s="109"/>
      <c r="AZ62" s="109"/>
      <c r="BA62" s="60"/>
      <c r="BB62" s="60"/>
      <c r="BC62" s="60"/>
      <c r="BD62" s="60"/>
      <c r="BE62" s="60"/>
      <c r="BF62" s="60"/>
      <c r="BG62" s="60"/>
      <c r="BH62" s="60"/>
      <c r="BI62" s="60"/>
    </row>
    <row r="63" spans="1:61" s="68" customFormat="1" ht="14.7" customHeight="1" x14ac:dyDescent="0.3">
      <c r="A63" s="343"/>
      <c r="B63" s="390" t="s">
        <v>708</v>
      </c>
      <c r="C63" s="390"/>
      <c r="D63" s="390"/>
      <c r="E63" s="390"/>
      <c r="F63" s="390"/>
      <c r="G63" s="390"/>
      <c r="H63" s="390"/>
      <c r="I63" s="390"/>
      <c r="J63" s="390"/>
      <c r="K63" s="390"/>
      <c r="L63" s="390"/>
      <c r="M63" s="390"/>
      <c r="N63" s="390"/>
      <c r="O63" s="390"/>
      <c r="P63" s="390"/>
      <c r="Q63" s="390"/>
      <c r="R63" s="390"/>
      <c r="S63" s="386"/>
      <c r="T63" s="387"/>
      <c r="U63" s="387"/>
      <c r="V63" s="387"/>
      <c r="W63" s="387"/>
      <c r="X63" s="387"/>
      <c r="Y63" s="387"/>
      <c r="Z63" s="387"/>
      <c r="AA63" s="387"/>
      <c r="AB63" s="387"/>
      <c r="AC63" s="387"/>
      <c r="AD63" s="387"/>
      <c r="AE63" s="387"/>
      <c r="AF63" s="387"/>
      <c r="AG63" s="387"/>
      <c r="AH63" s="387"/>
      <c r="AI63" s="387"/>
      <c r="AJ63" s="387"/>
      <c r="AK63" s="387"/>
      <c r="AL63" s="387"/>
      <c r="AM63" s="101"/>
      <c r="AN63" s="109"/>
      <c r="AO63" s="109"/>
      <c r="AP63" s="109"/>
      <c r="AQ63" s="109"/>
      <c r="AR63" s="109"/>
      <c r="AS63" s="109"/>
      <c r="AT63" s="109"/>
      <c r="AU63" s="109"/>
      <c r="AV63" s="109"/>
      <c r="AW63" s="109"/>
      <c r="AX63" s="109"/>
      <c r="AY63" s="109"/>
      <c r="AZ63" s="109"/>
      <c r="BA63" s="60"/>
      <c r="BB63" s="60"/>
      <c r="BC63" s="60"/>
      <c r="BD63" s="60"/>
      <c r="BE63" s="60"/>
      <c r="BF63" s="60"/>
      <c r="BG63" s="60"/>
      <c r="BH63" s="60"/>
      <c r="BI63" s="60"/>
    </row>
    <row r="64" spans="1:61" s="68" customFormat="1" ht="32.700000000000003" customHeight="1" x14ac:dyDescent="0.3">
      <c r="A64" s="343"/>
      <c r="B64" s="436" t="s">
        <v>888</v>
      </c>
      <c r="C64" s="437"/>
      <c r="D64" s="437"/>
      <c r="E64" s="437"/>
      <c r="F64" s="437"/>
      <c r="G64" s="437"/>
      <c r="H64" s="437"/>
      <c r="I64" s="437"/>
      <c r="J64" s="437"/>
      <c r="K64" s="437"/>
      <c r="L64" s="437"/>
      <c r="M64" s="437"/>
      <c r="N64" s="437"/>
      <c r="O64" s="437"/>
      <c r="P64" s="437"/>
      <c r="Q64" s="437"/>
      <c r="R64" s="438"/>
      <c r="S64" s="428"/>
      <c r="T64" s="429"/>
      <c r="U64" s="429"/>
      <c r="V64" s="429"/>
      <c r="W64" s="429"/>
      <c r="X64" s="429"/>
      <c r="Y64" s="429"/>
      <c r="Z64" s="429"/>
      <c r="AA64" s="429"/>
      <c r="AB64" s="429"/>
      <c r="AC64" s="429"/>
      <c r="AD64" s="429"/>
      <c r="AE64" s="429"/>
      <c r="AF64" s="429"/>
      <c r="AG64" s="429"/>
      <c r="AH64" s="429"/>
      <c r="AI64" s="429"/>
      <c r="AJ64" s="429"/>
      <c r="AK64" s="429"/>
      <c r="AL64" s="430"/>
      <c r="AM64" s="101"/>
      <c r="AN64" s="109"/>
      <c r="AO64" s="109"/>
      <c r="AP64" s="109"/>
      <c r="AQ64" s="109"/>
      <c r="AR64" s="109"/>
      <c r="AS64" s="109"/>
      <c r="AT64" s="109"/>
      <c r="AU64" s="109"/>
      <c r="AV64" s="109"/>
      <c r="AW64" s="109"/>
      <c r="AX64" s="109"/>
      <c r="AY64" s="109"/>
      <c r="AZ64" s="109"/>
      <c r="BA64" s="60"/>
      <c r="BB64" s="60"/>
      <c r="BC64" s="60"/>
      <c r="BD64" s="60"/>
      <c r="BE64" s="60"/>
      <c r="BF64" s="60"/>
      <c r="BG64" s="60"/>
      <c r="BH64" s="60"/>
      <c r="BI64" s="60"/>
    </row>
    <row r="65" spans="1:61" s="68" customFormat="1" ht="70.5" customHeight="1" x14ac:dyDescent="0.3">
      <c r="A65" s="426" t="s">
        <v>640</v>
      </c>
      <c r="B65" s="388" t="s">
        <v>1073</v>
      </c>
      <c r="C65" s="389"/>
      <c r="D65" s="389"/>
      <c r="E65" s="389"/>
      <c r="F65" s="389"/>
      <c r="G65" s="389"/>
      <c r="H65" s="389"/>
      <c r="I65" s="389"/>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c r="AK65" s="389"/>
      <c r="AL65" s="389"/>
      <c r="AM65" s="101"/>
      <c r="AN65" s="109"/>
      <c r="AO65" s="109"/>
      <c r="AP65" s="109"/>
      <c r="AQ65" s="109"/>
      <c r="AR65" s="109"/>
      <c r="AS65" s="109"/>
      <c r="AT65" s="109"/>
      <c r="AU65" s="109"/>
      <c r="AV65" s="109"/>
      <c r="AW65" s="109"/>
      <c r="AX65" s="109"/>
      <c r="AY65" s="109"/>
      <c r="AZ65" s="109"/>
      <c r="BA65" s="60"/>
      <c r="BB65" s="60"/>
      <c r="BC65" s="60"/>
      <c r="BD65" s="60"/>
      <c r="BE65" s="60"/>
      <c r="BF65" s="60"/>
      <c r="BG65" s="60"/>
      <c r="BH65" s="60"/>
      <c r="BI65" s="60"/>
    </row>
    <row r="66" spans="1:61" s="68" customFormat="1" ht="14.7" customHeight="1" x14ac:dyDescent="0.3">
      <c r="A66" s="426"/>
      <c r="B66" s="389" t="s">
        <v>711</v>
      </c>
      <c r="C66" s="389"/>
      <c r="D66" s="389"/>
      <c r="E66" s="389"/>
      <c r="F66" s="389"/>
      <c r="G66" s="389"/>
      <c r="H66" s="389"/>
      <c r="I66" s="389"/>
      <c r="J66" s="389"/>
      <c r="K66" s="389"/>
      <c r="L66" s="389"/>
      <c r="M66" s="389"/>
      <c r="N66" s="389"/>
      <c r="O66" s="389"/>
      <c r="P66" s="389"/>
      <c r="Q66" s="389"/>
      <c r="R66" s="389"/>
      <c r="S66" s="389"/>
      <c r="T66" s="389"/>
      <c r="U66" s="389"/>
      <c r="V66" s="389"/>
      <c r="W66" s="389"/>
      <c r="X66" s="389"/>
      <c r="Y66" s="389"/>
      <c r="Z66" s="389"/>
      <c r="AA66" s="389"/>
      <c r="AB66" s="414"/>
      <c r="AC66" s="414"/>
      <c r="AD66" s="414"/>
      <c r="AE66" s="414"/>
      <c r="AF66" s="414"/>
      <c r="AG66" s="414"/>
      <c r="AH66" s="414"/>
      <c r="AI66" s="414"/>
      <c r="AJ66" s="414"/>
      <c r="AK66" s="414"/>
      <c r="AL66" s="414"/>
      <c r="AM66" s="101"/>
      <c r="AN66" s="109"/>
      <c r="AO66" s="109"/>
      <c r="AP66" s="109"/>
      <c r="AQ66" s="109"/>
      <c r="AR66" s="109"/>
      <c r="AS66" s="109"/>
      <c r="AT66" s="109"/>
      <c r="AU66" s="109"/>
      <c r="AV66" s="109"/>
      <c r="AW66" s="109"/>
      <c r="AX66" s="109"/>
      <c r="AY66" s="109"/>
      <c r="AZ66" s="109"/>
      <c r="BA66" s="60"/>
      <c r="BB66" s="60"/>
      <c r="BC66" s="60"/>
      <c r="BD66" s="60"/>
      <c r="BE66" s="60"/>
      <c r="BF66" s="60"/>
      <c r="BG66" s="60"/>
      <c r="BH66" s="60"/>
      <c r="BI66" s="60"/>
    </row>
    <row r="67" spans="1:61" s="68" customFormat="1" ht="14.7" customHeight="1" x14ac:dyDescent="0.3">
      <c r="A67" s="426"/>
      <c r="B67" s="389" t="s">
        <v>712</v>
      </c>
      <c r="C67" s="389"/>
      <c r="D67" s="389"/>
      <c r="E67" s="389"/>
      <c r="F67" s="389"/>
      <c r="G67" s="389"/>
      <c r="H67" s="389"/>
      <c r="I67" s="389"/>
      <c r="J67" s="389"/>
      <c r="K67" s="389"/>
      <c r="L67" s="389"/>
      <c r="M67" s="389"/>
      <c r="N67" s="389"/>
      <c r="O67" s="389"/>
      <c r="P67" s="389"/>
      <c r="Q67" s="389"/>
      <c r="R67" s="389"/>
      <c r="S67" s="389"/>
      <c r="T67" s="389"/>
      <c r="U67" s="389"/>
      <c r="V67" s="389"/>
      <c r="W67" s="389"/>
      <c r="X67" s="389"/>
      <c r="Y67" s="389"/>
      <c r="Z67" s="389"/>
      <c r="AA67" s="389"/>
      <c r="AB67" s="414" t="s">
        <v>131</v>
      </c>
      <c r="AC67" s="414"/>
      <c r="AD67" s="414"/>
      <c r="AE67" s="414"/>
      <c r="AF67" s="414"/>
      <c r="AG67" s="414"/>
      <c r="AH67" s="414"/>
      <c r="AI67" s="414"/>
      <c r="AJ67" s="414"/>
      <c r="AK67" s="414"/>
      <c r="AL67" s="414"/>
      <c r="AM67" s="101"/>
      <c r="AN67" s="109"/>
      <c r="AO67" s="109"/>
      <c r="AP67" s="109"/>
      <c r="AQ67" s="109"/>
      <c r="AR67" s="109"/>
      <c r="AS67" s="109"/>
      <c r="AT67" s="109"/>
      <c r="AU67" s="109"/>
      <c r="AV67" s="109"/>
      <c r="AW67" s="109"/>
      <c r="AX67" s="109"/>
      <c r="AY67" s="109"/>
      <c r="AZ67" s="109"/>
      <c r="BA67" s="60"/>
      <c r="BB67" s="60"/>
      <c r="BC67" s="60"/>
      <c r="BD67" s="60"/>
      <c r="BE67" s="60"/>
      <c r="BF67" s="60"/>
      <c r="BG67" s="60"/>
      <c r="BH67" s="60"/>
      <c r="BI67" s="60"/>
    </row>
    <row r="68" spans="1:61" s="68" customFormat="1" ht="32.700000000000003" customHeight="1" x14ac:dyDescent="0.3">
      <c r="A68" s="426"/>
      <c r="B68" s="389" t="s">
        <v>713</v>
      </c>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c r="AA68" s="389"/>
      <c r="AB68" s="393"/>
      <c r="AC68" s="394"/>
      <c r="AD68" s="394"/>
      <c r="AE68" s="394"/>
      <c r="AF68" s="394"/>
      <c r="AG68" s="394"/>
      <c r="AH68" s="394"/>
      <c r="AI68" s="394"/>
      <c r="AJ68" s="394"/>
      <c r="AK68" s="394"/>
      <c r="AL68" s="394"/>
      <c r="AM68" s="101"/>
      <c r="AN68" s="109"/>
      <c r="AO68" s="109"/>
      <c r="AP68" s="109"/>
      <c r="AQ68" s="109"/>
      <c r="AR68" s="109"/>
      <c r="AS68" s="109"/>
      <c r="AT68" s="109"/>
      <c r="AU68" s="109"/>
      <c r="AV68" s="109"/>
      <c r="AW68" s="109"/>
      <c r="AX68" s="109"/>
      <c r="AY68" s="109"/>
      <c r="AZ68" s="109"/>
      <c r="BA68" s="60"/>
      <c r="BB68" s="60"/>
      <c r="BC68" s="60"/>
      <c r="BD68" s="60"/>
      <c r="BE68" s="60"/>
      <c r="BF68" s="60"/>
      <c r="BG68" s="60"/>
      <c r="BH68" s="60"/>
      <c r="BI68" s="60"/>
    </row>
    <row r="69" spans="1:61" s="68" customFormat="1" ht="30.45" customHeight="1" x14ac:dyDescent="0.3">
      <c r="A69" s="426"/>
      <c r="B69" s="389" t="s">
        <v>714</v>
      </c>
      <c r="C69" s="389"/>
      <c r="D69" s="389"/>
      <c r="E69" s="389"/>
      <c r="F69" s="389"/>
      <c r="G69" s="389"/>
      <c r="H69" s="389"/>
      <c r="I69" s="389"/>
      <c r="J69" s="389"/>
      <c r="K69" s="389"/>
      <c r="L69" s="389"/>
      <c r="M69" s="389"/>
      <c r="N69" s="389"/>
      <c r="O69" s="389"/>
      <c r="P69" s="389"/>
      <c r="Q69" s="389"/>
      <c r="R69" s="389"/>
      <c r="S69" s="389"/>
      <c r="T69" s="389"/>
      <c r="U69" s="389"/>
      <c r="V69" s="389"/>
      <c r="W69" s="389"/>
      <c r="X69" s="389"/>
      <c r="Y69" s="389"/>
      <c r="Z69" s="389"/>
      <c r="AA69" s="389"/>
      <c r="AB69" s="393"/>
      <c r="AC69" s="394"/>
      <c r="AD69" s="394"/>
      <c r="AE69" s="394"/>
      <c r="AF69" s="394"/>
      <c r="AG69" s="394"/>
      <c r="AH69" s="394"/>
      <c r="AI69" s="394"/>
      <c r="AJ69" s="394"/>
      <c r="AK69" s="394"/>
      <c r="AL69" s="394"/>
      <c r="AM69" s="101"/>
      <c r="AN69" s="109"/>
      <c r="AO69" s="109"/>
      <c r="AP69" s="109"/>
      <c r="AQ69" s="109"/>
      <c r="AR69" s="109"/>
      <c r="AS69" s="109"/>
      <c r="AT69" s="109"/>
      <c r="AU69" s="109"/>
      <c r="AV69" s="109"/>
      <c r="AW69" s="109"/>
      <c r="AX69" s="109"/>
      <c r="AY69" s="109"/>
      <c r="AZ69" s="109"/>
      <c r="BA69" s="60"/>
      <c r="BB69" s="60"/>
      <c r="BC69" s="60"/>
      <c r="BD69" s="60"/>
      <c r="BE69" s="60"/>
      <c r="BF69" s="60"/>
      <c r="BG69" s="60"/>
      <c r="BH69" s="60"/>
      <c r="BI69" s="60"/>
    </row>
    <row r="70" spans="1:61" s="68" customFormat="1" ht="14.4" x14ac:dyDescent="0.3">
      <c r="A70" s="150" t="s">
        <v>69</v>
      </c>
      <c r="B70" s="328" t="s">
        <v>70</v>
      </c>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c r="AA70" s="328"/>
      <c r="AB70" s="328"/>
      <c r="AC70" s="328"/>
      <c r="AD70" s="328"/>
      <c r="AE70" s="328"/>
      <c r="AF70" s="328"/>
      <c r="AG70" s="328"/>
      <c r="AH70" s="328"/>
      <c r="AI70" s="328"/>
      <c r="AJ70" s="328"/>
      <c r="AK70" s="328"/>
      <c r="AL70" s="328"/>
      <c r="AM70" s="108"/>
      <c r="AN70" s="109"/>
      <c r="AO70" s="109"/>
      <c r="AP70" s="109"/>
      <c r="AQ70" s="109"/>
      <c r="AR70" s="109"/>
      <c r="AS70" s="109"/>
      <c r="AT70" s="109"/>
      <c r="AU70" s="109"/>
      <c r="AV70" s="109"/>
      <c r="AW70" s="109"/>
      <c r="AX70" s="109"/>
      <c r="AY70" s="109"/>
      <c r="AZ70" s="109"/>
      <c r="BA70" s="60"/>
      <c r="BB70" s="60"/>
      <c r="BC70" s="60"/>
      <c r="BD70" s="60"/>
      <c r="BE70" s="60"/>
      <c r="BF70" s="60"/>
      <c r="BG70" s="60"/>
      <c r="BH70" s="60"/>
      <c r="BI70" s="60"/>
    </row>
    <row r="71" spans="1:61" s="68" customFormat="1" ht="27.45" customHeight="1" x14ac:dyDescent="0.25">
      <c r="A71" s="508"/>
      <c r="B71" s="508"/>
      <c r="C71" s="508"/>
      <c r="D71" s="508"/>
      <c r="E71" s="508"/>
      <c r="F71" s="508"/>
      <c r="G71" s="508"/>
      <c r="H71" s="508"/>
      <c r="I71" s="508"/>
      <c r="J71" s="508"/>
      <c r="K71" s="508"/>
      <c r="L71" s="508"/>
      <c r="M71" s="508"/>
      <c r="N71" s="508"/>
      <c r="O71" s="508"/>
      <c r="P71" s="508"/>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109"/>
      <c r="AN71" s="109"/>
      <c r="AO71" s="109"/>
      <c r="AP71" s="109"/>
      <c r="AQ71" s="109"/>
      <c r="AR71" s="109"/>
      <c r="AS71" s="109"/>
      <c r="AT71" s="109"/>
      <c r="AU71" s="109"/>
      <c r="AV71" s="109"/>
      <c r="AW71" s="109"/>
      <c r="AX71" s="109"/>
      <c r="AY71" s="109"/>
      <c r="AZ71" s="109"/>
      <c r="BA71" s="60"/>
      <c r="BB71" s="60"/>
      <c r="BC71" s="60"/>
      <c r="BD71" s="60"/>
      <c r="BE71" s="60"/>
      <c r="BF71" s="60"/>
      <c r="BG71" s="60"/>
      <c r="BH71" s="60"/>
      <c r="BI71" s="60"/>
    </row>
    <row r="72" spans="1:61" s="68" customFormat="1" ht="30" customHeight="1" x14ac:dyDescent="0.25">
      <c r="A72" s="545"/>
      <c r="B72" s="545"/>
      <c r="C72" s="545"/>
      <c r="D72" s="545"/>
      <c r="E72" s="545"/>
      <c r="F72" s="545"/>
      <c r="G72" s="545"/>
      <c r="H72" s="545"/>
      <c r="I72" s="545"/>
      <c r="J72" s="545"/>
      <c r="K72" s="545"/>
      <c r="L72" s="545"/>
      <c r="M72" s="545"/>
      <c r="N72" s="545"/>
      <c r="O72" s="545"/>
      <c r="P72" s="545"/>
      <c r="Q72" s="545"/>
      <c r="R72" s="545"/>
      <c r="S72" s="545"/>
      <c r="T72" s="545"/>
      <c r="U72" s="545"/>
      <c r="V72" s="545"/>
      <c r="W72" s="545"/>
      <c r="X72" s="545"/>
      <c r="Y72" s="545"/>
      <c r="Z72" s="545"/>
      <c r="AA72" s="545"/>
      <c r="AB72" s="545"/>
      <c r="AC72" s="545"/>
      <c r="AD72" s="545"/>
      <c r="AE72" s="545"/>
      <c r="AF72" s="545"/>
      <c r="AG72" s="545"/>
      <c r="AH72" s="545"/>
      <c r="AI72" s="545"/>
      <c r="AJ72" s="545"/>
      <c r="AK72" s="545"/>
      <c r="AL72" s="545"/>
      <c r="AM72" s="109"/>
      <c r="AN72" s="109"/>
      <c r="AO72" s="109"/>
      <c r="AP72" s="109"/>
      <c r="AQ72" s="109"/>
      <c r="AR72" s="109"/>
      <c r="AS72" s="109"/>
      <c r="AT72" s="109"/>
      <c r="AU72" s="109"/>
      <c r="AV72" s="109"/>
      <c r="AW72" s="109"/>
      <c r="AX72" s="109"/>
      <c r="AY72" s="109"/>
      <c r="AZ72" s="109"/>
      <c r="BA72" s="60"/>
      <c r="BB72" s="60"/>
      <c r="BC72" s="60"/>
      <c r="BD72" s="60"/>
      <c r="BE72" s="60"/>
      <c r="BF72" s="60"/>
      <c r="BG72" s="60"/>
      <c r="BH72" s="60"/>
      <c r="BI72" s="60"/>
    </row>
    <row r="73" spans="1:61" s="85" customFormat="1" ht="14.4" x14ac:dyDescent="0.3">
      <c r="A73" s="150" t="s">
        <v>90</v>
      </c>
      <c r="B73" s="328" t="s">
        <v>674</v>
      </c>
      <c r="C73" s="328"/>
      <c r="D73" s="328"/>
      <c r="E73" s="328"/>
      <c r="F73" s="328"/>
      <c r="G73" s="328"/>
      <c r="H73" s="328"/>
      <c r="I73" s="328"/>
      <c r="J73" s="328"/>
      <c r="K73" s="328"/>
      <c r="L73" s="328"/>
      <c r="M73" s="328"/>
      <c r="N73" s="328"/>
      <c r="O73" s="328"/>
      <c r="P73" s="328"/>
      <c r="Q73" s="328"/>
      <c r="R73" s="328"/>
      <c r="S73" s="328"/>
      <c r="T73" s="328"/>
      <c r="U73" s="328"/>
      <c r="V73" s="328"/>
      <c r="W73" s="328"/>
      <c r="X73" s="328"/>
      <c r="Y73" s="328"/>
      <c r="Z73" s="328"/>
      <c r="AA73" s="328"/>
      <c r="AB73" s="328"/>
      <c r="AC73" s="328"/>
      <c r="AD73" s="328"/>
      <c r="AE73" s="328"/>
      <c r="AF73" s="328"/>
      <c r="AG73" s="328"/>
      <c r="AH73" s="328"/>
      <c r="AI73" s="328"/>
      <c r="AJ73" s="328"/>
      <c r="AK73" s="328"/>
      <c r="AL73" s="328"/>
      <c r="AM73" s="111"/>
      <c r="AN73" s="107"/>
      <c r="AO73" s="107"/>
      <c r="AP73" s="107"/>
      <c r="AQ73" s="107"/>
      <c r="AR73" s="107"/>
      <c r="AS73" s="107"/>
      <c r="AT73" s="107"/>
      <c r="AU73" s="107"/>
      <c r="AV73" s="107"/>
      <c r="AW73" s="107"/>
      <c r="AX73" s="107"/>
      <c r="AY73" s="107"/>
      <c r="AZ73" s="107"/>
      <c r="BA73" s="64"/>
      <c r="BB73" s="64"/>
      <c r="BC73" s="64"/>
      <c r="BD73" s="64"/>
      <c r="BE73" s="64"/>
      <c r="BF73" s="64"/>
      <c r="BG73" s="64"/>
      <c r="BH73" s="64"/>
      <c r="BI73" s="64"/>
    </row>
    <row r="74" spans="1:61" s="68" customFormat="1" ht="14.25" customHeight="1" x14ac:dyDescent="0.25">
      <c r="A74" s="289" t="s">
        <v>164</v>
      </c>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108"/>
      <c r="AN74" s="109"/>
      <c r="AO74" s="109"/>
      <c r="AP74" s="109"/>
      <c r="AQ74" s="109"/>
      <c r="AR74" s="109"/>
      <c r="AS74" s="109"/>
      <c r="AT74" s="109"/>
      <c r="AU74" s="109"/>
      <c r="AV74" s="109"/>
      <c r="AW74" s="109"/>
      <c r="AX74" s="109"/>
      <c r="AY74" s="109"/>
      <c r="AZ74" s="109"/>
      <c r="BA74" s="60"/>
      <c r="BB74" s="60"/>
      <c r="BC74" s="60"/>
      <c r="BD74" s="60"/>
      <c r="BE74" s="60"/>
      <c r="BF74" s="60"/>
      <c r="BG74" s="60"/>
      <c r="BH74" s="60"/>
      <c r="BI74" s="60"/>
    </row>
    <row r="75" spans="1:61" s="68" customFormat="1" ht="14.4" x14ac:dyDescent="0.25">
      <c r="A75" s="708"/>
      <c r="B75" s="708"/>
      <c r="C75" s="708"/>
      <c r="D75" s="708"/>
      <c r="E75" s="708"/>
      <c r="F75" s="708"/>
      <c r="G75" s="708"/>
      <c r="H75" s="708"/>
      <c r="I75" s="708"/>
      <c r="J75" s="708"/>
      <c r="K75" s="708"/>
      <c r="L75" s="708"/>
      <c r="M75" s="708"/>
      <c r="N75" s="708"/>
      <c r="O75" s="708"/>
      <c r="P75" s="708"/>
      <c r="Q75" s="708"/>
      <c r="R75" s="708"/>
      <c r="S75" s="708"/>
      <c r="T75" s="708"/>
      <c r="U75" s="708"/>
      <c r="V75" s="708"/>
      <c r="W75" s="708"/>
      <c r="X75" s="708"/>
      <c r="Y75" s="708"/>
      <c r="Z75" s="708"/>
      <c r="AA75" s="708"/>
      <c r="AB75" s="708"/>
      <c r="AC75" s="708"/>
      <c r="AD75" s="708"/>
      <c r="AE75" s="708"/>
      <c r="AF75" s="708"/>
      <c r="AG75" s="708"/>
      <c r="AH75" s="708"/>
      <c r="AI75" s="708"/>
      <c r="AJ75" s="708"/>
      <c r="AK75" s="708"/>
      <c r="AL75" s="708"/>
      <c r="AM75" s="109"/>
      <c r="AN75" s="109"/>
      <c r="AO75" s="109"/>
      <c r="AP75" s="109"/>
      <c r="AQ75" s="109"/>
      <c r="AR75" s="109"/>
      <c r="AS75" s="109"/>
      <c r="AT75" s="109"/>
      <c r="AU75" s="109"/>
      <c r="AV75" s="109"/>
      <c r="AW75" s="109"/>
      <c r="AX75" s="109"/>
      <c r="AY75" s="109"/>
      <c r="AZ75" s="109"/>
      <c r="BA75" s="60"/>
      <c r="BB75" s="60"/>
      <c r="BC75" s="60"/>
      <c r="BD75" s="60"/>
      <c r="BE75" s="60"/>
      <c r="BF75" s="60"/>
      <c r="BG75" s="60"/>
      <c r="BH75" s="60"/>
      <c r="BI75" s="60"/>
    </row>
    <row r="76" spans="1:61" s="68" customFormat="1" ht="14.4" x14ac:dyDescent="0.25">
      <c r="A76" s="508"/>
      <c r="B76" s="508"/>
      <c r="C76" s="508"/>
      <c r="D76" s="508"/>
      <c r="E76" s="508"/>
      <c r="F76" s="508"/>
      <c r="G76" s="508"/>
      <c r="H76" s="508"/>
      <c r="I76" s="508"/>
      <c r="J76" s="508"/>
      <c r="K76" s="508"/>
      <c r="L76" s="508"/>
      <c r="M76" s="508"/>
      <c r="N76" s="508"/>
      <c r="O76" s="508"/>
      <c r="P76" s="508"/>
      <c r="Q76" s="508"/>
      <c r="R76" s="508"/>
      <c r="S76" s="508"/>
      <c r="T76" s="508"/>
      <c r="U76" s="508"/>
      <c r="V76" s="508"/>
      <c r="W76" s="508"/>
      <c r="X76" s="508"/>
      <c r="Y76" s="508"/>
      <c r="Z76" s="508"/>
      <c r="AA76" s="508"/>
      <c r="AB76" s="508"/>
      <c r="AC76" s="508"/>
      <c r="AD76" s="508"/>
      <c r="AE76" s="508"/>
      <c r="AF76" s="508"/>
      <c r="AG76" s="508"/>
      <c r="AH76" s="508"/>
      <c r="AI76" s="508"/>
      <c r="AJ76" s="508"/>
      <c r="AK76" s="508"/>
      <c r="AL76" s="508"/>
      <c r="AM76" s="125"/>
      <c r="AN76" s="109"/>
      <c r="AO76" s="109"/>
      <c r="AP76" s="109"/>
      <c r="AQ76" s="109"/>
      <c r="AR76" s="109"/>
      <c r="AS76" s="109"/>
      <c r="AT76" s="109"/>
      <c r="AU76" s="109"/>
      <c r="AV76" s="109"/>
      <c r="AW76" s="109"/>
      <c r="AX76" s="109"/>
      <c r="AY76" s="109"/>
      <c r="AZ76" s="109"/>
      <c r="BA76" s="60"/>
      <c r="BB76" s="60"/>
      <c r="BC76" s="60"/>
      <c r="BD76" s="60"/>
      <c r="BE76" s="60"/>
      <c r="BF76" s="60"/>
      <c r="BG76" s="60"/>
      <c r="BH76" s="60"/>
      <c r="BI76" s="60"/>
    </row>
    <row r="77" spans="1:61" s="68" customFormat="1" ht="14.4" x14ac:dyDescent="0.3">
      <c r="A77" s="739"/>
      <c r="B77" s="739"/>
      <c r="C77" s="739"/>
      <c r="D77" s="739"/>
      <c r="E77" s="739"/>
      <c r="F77" s="739"/>
      <c r="G77" s="739"/>
      <c r="H77" s="739"/>
      <c r="I77" s="739"/>
      <c r="J77" s="739"/>
      <c r="K77" s="739"/>
      <c r="L77" s="739"/>
      <c r="M77" s="739"/>
      <c r="N77" s="739"/>
      <c r="O77" s="739"/>
      <c r="P77" s="739"/>
      <c r="Q77" s="739"/>
      <c r="R77" s="739"/>
      <c r="S77" s="739"/>
      <c r="T77" s="739"/>
      <c r="U77" s="739"/>
      <c r="V77" s="739"/>
      <c r="W77" s="739"/>
      <c r="X77" s="739"/>
      <c r="Y77" s="739"/>
      <c r="Z77" s="739"/>
      <c r="AA77" s="739"/>
      <c r="AB77" s="739"/>
      <c r="AC77" s="739"/>
      <c r="AD77" s="739"/>
      <c r="AE77" s="739"/>
      <c r="AF77" s="739"/>
      <c r="AG77" s="739"/>
      <c r="AH77" s="739"/>
      <c r="AI77" s="739"/>
      <c r="AJ77" s="739"/>
      <c r="AK77" s="739"/>
      <c r="AL77" s="739"/>
      <c r="AM77" s="125"/>
      <c r="AN77" s="109"/>
      <c r="AO77" s="109"/>
      <c r="AP77" s="109"/>
      <c r="AQ77" s="109"/>
      <c r="AR77" s="109"/>
      <c r="AS77" s="109"/>
      <c r="AT77" s="109"/>
      <c r="AU77" s="109"/>
      <c r="AV77" s="109"/>
      <c r="AW77" s="109"/>
      <c r="AX77" s="109"/>
      <c r="AY77" s="109"/>
      <c r="AZ77" s="109"/>
      <c r="BA77" s="60"/>
      <c r="BB77" s="60"/>
      <c r="BC77" s="60"/>
      <c r="BD77" s="60"/>
      <c r="BE77" s="60"/>
      <c r="BF77" s="60"/>
      <c r="BG77" s="60"/>
      <c r="BH77" s="60"/>
      <c r="BI77" s="60"/>
    </row>
    <row r="78" spans="1:61" s="68" customFormat="1" ht="14.4" x14ac:dyDescent="0.25">
      <c r="A78" s="149" t="s">
        <v>91</v>
      </c>
      <c r="B78" s="351" t="s">
        <v>132</v>
      </c>
      <c r="C78" s="351"/>
      <c r="D78" s="351"/>
      <c r="E78" s="351"/>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c r="AH78" s="351"/>
      <c r="AI78" s="351"/>
      <c r="AJ78" s="351"/>
      <c r="AK78" s="351"/>
      <c r="AL78" s="351"/>
      <c r="AM78" s="738"/>
      <c r="AN78" s="738"/>
      <c r="AO78" s="738"/>
      <c r="AP78" s="738"/>
      <c r="AQ78" s="738"/>
      <c r="AR78" s="738"/>
      <c r="AS78" s="738"/>
      <c r="AT78" s="738"/>
      <c r="AU78" s="738"/>
      <c r="AV78" s="109"/>
      <c r="AW78" s="109"/>
      <c r="AX78" s="109"/>
      <c r="AY78" s="109"/>
      <c r="AZ78" s="109"/>
      <c r="BA78" s="60"/>
      <c r="BB78" s="60"/>
      <c r="BC78" s="60"/>
      <c r="BD78" s="60"/>
      <c r="BE78" s="60"/>
      <c r="BF78" s="60"/>
      <c r="BG78" s="60"/>
      <c r="BH78" s="60"/>
      <c r="BI78" s="60"/>
    </row>
    <row r="79" spans="1:61" s="68" customFormat="1" ht="69.75" customHeight="1" x14ac:dyDescent="0.25">
      <c r="A79" s="508"/>
      <c r="B79" s="508"/>
      <c r="C79" s="508"/>
      <c r="D79" s="508"/>
      <c r="E79" s="508"/>
      <c r="F79" s="508"/>
      <c r="G79" s="508"/>
      <c r="H79" s="508"/>
      <c r="I79" s="508"/>
      <c r="J79" s="508"/>
      <c r="K79" s="508"/>
      <c r="L79" s="508"/>
      <c r="M79" s="508"/>
      <c r="N79" s="508"/>
      <c r="O79" s="508"/>
      <c r="P79" s="508"/>
      <c r="Q79" s="508"/>
      <c r="R79" s="508"/>
      <c r="S79" s="508"/>
      <c r="T79" s="508"/>
      <c r="U79" s="508"/>
      <c r="V79" s="508"/>
      <c r="W79" s="508"/>
      <c r="X79" s="508"/>
      <c r="Y79" s="508"/>
      <c r="Z79" s="508"/>
      <c r="AA79" s="508"/>
      <c r="AB79" s="508"/>
      <c r="AC79" s="508"/>
      <c r="AD79" s="508"/>
      <c r="AE79" s="508"/>
      <c r="AF79" s="508"/>
      <c r="AG79" s="508"/>
      <c r="AH79" s="508"/>
      <c r="AI79" s="508"/>
      <c r="AJ79" s="508"/>
      <c r="AK79" s="508"/>
      <c r="AL79" s="508"/>
      <c r="AM79" s="738"/>
      <c r="AN79" s="738"/>
      <c r="AO79" s="738"/>
      <c r="AP79" s="738"/>
      <c r="AQ79" s="738"/>
      <c r="AR79" s="738"/>
      <c r="AS79" s="738"/>
      <c r="AT79" s="738"/>
      <c r="AU79" s="738"/>
      <c r="AV79" s="109"/>
      <c r="AW79" s="109"/>
      <c r="AX79" s="109"/>
      <c r="AY79" s="109"/>
      <c r="AZ79" s="109"/>
      <c r="BA79" s="60"/>
      <c r="BB79" s="60"/>
      <c r="BC79" s="60"/>
      <c r="BD79" s="60"/>
      <c r="BE79" s="60"/>
      <c r="BF79" s="60"/>
      <c r="BG79" s="60"/>
      <c r="BH79" s="60"/>
      <c r="BI79" s="60"/>
    </row>
    <row r="80" spans="1:61" s="68" customFormat="1" ht="15.75" customHeight="1" x14ac:dyDescent="0.25">
      <c r="A80" s="328" t="s">
        <v>1102</v>
      </c>
      <c r="B80" s="328"/>
      <c r="C80" s="328"/>
      <c r="D80" s="328"/>
      <c r="E80" s="328"/>
      <c r="F80" s="328"/>
      <c r="G80" s="328"/>
      <c r="H80" s="328"/>
      <c r="I80" s="328"/>
      <c r="J80" s="328"/>
      <c r="K80" s="328"/>
      <c r="L80" s="328"/>
      <c r="M80" s="328"/>
      <c r="N80" s="328"/>
      <c r="O80" s="328"/>
      <c r="P80" s="328"/>
      <c r="Q80" s="328"/>
      <c r="R80" s="328"/>
      <c r="S80" s="328"/>
      <c r="T80" s="328"/>
      <c r="U80" s="328"/>
      <c r="V80" s="328"/>
      <c r="W80" s="328"/>
      <c r="X80" s="328"/>
      <c r="Y80" s="328"/>
      <c r="Z80" s="328"/>
      <c r="AA80" s="328"/>
      <c r="AB80" s="328"/>
      <c r="AC80" s="328"/>
      <c r="AD80" s="328"/>
      <c r="AE80" s="328"/>
      <c r="AF80" s="328"/>
      <c r="AG80" s="328"/>
      <c r="AH80" s="328"/>
      <c r="AI80" s="328"/>
      <c r="AJ80" s="328"/>
      <c r="AK80" s="328"/>
      <c r="AL80" s="328"/>
      <c r="AM80" s="112" t="s">
        <v>156</v>
      </c>
      <c r="AN80" s="113"/>
      <c r="AO80" s="113"/>
      <c r="AP80" s="143"/>
      <c r="AQ80" s="143"/>
      <c r="AR80" s="143"/>
      <c r="AS80" s="143"/>
      <c r="AT80" s="143"/>
      <c r="AU80" s="143"/>
      <c r="AV80" s="109"/>
      <c r="AW80" s="109"/>
      <c r="AX80" s="109"/>
      <c r="AY80" s="109"/>
      <c r="AZ80" s="109"/>
      <c r="BA80" s="60"/>
      <c r="BB80" s="60"/>
      <c r="BC80" s="60"/>
      <c r="BD80" s="60"/>
      <c r="BE80" s="60"/>
      <c r="BF80" s="60"/>
      <c r="BG80" s="60"/>
      <c r="BH80" s="60"/>
      <c r="BI80" s="60"/>
    </row>
    <row r="81" spans="1:61" s="68" customFormat="1" ht="14.4" x14ac:dyDescent="0.25">
      <c r="A81" s="328" t="s">
        <v>1085</v>
      </c>
      <c r="B81" s="328"/>
      <c r="C81" s="328"/>
      <c r="D81" s="328"/>
      <c r="E81" s="328"/>
      <c r="F81" s="328"/>
      <c r="G81" s="328"/>
      <c r="H81" s="328"/>
      <c r="I81" s="328"/>
      <c r="J81" s="328"/>
      <c r="K81" s="328"/>
      <c r="L81" s="328"/>
      <c r="M81" s="328"/>
      <c r="N81" s="328"/>
      <c r="O81" s="328"/>
      <c r="P81" s="328"/>
      <c r="Q81" s="328"/>
      <c r="R81" s="328"/>
      <c r="S81" s="328"/>
      <c r="T81" s="328"/>
      <c r="U81" s="328"/>
      <c r="V81" s="328"/>
      <c r="W81" s="328"/>
      <c r="X81" s="328"/>
      <c r="Y81" s="328"/>
      <c r="Z81" s="328"/>
      <c r="AA81" s="328"/>
      <c r="AB81" s="328"/>
      <c r="AC81" s="328"/>
      <c r="AD81" s="328"/>
      <c r="AE81" s="328"/>
      <c r="AF81" s="328"/>
      <c r="AG81" s="328"/>
      <c r="AH81" s="328"/>
      <c r="AI81" s="328"/>
      <c r="AJ81" s="328"/>
      <c r="AK81" s="328"/>
      <c r="AL81" s="328"/>
      <c r="AM81" s="108"/>
      <c r="AN81" s="109"/>
      <c r="AO81" s="109"/>
      <c r="AP81" s="109"/>
      <c r="AQ81" s="109"/>
      <c r="AR81" s="109"/>
      <c r="AS81" s="109"/>
      <c r="AT81" s="109"/>
      <c r="AU81" s="109"/>
      <c r="AV81" s="109"/>
      <c r="AW81" s="109"/>
      <c r="AX81" s="109"/>
      <c r="AY81" s="109"/>
      <c r="AZ81" s="109"/>
      <c r="BA81" s="60"/>
      <c r="BB81" s="60"/>
      <c r="BC81" s="60"/>
      <c r="BD81" s="60"/>
      <c r="BE81" s="60"/>
      <c r="BF81" s="60"/>
      <c r="BG81" s="60"/>
      <c r="BH81" s="60"/>
      <c r="BI81" s="60"/>
    </row>
    <row r="82" spans="1:61" s="68" customFormat="1" ht="14.4" x14ac:dyDescent="0.25">
      <c r="A82" s="443"/>
      <c r="B82" s="443"/>
      <c r="C82" s="443"/>
      <c r="D82" s="443"/>
      <c r="E82" s="443"/>
      <c r="F82" s="443"/>
      <c r="G82" s="443"/>
      <c r="H82" s="443"/>
      <c r="I82" s="443"/>
      <c r="J82" s="443"/>
      <c r="K82" s="443"/>
      <c r="L82" s="443"/>
      <c r="M82" s="443"/>
      <c r="N82" s="443"/>
      <c r="O82" s="443"/>
      <c r="P82" s="443"/>
      <c r="Q82" s="443"/>
      <c r="R82" s="443"/>
      <c r="S82" s="443"/>
      <c r="T82" s="443"/>
      <c r="U82" s="443"/>
      <c r="V82" s="443"/>
      <c r="W82" s="443"/>
      <c r="X82" s="443"/>
      <c r="Y82" s="443"/>
      <c r="Z82" s="443"/>
      <c r="AA82" s="443"/>
      <c r="AB82" s="443"/>
      <c r="AC82" s="443"/>
      <c r="AD82" s="443"/>
      <c r="AE82" s="443"/>
      <c r="AF82" s="443"/>
      <c r="AG82" s="443"/>
      <c r="AH82" s="443"/>
      <c r="AI82" s="443"/>
      <c r="AJ82" s="443"/>
      <c r="AK82" s="443"/>
      <c r="AL82" s="443"/>
      <c r="AM82" s="109"/>
      <c r="AN82" s="109"/>
      <c r="AO82" s="109"/>
      <c r="AP82" s="109"/>
      <c r="AQ82" s="109"/>
      <c r="AR82" s="109"/>
      <c r="AS82" s="109"/>
      <c r="AT82" s="109"/>
      <c r="AU82" s="109"/>
      <c r="AV82" s="109"/>
      <c r="AW82" s="109"/>
      <c r="AX82" s="109"/>
      <c r="AY82" s="109"/>
      <c r="AZ82" s="109"/>
      <c r="BA82" s="60"/>
      <c r="BB82" s="60"/>
      <c r="BC82" s="60"/>
      <c r="BD82" s="60"/>
      <c r="BE82" s="60"/>
      <c r="BF82" s="60"/>
      <c r="BG82" s="60"/>
      <c r="BH82" s="60"/>
      <c r="BI82" s="60"/>
    </row>
    <row r="83" spans="1:61" s="68" customFormat="1" ht="18" customHeight="1" x14ac:dyDescent="0.25">
      <c r="A83" s="308" t="s">
        <v>1096</v>
      </c>
      <c r="B83" s="332"/>
      <c r="C83" s="332"/>
      <c r="D83" s="332"/>
      <c r="E83" s="332"/>
      <c r="F83" s="332"/>
      <c r="G83" s="332"/>
      <c r="H83" s="332"/>
      <c r="I83" s="332"/>
      <c r="J83" s="332"/>
      <c r="K83" s="332"/>
      <c r="L83" s="332"/>
      <c r="M83" s="332"/>
      <c r="N83" s="332"/>
      <c r="O83" s="332"/>
      <c r="P83" s="332"/>
      <c r="Q83" s="332"/>
      <c r="R83" s="332"/>
      <c r="S83" s="332"/>
      <c r="T83" s="332"/>
      <c r="U83" s="332"/>
      <c r="V83" s="332"/>
      <c r="W83" s="332"/>
      <c r="X83" s="332"/>
      <c r="Y83" s="332"/>
      <c r="Z83" s="332"/>
      <c r="AA83" s="332"/>
      <c r="AB83" s="332"/>
      <c r="AC83" s="332"/>
      <c r="AD83" s="332"/>
      <c r="AE83" s="332"/>
      <c r="AF83" s="332"/>
      <c r="AG83" s="332"/>
      <c r="AH83" s="332"/>
      <c r="AI83" s="332"/>
      <c r="AJ83" s="332"/>
      <c r="AK83" s="332"/>
      <c r="AL83" s="332"/>
      <c r="AM83" s="738"/>
      <c r="AN83" s="738"/>
      <c r="AO83" s="738"/>
      <c r="AP83" s="738"/>
      <c r="AQ83" s="738"/>
      <c r="AR83" s="738"/>
      <c r="AS83" s="738"/>
      <c r="AT83" s="738"/>
      <c r="AU83" s="109"/>
      <c r="AV83" s="109"/>
      <c r="AW83" s="109"/>
      <c r="AX83" s="109"/>
      <c r="AY83" s="109"/>
      <c r="AZ83" s="109"/>
      <c r="BA83" s="60"/>
      <c r="BB83" s="60"/>
      <c r="BC83" s="60"/>
      <c r="BD83" s="60"/>
      <c r="BE83" s="60"/>
      <c r="BF83" s="60"/>
      <c r="BG83" s="60"/>
      <c r="BH83" s="60"/>
      <c r="BI83" s="60"/>
    </row>
    <row r="84" spans="1:61" s="68" customFormat="1" ht="14.4" x14ac:dyDescent="0.25">
      <c r="A84" s="710"/>
      <c r="B84" s="710"/>
      <c r="C84" s="710"/>
      <c r="D84" s="710"/>
      <c r="E84" s="710"/>
      <c r="F84" s="710"/>
      <c r="G84" s="710"/>
      <c r="H84" s="710"/>
      <c r="I84" s="710"/>
      <c r="J84" s="710"/>
      <c r="K84" s="710"/>
      <c r="L84" s="710"/>
      <c r="M84" s="710"/>
      <c r="N84" s="710"/>
      <c r="O84" s="710"/>
      <c r="P84" s="710"/>
      <c r="Q84" s="710"/>
      <c r="R84" s="710"/>
      <c r="S84" s="710"/>
      <c r="T84" s="710"/>
      <c r="U84" s="710"/>
      <c r="V84" s="710"/>
      <c r="W84" s="710"/>
      <c r="X84" s="710"/>
      <c r="Y84" s="710"/>
      <c r="Z84" s="710"/>
      <c r="AA84" s="710"/>
      <c r="AB84" s="710"/>
      <c r="AC84" s="710"/>
      <c r="AD84" s="710"/>
      <c r="AE84" s="710"/>
      <c r="AF84" s="710"/>
      <c r="AG84" s="710"/>
      <c r="AH84" s="710"/>
      <c r="AI84" s="710"/>
      <c r="AJ84" s="710"/>
      <c r="AK84" s="710"/>
      <c r="AL84" s="710"/>
      <c r="AM84" s="109"/>
      <c r="AN84" s="109"/>
      <c r="AO84" s="109"/>
      <c r="AP84" s="109"/>
      <c r="AQ84" s="109"/>
      <c r="AR84" s="109"/>
      <c r="AS84" s="109"/>
      <c r="AT84" s="109"/>
      <c r="AU84" s="109"/>
      <c r="AV84" s="109"/>
      <c r="AW84" s="109"/>
      <c r="AX84" s="109"/>
      <c r="AY84" s="109"/>
      <c r="AZ84" s="109"/>
      <c r="BA84" s="60"/>
      <c r="BB84" s="60"/>
      <c r="BC84" s="60"/>
      <c r="BD84" s="60"/>
      <c r="BE84" s="60"/>
      <c r="BF84" s="60"/>
      <c r="BG84" s="60"/>
      <c r="BH84" s="60"/>
      <c r="BI84" s="60"/>
    </row>
    <row r="85" spans="1:61" s="68" customFormat="1" ht="16.5" customHeight="1" x14ac:dyDescent="0.25">
      <c r="A85" s="308" t="s">
        <v>1097</v>
      </c>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08"/>
      <c r="AH85" s="308"/>
      <c r="AI85" s="308"/>
      <c r="AJ85" s="308"/>
      <c r="AK85" s="308"/>
      <c r="AL85" s="308"/>
      <c r="AM85" s="108"/>
      <c r="AN85" s="109"/>
      <c r="AO85" s="109"/>
      <c r="AP85" s="109"/>
      <c r="AQ85" s="109"/>
      <c r="AR85" s="109"/>
      <c r="AS85" s="109"/>
      <c r="AT85" s="109"/>
      <c r="AU85" s="109"/>
      <c r="AV85" s="109"/>
      <c r="AW85" s="109"/>
      <c r="AX85" s="109"/>
      <c r="AY85" s="109"/>
      <c r="AZ85" s="109"/>
      <c r="BA85" s="60"/>
      <c r="BB85" s="60"/>
      <c r="BC85" s="60"/>
      <c r="BD85" s="60"/>
      <c r="BE85" s="60"/>
      <c r="BF85" s="60"/>
      <c r="BG85" s="60"/>
      <c r="BH85" s="60"/>
      <c r="BI85" s="60"/>
    </row>
    <row r="86" spans="1:61" s="68" customFormat="1" ht="14.4" x14ac:dyDescent="0.25">
      <c r="A86" s="710"/>
      <c r="B86" s="710"/>
      <c r="C86" s="710"/>
      <c r="D86" s="710"/>
      <c r="E86" s="710"/>
      <c r="F86" s="710"/>
      <c r="G86" s="710"/>
      <c r="H86" s="710"/>
      <c r="I86" s="710"/>
      <c r="J86" s="710"/>
      <c r="K86" s="710"/>
      <c r="L86" s="710"/>
      <c r="M86" s="710"/>
      <c r="N86" s="710"/>
      <c r="O86" s="710"/>
      <c r="P86" s="710"/>
      <c r="Q86" s="710"/>
      <c r="R86" s="710"/>
      <c r="S86" s="710"/>
      <c r="T86" s="710"/>
      <c r="U86" s="710"/>
      <c r="V86" s="710"/>
      <c r="W86" s="710"/>
      <c r="X86" s="710"/>
      <c r="Y86" s="710"/>
      <c r="Z86" s="710"/>
      <c r="AA86" s="710"/>
      <c r="AB86" s="710"/>
      <c r="AC86" s="710"/>
      <c r="AD86" s="710"/>
      <c r="AE86" s="710"/>
      <c r="AF86" s="710"/>
      <c r="AG86" s="710"/>
      <c r="AH86" s="710"/>
      <c r="AI86" s="710"/>
      <c r="AJ86" s="710"/>
      <c r="AK86" s="710"/>
      <c r="AL86" s="710"/>
      <c r="AM86" s="109"/>
      <c r="AN86" s="109"/>
      <c r="AO86" s="109"/>
      <c r="AP86" s="114"/>
      <c r="AQ86" s="114"/>
      <c r="AR86" s="114"/>
      <c r="AS86" s="114"/>
      <c r="AT86" s="114"/>
      <c r="AU86" s="114"/>
      <c r="AV86" s="114"/>
      <c r="AW86" s="109"/>
      <c r="AX86" s="109"/>
      <c r="AY86" s="109"/>
      <c r="AZ86" s="109"/>
      <c r="BA86" s="60"/>
      <c r="BB86" s="60"/>
      <c r="BC86" s="60"/>
      <c r="BD86" s="60"/>
      <c r="BE86" s="60"/>
      <c r="BF86" s="60"/>
      <c r="BG86" s="60"/>
      <c r="BH86" s="60"/>
      <c r="BI86" s="60"/>
    </row>
    <row r="87" spans="1:61" s="68" customFormat="1" ht="15.75" customHeight="1" x14ac:dyDescent="0.25">
      <c r="A87" s="308" t="s">
        <v>1098</v>
      </c>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c r="AD87" s="308"/>
      <c r="AE87" s="308"/>
      <c r="AF87" s="308"/>
      <c r="AG87" s="308"/>
      <c r="AH87" s="308"/>
      <c r="AI87" s="308"/>
      <c r="AJ87" s="308"/>
      <c r="AK87" s="308"/>
      <c r="AL87" s="308"/>
      <c r="AM87" s="738"/>
      <c r="AN87" s="738"/>
      <c r="AO87" s="738"/>
      <c r="AP87" s="738"/>
      <c r="AQ87" s="738"/>
      <c r="AR87" s="738"/>
      <c r="AS87" s="738"/>
      <c r="AT87" s="738"/>
      <c r="AU87" s="738"/>
      <c r="AV87" s="738"/>
      <c r="AW87" s="109"/>
      <c r="AX87" s="109"/>
      <c r="AY87" s="109"/>
      <c r="AZ87" s="109"/>
      <c r="BA87" s="60"/>
      <c r="BB87" s="60"/>
      <c r="BC87" s="60"/>
      <c r="BD87" s="60"/>
      <c r="BE87" s="60"/>
      <c r="BF87" s="60"/>
      <c r="BG87" s="60"/>
      <c r="BH87" s="60"/>
      <c r="BI87" s="60"/>
    </row>
    <row r="88" spans="1:61" s="68" customFormat="1" ht="14.4" x14ac:dyDescent="0.25">
      <c r="A88" s="708"/>
      <c r="B88" s="708"/>
      <c r="C88" s="708"/>
      <c r="D88" s="708"/>
      <c r="E88" s="708"/>
      <c r="F88" s="708"/>
      <c r="G88" s="708"/>
      <c r="H88" s="708"/>
      <c r="I88" s="708"/>
      <c r="J88" s="708"/>
      <c r="K88" s="708"/>
      <c r="L88" s="708"/>
      <c r="M88" s="708"/>
      <c r="N88" s="708"/>
      <c r="O88" s="708"/>
      <c r="P88" s="708"/>
      <c r="Q88" s="708"/>
      <c r="R88" s="708"/>
      <c r="S88" s="708"/>
      <c r="T88" s="708"/>
      <c r="U88" s="708"/>
      <c r="V88" s="708"/>
      <c r="W88" s="708"/>
      <c r="X88" s="708"/>
      <c r="Y88" s="708"/>
      <c r="Z88" s="708"/>
      <c r="AA88" s="708"/>
      <c r="AB88" s="708"/>
      <c r="AC88" s="708"/>
      <c r="AD88" s="708"/>
      <c r="AE88" s="708"/>
      <c r="AF88" s="708"/>
      <c r="AG88" s="708"/>
      <c r="AH88" s="708"/>
      <c r="AI88" s="708"/>
      <c r="AJ88" s="708"/>
      <c r="AK88" s="708"/>
      <c r="AL88" s="708"/>
      <c r="AM88" s="109"/>
      <c r="AN88" s="109"/>
      <c r="AO88" s="109"/>
      <c r="AP88" s="114"/>
      <c r="AQ88" s="114"/>
      <c r="AR88" s="114"/>
      <c r="AS88" s="114"/>
      <c r="AT88" s="114"/>
      <c r="AU88" s="114"/>
      <c r="AV88" s="114"/>
      <c r="AW88" s="109"/>
      <c r="AX88" s="109"/>
      <c r="AY88" s="109"/>
      <c r="AZ88" s="109"/>
      <c r="BA88" s="60"/>
      <c r="BB88" s="60"/>
      <c r="BC88" s="60"/>
      <c r="BD88" s="60"/>
      <c r="BE88" s="60"/>
      <c r="BF88" s="60"/>
      <c r="BG88" s="60"/>
      <c r="BH88" s="60"/>
      <c r="BI88" s="60"/>
    </row>
    <row r="89" spans="1:61" s="68" customFormat="1" ht="19.5" customHeight="1" x14ac:dyDescent="0.25">
      <c r="A89" s="308" t="s">
        <v>1099</v>
      </c>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c r="AD89" s="308"/>
      <c r="AE89" s="308"/>
      <c r="AF89" s="308"/>
      <c r="AG89" s="308"/>
      <c r="AH89" s="308"/>
      <c r="AI89" s="308"/>
      <c r="AJ89" s="308"/>
      <c r="AK89" s="308"/>
      <c r="AL89" s="308"/>
      <c r="AM89" s="738"/>
      <c r="AN89" s="738"/>
      <c r="AO89" s="738"/>
      <c r="AP89" s="738"/>
      <c r="AQ89" s="738"/>
      <c r="AR89" s="738"/>
      <c r="AS89" s="738"/>
      <c r="AT89" s="738"/>
      <c r="AU89" s="738"/>
      <c r="AV89" s="738"/>
      <c r="AW89" s="109"/>
      <c r="AX89" s="109"/>
      <c r="AY89" s="109"/>
      <c r="AZ89" s="109"/>
      <c r="BA89" s="60"/>
      <c r="BB89" s="60"/>
      <c r="BC89" s="60"/>
      <c r="BD89" s="60"/>
      <c r="BE89" s="60"/>
      <c r="BF89" s="60"/>
      <c r="BG89" s="60"/>
      <c r="BH89" s="60"/>
      <c r="BI89" s="60"/>
    </row>
    <row r="90" spans="1:61" s="68" customFormat="1" ht="14.4" x14ac:dyDescent="0.25">
      <c r="A90" s="710"/>
      <c r="B90" s="710"/>
      <c r="C90" s="710"/>
      <c r="D90" s="710"/>
      <c r="E90" s="710"/>
      <c r="F90" s="710"/>
      <c r="G90" s="710"/>
      <c r="H90" s="710"/>
      <c r="I90" s="710"/>
      <c r="J90" s="710"/>
      <c r="K90" s="710"/>
      <c r="L90" s="710"/>
      <c r="M90" s="710"/>
      <c r="N90" s="710"/>
      <c r="O90" s="710"/>
      <c r="P90" s="710"/>
      <c r="Q90" s="710"/>
      <c r="R90" s="710"/>
      <c r="S90" s="710"/>
      <c r="T90" s="710"/>
      <c r="U90" s="710"/>
      <c r="V90" s="710"/>
      <c r="W90" s="710"/>
      <c r="X90" s="710"/>
      <c r="Y90" s="710"/>
      <c r="Z90" s="710"/>
      <c r="AA90" s="710"/>
      <c r="AB90" s="710"/>
      <c r="AC90" s="710"/>
      <c r="AD90" s="710"/>
      <c r="AE90" s="710"/>
      <c r="AF90" s="710"/>
      <c r="AG90" s="710"/>
      <c r="AH90" s="710"/>
      <c r="AI90" s="710"/>
      <c r="AJ90" s="710"/>
      <c r="AK90" s="710"/>
      <c r="AL90" s="710"/>
      <c r="AM90" s="738"/>
      <c r="AN90" s="738"/>
      <c r="AO90" s="738"/>
      <c r="AP90" s="738"/>
      <c r="AQ90" s="738"/>
      <c r="AR90" s="738"/>
      <c r="AS90" s="738"/>
      <c r="AT90" s="738"/>
      <c r="AU90" s="738"/>
      <c r="AV90" s="114"/>
      <c r="AW90" s="109"/>
      <c r="AX90" s="109"/>
      <c r="AY90" s="109"/>
      <c r="AZ90" s="109"/>
      <c r="BA90" s="60"/>
      <c r="BB90" s="60"/>
      <c r="BC90" s="60"/>
      <c r="BD90" s="60"/>
      <c r="BE90" s="60"/>
      <c r="BF90" s="60"/>
      <c r="BG90" s="60"/>
      <c r="BH90" s="60"/>
      <c r="BI90" s="60"/>
    </row>
    <row r="91" spans="1:61" s="68" customFormat="1" ht="16.5" customHeight="1" x14ac:dyDescent="0.25">
      <c r="A91" s="308" t="s">
        <v>1100</v>
      </c>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08"/>
      <c r="AH91" s="308"/>
      <c r="AI91" s="308"/>
      <c r="AJ91" s="308"/>
      <c r="AK91" s="308"/>
      <c r="AL91" s="308"/>
      <c r="AM91" s="738"/>
      <c r="AN91" s="738"/>
      <c r="AO91" s="738"/>
      <c r="AP91" s="738"/>
      <c r="AQ91" s="738"/>
      <c r="AR91" s="738"/>
      <c r="AS91" s="738"/>
      <c r="AT91" s="738"/>
      <c r="AU91" s="738"/>
      <c r="AV91" s="113"/>
      <c r="AW91" s="113"/>
      <c r="AX91" s="113"/>
      <c r="AY91" s="109"/>
      <c r="AZ91" s="109"/>
      <c r="BA91" s="60"/>
      <c r="BB91" s="60"/>
      <c r="BC91" s="60"/>
      <c r="BD91" s="60"/>
      <c r="BE91" s="60"/>
      <c r="BF91" s="60"/>
      <c r="BG91" s="60"/>
      <c r="BH91" s="60"/>
      <c r="BI91" s="60"/>
    </row>
    <row r="92" spans="1:61" s="68" customFormat="1" ht="15" customHeight="1" x14ac:dyDescent="0.25">
      <c r="A92" s="708"/>
      <c r="B92" s="708"/>
      <c r="C92" s="708"/>
      <c r="D92" s="708"/>
      <c r="E92" s="708"/>
      <c r="F92" s="708"/>
      <c r="G92" s="708"/>
      <c r="H92" s="708"/>
      <c r="I92" s="708"/>
      <c r="J92" s="708"/>
      <c r="K92" s="708"/>
      <c r="L92" s="708"/>
      <c r="M92" s="708"/>
      <c r="N92" s="708"/>
      <c r="O92" s="708"/>
      <c r="P92" s="708"/>
      <c r="Q92" s="708"/>
      <c r="R92" s="708"/>
      <c r="S92" s="708"/>
      <c r="T92" s="708"/>
      <c r="U92" s="708"/>
      <c r="V92" s="708"/>
      <c r="W92" s="708"/>
      <c r="X92" s="708"/>
      <c r="Y92" s="708"/>
      <c r="Z92" s="708"/>
      <c r="AA92" s="708"/>
      <c r="AB92" s="708"/>
      <c r="AC92" s="708"/>
      <c r="AD92" s="708"/>
      <c r="AE92" s="708"/>
      <c r="AF92" s="708"/>
      <c r="AG92" s="708"/>
      <c r="AH92" s="708"/>
      <c r="AI92" s="708"/>
      <c r="AJ92" s="708"/>
      <c r="AK92" s="708"/>
      <c r="AL92" s="708"/>
      <c r="AM92" s="126"/>
      <c r="AN92" s="126"/>
      <c r="AO92" s="126"/>
      <c r="AP92" s="126"/>
      <c r="AQ92" s="126"/>
      <c r="AR92" s="126"/>
      <c r="AS92" s="126"/>
      <c r="AT92" s="126"/>
      <c r="AU92" s="126"/>
      <c r="AV92" s="126"/>
      <c r="AW92" s="126"/>
      <c r="AX92" s="126"/>
      <c r="AY92" s="126"/>
      <c r="AZ92" s="126"/>
      <c r="BA92" s="60"/>
      <c r="BB92" s="60"/>
      <c r="BC92" s="60"/>
      <c r="BD92" s="60"/>
      <c r="BE92" s="60"/>
      <c r="BF92" s="60"/>
      <c r="BG92" s="60"/>
      <c r="BH92" s="60"/>
      <c r="BI92" s="60"/>
    </row>
    <row r="93" spans="1:61" s="68" customFormat="1" ht="15.75" customHeight="1" x14ac:dyDescent="0.25">
      <c r="A93" s="328" t="s">
        <v>1101</v>
      </c>
      <c r="B93" s="328"/>
      <c r="C93" s="328"/>
      <c r="D93" s="328"/>
      <c r="E93" s="328"/>
      <c r="F93" s="328"/>
      <c r="G93" s="328"/>
      <c r="H93" s="328"/>
      <c r="I93" s="328"/>
      <c r="J93" s="328"/>
      <c r="K93" s="328"/>
      <c r="L93" s="328"/>
      <c r="M93" s="328"/>
      <c r="N93" s="328"/>
      <c r="O93" s="328"/>
      <c r="P93" s="328"/>
      <c r="Q93" s="328"/>
      <c r="R93" s="328"/>
      <c r="S93" s="328"/>
      <c r="T93" s="328"/>
      <c r="U93" s="328"/>
      <c r="V93" s="328"/>
      <c r="W93" s="328"/>
      <c r="X93" s="328"/>
      <c r="Y93" s="328"/>
      <c r="Z93" s="328"/>
      <c r="AA93" s="328"/>
      <c r="AB93" s="328"/>
      <c r="AC93" s="328"/>
      <c r="AD93" s="328"/>
      <c r="AE93" s="328"/>
      <c r="AF93" s="328"/>
      <c r="AG93" s="328"/>
      <c r="AH93" s="328"/>
      <c r="AI93" s="328"/>
      <c r="AJ93" s="328"/>
      <c r="AK93" s="328"/>
      <c r="AL93" s="328"/>
      <c r="AM93" s="126"/>
      <c r="AN93" s="126"/>
      <c r="AO93" s="126"/>
      <c r="AP93" s="126"/>
      <c r="AQ93" s="126"/>
      <c r="AR93" s="126"/>
      <c r="AS93" s="126"/>
      <c r="AT93" s="126"/>
      <c r="AU93" s="126"/>
      <c r="AV93" s="126"/>
      <c r="AW93" s="126"/>
      <c r="AX93" s="126"/>
      <c r="AY93" s="126"/>
      <c r="AZ93" s="126"/>
      <c r="BA93" s="60"/>
      <c r="BB93" s="60"/>
      <c r="BC93" s="60"/>
      <c r="BD93" s="60"/>
      <c r="BE93" s="60"/>
      <c r="BF93" s="60"/>
      <c r="BG93" s="60"/>
      <c r="BH93" s="60"/>
      <c r="BI93" s="60"/>
    </row>
    <row r="94" spans="1:61" s="68" customFormat="1" ht="14.4" x14ac:dyDescent="0.25">
      <c r="A94" s="328" t="s">
        <v>1085</v>
      </c>
      <c r="B94" s="328"/>
      <c r="C94" s="328"/>
      <c r="D94" s="328"/>
      <c r="E94" s="328"/>
      <c r="F94" s="328"/>
      <c r="G94" s="328"/>
      <c r="H94" s="328"/>
      <c r="I94" s="328"/>
      <c r="J94" s="328"/>
      <c r="K94" s="328"/>
      <c r="L94" s="328"/>
      <c r="M94" s="328"/>
      <c r="N94" s="328"/>
      <c r="O94" s="328"/>
      <c r="P94" s="328"/>
      <c r="Q94" s="328"/>
      <c r="R94" s="328"/>
      <c r="S94" s="328"/>
      <c r="T94" s="328"/>
      <c r="U94" s="328"/>
      <c r="V94" s="328"/>
      <c r="W94" s="328"/>
      <c r="X94" s="328"/>
      <c r="Y94" s="328"/>
      <c r="Z94" s="328"/>
      <c r="AA94" s="328"/>
      <c r="AB94" s="328"/>
      <c r="AC94" s="328"/>
      <c r="AD94" s="328"/>
      <c r="AE94" s="328"/>
      <c r="AF94" s="328"/>
      <c r="AG94" s="328"/>
      <c r="AH94" s="328"/>
      <c r="AI94" s="328"/>
      <c r="AJ94" s="328"/>
      <c r="AK94" s="328"/>
      <c r="AL94" s="328"/>
      <c r="AM94" s="126"/>
      <c r="AN94" s="126"/>
      <c r="AO94" s="126"/>
      <c r="AP94" s="126"/>
      <c r="AQ94" s="126"/>
      <c r="AR94" s="126"/>
      <c r="AS94" s="126"/>
      <c r="AT94" s="126"/>
      <c r="AU94" s="126"/>
      <c r="AV94" s="126"/>
      <c r="AW94" s="126"/>
      <c r="AX94" s="126"/>
      <c r="AY94" s="126"/>
      <c r="AZ94" s="126"/>
      <c r="BA94" s="60"/>
      <c r="BB94" s="60"/>
      <c r="BC94" s="60"/>
      <c r="BD94" s="60"/>
      <c r="BE94" s="60"/>
      <c r="BF94" s="60"/>
      <c r="BG94" s="60"/>
      <c r="BH94" s="60"/>
      <c r="BI94" s="60"/>
    </row>
    <row r="95" spans="1:61" s="68" customFormat="1" ht="14.4" x14ac:dyDescent="0.25">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3"/>
      <c r="AG95" s="443"/>
      <c r="AH95" s="443"/>
      <c r="AI95" s="443"/>
      <c r="AJ95" s="443"/>
      <c r="AK95" s="443"/>
      <c r="AL95" s="443"/>
      <c r="AM95" s="126" t="s">
        <v>167</v>
      </c>
      <c r="AN95" s="126"/>
      <c r="AO95" s="126"/>
      <c r="AP95" s="126"/>
      <c r="AQ95" s="126"/>
      <c r="AR95" s="126"/>
      <c r="AS95" s="126"/>
      <c r="AT95" s="126"/>
      <c r="AU95" s="126"/>
      <c r="AV95" s="126"/>
      <c r="AW95" s="126"/>
      <c r="AX95" s="126"/>
      <c r="AY95" s="126"/>
      <c r="AZ95" s="126"/>
      <c r="BA95" s="60"/>
      <c r="BB95" s="60"/>
      <c r="BC95" s="60"/>
      <c r="BD95" s="60"/>
      <c r="BE95" s="60"/>
      <c r="BF95" s="60"/>
      <c r="BG95" s="60"/>
      <c r="BH95" s="60"/>
      <c r="BI95" s="60"/>
    </row>
    <row r="96" spans="1:61" s="68" customFormat="1" ht="19.5" customHeight="1" x14ac:dyDescent="0.25">
      <c r="A96" s="332" t="s">
        <v>1091</v>
      </c>
      <c r="B96" s="332"/>
      <c r="C96" s="332"/>
      <c r="D96" s="332"/>
      <c r="E96" s="332"/>
      <c r="F96" s="332"/>
      <c r="G96" s="332"/>
      <c r="H96" s="332"/>
      <c r="I96" s="332"/>
      <c r="J96" s="332"/>
      <c r="K96" s="332"/>
      <c r="L96" s="332"/>
      <c r="M96" s="332"/>
      <c r="N96" s="332"/>
      <c r="O96" s="332"/>
      <c r="P96" s="332"/>
      <c r="Q96" s="332"/>
      <c r="R96" s="332"/>
      <c r="S96" s="332"/>
      <c r="T96" s="332"/>
      <c r="U96" s="332"/>
      <c r="V96" s="332"/>
      <c r="W96" s="332"/>
      <c r="X96" s="332"/>
      <c r="Y96" s="332"/>
      <c r="Z96" s="332"/>
      <c r="AA96" s="332"/>
      <c r="AB96" s="332"/>
      <c r="AC96" s="332"/>
      <c r="AD96" s="332"/>
      <c r="AE96" s="332"/>
      <c r="AF96" s="332"/>
      <c r="AG96" s="332"/>
      <c r="AH96" s="332"/>
      <c r="AI96" s="332"/>
      <c r="AJ96" s="332"/>
      <c r="AK96" s="332"/>
      <c r="AL96" s="332"/>
      <c r="AM96" s="126"/>
      <c r="AN96" s="126"/>
      <c r="AO96" s="126"/>
      <c r="AP96" s="126"/>
      <c r="AQ96" s="126"/>
      <c r="AR96" s="126"/>
      <c r="AS96" s="126"/>
      <c r="AT96" s="126"/>
      <c r="AU96" s="126"/>
      <c r="AV96" s="126"/>
      <c r="AW96" s="126"/>
      <c r="AX96" s="126"/>
      <c r="AY96" s="126"/>
      <c r="AZ96" s="126"/>
      <c r="BA96" s="60"/>
      <c r="BB96" s="60"/>
      <c r="BC96" s="60"/>
      <c r="BD96" s="60"/>
      <c r="BE96" s="60"/>
      <c r="BF96" s="60"/>
      <c r="BG96" s="60"/>
      <c r="BH96" s="60"/>
      <c r="BI96" s="60"/>
    </row>
    <row r="97" spans="1:61" s="68" customFormat="1" ht="14.4" x14ac:dyDescent="0.25">
      <c r="A97" s="635"/>
      <c r="B97" s="636"/>
      <c r="C97" s="636"/>
      <c r="D97" s="636"/>
      <c r="E97" s="636"/>
      <c r="F97" s="636"/>
      <c r="G97" s="636"/>
      <c r="H97" s="636"/>
      <c r="I97" s="636"/>
      <c r="J97" s="636"/>
      <c r="K97" s="636"/>
      <c r="L97" s="636"/>
      <c r="M97" s="636"/>
      <c r="N97" s="636"/>
      <c r="O97" s="636"/>
      <c r="P97" s="636"/>
      <c r="Q97" s="636"/>
      <c r="R97" s="636"/>
      <c r="S97" s="636"/>
      <c r="T97" s="636"/>
      <c r="U97" s="636"/>
      <c r="V97" s="636"/>
      <c r="W97" s="636"/>
      <c r="X97" s="636"/>
      <c r="Y97" s="636"/>
      <c r="Z97" s="636"/>
      <c r="AA97" s="636"/>
      <c r="AB97" s="636"/>
      <c r="AC97" s="636"/>
      <c r="AD97" s="636"/>
      <c r="AE97" s="636"/>
      <c r="AF97" s="636"/>
      <c r="AG97" s="636"/>
      <c r="AH97" s="636"/>
      <c r="AI97" s="636"/>
      <c r="AJ97" s="636"/>
      <c r="AK97" s="636"/>
      <c r="AL97" s="637"/>
      <c r="AM97" s="126" t="s">
        <v>166</v>
      </c>
      <c r="AN97" s="126"/>
      <c r="AO97" s="126"/>
      <c r="AP97" s="126"/>
      <c r="AQ97" s="126"/>
      <c r="AR97" s="126"/>
      <c r="AS97" s="126"/>
      <c r="AT97" s="126"/>
      <c r="AU97" s="126"/>
      <c r="AV97" s="126"/>
      <c r="AW97" s="126"/>
      <c r="AX97" s="126"/>
      <c r="AY97" s="126"/>
      <c r="AZ97" s="126"/>
      <c r="BA97" s="60"/>
      <c r="BB97" s="60"/>
      <c r="BC97" s="60"/>
      <c r="BD97" s="60"/>
      <c r="BE97" s="60"/>
      <c r="BF97" s="60"/>
      <c r="BG97" s="60"/>
      <c r="BH97" s="60"/>
      <c r="BI97" s="60"/>
    </row>
    <row r="98" spans="1:61" s="68" customFormat="1" ht="21.75" customHeight="1" x14ac:dyDescent="0.25">
      <c r="A98" s="308" t="s">
        <v>1092</v>
      </c>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c r="AJ98" s="308"/>
      <c r="AK98" s="308"/>
      <c r="AL98" s="308"/>
      <c r="AM98" s="126"/>
      <c r="AN98" s="126"/>
      <c r="AO98" s="126"/>
      <c r="AP98" s="126"/>
      <c r="AQ98" s="126"/>
      <c r="AR98" s="126"/>
      <c r="AS98" s="126"/>
      <c r="AT98" s="126"/>
      <c r="AU98" s="126"/>
      <c r="AV98" s="126"/>
      <c r="AW98" s="126"/>
      <c r="AX98" s="126"/>
      <c r="AY98" s="126"/>
      <c r="AZ98" s="126"/>
      <c r="BA98" s="60"/>
      <c r="BB98" s="60"/>
      <c r="BC98" s="60"/>
      <c r="BD98" s="60"/>
      <c r="BE98" s="60"/>
      <c r="BF98" s="60"/>
      <c r="BG98" s="60"/>
      <c r="BH98" s="60"/>
      <c r="BI98" s="60"/>
    </row>
    <row r="99" spans="1:61" s="68" customFormat="1" ht="14.4" x14ac:dyDescent="0.25">
      <c r="A99" s="710"/>
      <c r="B99" s="710"/>
      <c r="C99" s="710"/>
      <c r="D99" s="710"/>
      <c r="E99" s="710"/>
      <c r="F99" s="710"/>
      <c r="G99" s="710"/>
      <c r="H99" s="710"/>
      <c r="I99" s="710"/>
      <c r="J99" s="710"/>
      <c r="K99" s="710"/>
      <c r="L99" s="710"/>
      <c r="M99" s="710"/>
      <c r="N99" s="710"/>
      <c r="O99" s="710"/>
      <c r="P99" s="710"/>
      <c r="Q99" s="710"/>
      <c r="R99" s="710"/>
      <c r="S99" s="710"/>
      <c r="T99" s="710"/>
      <c r="U99" s="710"/>
      <c r="V99" s="710"/>
      <c r="W99" s="710"/>
      <c r="X99" s="710"/>
      <c r="Y99" s="710"/>
      <c r="Z99" s="710"/>
      <c r="AA99" s="710"/>
      <c r="AB99" s="710"/>
      <c r="AC99" s="710"/>
      <c r="AD99" s="710"/>
      <c r="AE99" s="710"/>
      <c r="AF99" s="710"/>
      <c r="AG99" s="710"/>
      <c r="AH99" s="710"/>
      <c r="AI99" s="710"/>
      <c r="AJ99" s="710"/>
      <c r="AK99" s="710"/>
      <c r="AL99" s="710"/>
      <c r="AM99" s="126" t="s">
        <v>166</v>
      </c>
      <c r="AN99" s="126"/>
      <c r="AO99" s="126"/>
      <c r="AP99" s="126"/>
      <c r="AQ99" s="126"/>
      <c r="AR99" s="126"/>
      <c r="AS99" s="126"/>
      <c r="AT99" s="126"/>
      <c r="AU99" s="126"/>
      <c r="AV99" s="126"/>
      <c r="AW99" s="126"/>
      <c r="AX99" s="126"/>
      <c r="AY99" s="126"/>
      <c r="AZ99" s="126"/>
      <c r="BA99" s="60"/>
      <c r="BB99" s="60"/>
      <c r="BC99" s="60"/>
      <c r="BD99" s="60"/>
      <c r="BE99" s="60"/>
      <c r="BF99" s="60"/>
      <c r="BG99" s="60"/>
      <c r="BH99" s="60"/>
      <c r="BI99" s="60"/>
    </row>
    <row r="100" spans="1:61" s="68" customFormat="1" ht="19.5" customHeight="1" x14ac:dyDescent="0.25">
      <c r="A100" s="308" t="s">
        <v>1093</v>
      </c>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8"/>
      <c r="AH100" s="308"/>
      <c r="AI100" s="308"/>
      <c r="AJ100" s="308"/>
      <c r="AK100" s="308"/>
      <c r="AL100" s="308"/>
      <c r="AM100" s="126"/>
      <c r="AN100" s="126"/>
      <c r="AO100" s="126"/>
      <c r="AP100" s="126"/>
      <c r="AQ100" s="126"/>
      <c r="AR100" s="126"/>
      <c r="AS100" s="126"/>
      <c r="AT100" s="126"/>
      <c r="AU100" s="126"/>
      <c r="AV100" s="126"/>
      <c r="AW100" s="126"/>
      <c r="AX100" s="126"/>
      <c r="AY100" s="126"/>
      <c r="AZ100" s="126"/>
      <c r="BA100" s="60"/>
      <c r="BB100" s="60"/>
      <c r="BC100" s="60"/>
      <c r="BD100" s="60"/>
      <c r="BE100" s="60"/>
      <c r="BF100" s="60"/>
      <c r="BG100" s="60"/>
      <c r="BH100" s="60"/>
      <c r="BI100" s="60"/>
    </row>
    <row r="101" spans="1:61" s="68" customFormat="1" ht="14.4" x14ac:dyDescent="0.25">
      <c r="A101" s="708"/>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c r="Y101" s="708"/>
      <c r="Z101" s="708"/>
      <c r="AA101" s="708"/>
      <c r="AB101" s="708"/>
      <c r="AC101" s="708"/>
      <c r="AD101" s="708"/>
      <c r="AE101" s="708"/>
      <c r="AF101" s="708"/>
      <c r="AG101" s="708"/>
      <c r="AH101" s="708"/>
      <c r="AI101" s="708"/>
      <c r="AJ101" s="708"/>
      <c r="AK101" s="708"/>
      <c r="AL101" s="708"/>
      <c r="AM101" s="126" t="s">
        <v>166</v>
      </c>
      <c r="AN101" s="126"/>
      <c r="AO101" s="126"/>
      <c r="AP101" s="126"/>
      <c r="AQ101" s="126"/>
      <c r="AR101" s="126"/>
      <c r="AS101" s="126"/>
      <c r="AT101" s="126"/>
      <c r="AU101" s="126"/>
      <c r="AV101" s="126"/>
      <c r="AW101" s="126"/>
      <c r="AX101" s="126"/>
      <c r="AY101" s="126"/>
      <c r="AZ101" s="126"/>
      <c r="BA101" s="60"/>
      <c r="BB101" s="60"/>
      <c r="BC101" s="60"/>
      <c r="BD101" s="60"/>
      <c r="BE101" s="60"/>
      <c r="BF101" s="60"/>
      <c r="BG101" s="60"/>
      <c r="BH101" s="60"/>
      <c r="BI101" s="60"/>
    </row>
    <row r="102" spans="1:61" s="68" customFormat="1" ht="24.6" customHeight="1" x14ac:dyDescent="0.25">
      <c r="A102" s="308" t="s">
        <v>1094</v>
      </c>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126"/>
      <c r="AN102" s="126"/>
      <c r="AO102" s="126"/>
      <c r="AP102" s="126"/>
      <c r="AQ102" s="126"/>
      <c r="AR102" s="126"/>
      <c r="AS102" s="126"/>
      <c r="AT102" s="126"/>
      <c r="AU102" s="126"/>
      <c r="AV102" s="126"/>
      <c r="AW102" s="126"/>
      <c r="AX102" s="126"/>
      <c r="AY102" s="126"/>
      <c r="AZ102" s="126"/>
      <c r="BA102" s="60"/>
      <c r="BB102" s="60"/>
      <c r="BC102" s="60"/>
      <c r="BD102" s="60"/>
      <c r="BE102" s="60"/>
      <c r="BF102" s="60"/>
      <c r="BG102" s="60"/>
      <c r="BH102" s="60"/>
      <c r="BI102" s="60"/>
    </row>
    <row r="103" spans="1:61" s="68" customFormat="1" ht="14.4" x14ac:dyDescent="0.25">
      <c r="A103" s="635"/>
      <c r="B103" s="636"/>
      <c r="C103" s="636"/>
      <c r="D103" s="636"/>
      <c r="E103" s="636"/>
      <c r="F103" s="636"/>
      <c r="G103" s="636"/>
      <c r="H103" s="636"/>
      <c r="I103" s="636"/>
      <c r="J103" s="636"/>
      <c r="K103" s="636"/>
      <c r="L103" s="636"/>
      <c r="M103" s="636"/>
      <c r="N103" s="636"/>
      <c r="O103" s="636"/>
      <c r="P103" s="636"/>
      <c r="Q103" s="636"/>
      <c r="R103" s="636"/>
      <c r="S103" s="636"/>
      <c r="T103" s="636"/>
      <c r="U103" s="636"/>
      <c r="V103" s="636"/>
      <c r="W103" s="636"/>
      <c r="X103" s="636"/>
      <c r="Y103" s="636"/>
      <c r="Z103" s="636"/>
      <c r="AA103" s="636"/>
      <c r="AB103" s="636"/>
      <c r="AC103" s="636"/>
      <c r="AD103" s="636"/>
      <c r="AE103" s="636"/>
      <c r="AF103" s="636"/>
      <c r="AG103" s="636"/>
      <c r="AH103" s="636"/>
      <c r="AI103" s="636"/>
      <c r="AJ103" s="636"/>
      <c r="AK103" s="636"/>
      <c r="AL103" s="637"/>
      <c r="AM103" s="126" t="s">
        <v>166</v>
      </c>
      <c r="AN103" s="126"/>
      <c r="AO103" s="126"/>
      <c r="AP103" s="126"/>
      <c r="AQ103" s="126"/>
      <c r="AR103" s="126"/>
      <c r="AS103" s="126"/>
      <c r="AT103" s="126"/>
      <c r="AU103" s="126"/>
      <c r="AV103" s="126"/>
      <c r="AW103" s="126"/>
      <c r="AX103" s="126"/>
      <c r="AY103" s="126"/>
      <c r="AZ103" s="126"/>
      <c r="BA103" s="60"/>
      <c r="BB103" s="60"/>
      <c r="BC103" s="60"/>
      <c r="BD103" s="60"/>
      <c r="BE103" s="60"/>
      <c r="BF103" s="60"/>
      <c r="BG103" s="60"/>
      <c r="BH103" s="60"/>
      <c r="BI103" s="60"/>
    </row>
    <row r="104" spans="1:61" s="68" customFormat="1" ht="28.5" customHeight="1" x14ac:dyDescent="0.25">
      <c r="A104" s="308" t="s">
        <v>1095</v>
      </c>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126"/>
      <c r="AN104" s="126"/>
      <c r="AO104" s="126"/>
      <c r="AP104" s="126"/>
      <c r="AQ104" s="126"/>
      <c r="AR104" s="126"/>
      <c r="AS104" s="126"/>
      <c r="AT104" s="126"/>
      <c r="AU104" s="126"/>
      <c r="AV104" s="126"/>
      <c r="AW104" s="126"/>
      <c r="AX104" s="126"/>
      <c r="AY104" s="126"/>
      <c r="AZ104" s="126"/>
      <c r="BA104" s="60"/>
      <c r="BB104" s="60"/>
      <c r="BC104" s="60"/>
      <c r="BD104" s="60"/>
      <c r="BE104" s="60"/>
      <c r="BF104" s="60"/>
      <c r="BG104" s="60"/>
      <c r="BH104" s="60"/>
      <c r="BI104" s="60"/>
    </row>
    <row r="105" spans="1:61" s="68" customFormat="1" ht="15" customHeight="1" x14ac:dyDescent="0.25">
      <c r="A105" s="632"/>
      <c r="B105" s="633"/>
      <c r="C105" s="633"/>
      <c r="D105" s="633"/>
      <c r="E105" s="633"/>
      <c r="F105" s="633"/>
      <c r="G105" s="633"/>
      <c r="H105" s="633"/>
      <c r="I105" s="633"/>
      <c r="J105" s="633"/>
      <c r="K105" s="633"/>
      <c r="L105" s="633"/>
      <c r="M105" s="633"/>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3"/>
      <c r="AM105" s="126" t="s">
        <v>166</v>
      </c>
      <c r="AN105" s="126"/>
      <c r="AO105" s="126"/>
      <c r="AP105" s="126"/>
      <c r="AQ105" s="126"/>
      <c r="AR105" s="126"/>
      <c r="AS105" s="126"/>
      <c r="AT105" s="126"/>
      <c r="AU105" s="126"/>
      <c r="AV105" s="126"/>
      <c r="AW105" s="126"/>
      <c r="AX105" s="126"/>
      <c r="AY105" s="126"/>
      <c r="AZ105" s="126"/>
      <c r="BA105" s="60"/>
      <c r="BB105" s="60"/>
      <c r="BC105" s="60"/>
      <c r="BD105" s="60"/>
      <c r="BE105" s="60"/>
      <c r="BF105" s="60"/>
      <c r="BG105" s="60"/>
      <c r="BH105" s="60"/>
      <c r="BI105" s="60"/>
    </row>
    <row r="106" spans="1:61" s="68" customFormat="1" ht="15.75" customHeight="1" x14ac:dyDescent="0.25">
      <c r="A106" s="712" t="s">
        <v>1103</v>
      </c>
      <c r="B106" s="712"/>
      <c r="C106" s="712"/>
      <c r="D106" s="712"/>
      <c r="E106" s="712"/>
      <c r="F106" s="712"/>
      <c r="G106" s="712"/>
      <c r="H106" s="712"/>
      <c r="I106" s="712"/>
      <c r="J106" s="712"/>
      <c r="K106" s="712"/>
      <c r="L106" s="712"/>
      <c r="M106" s="712"/>
      <c r="N106" s="712"/>
      <c r="O106" s="712"/>
      <c r="P106" s="712"/>
      <c r="Q106" s="712"/>
      <c r="R106" s="712"/>
      <c r="S106" s="712"/>
      <c r="T106" s="712"/>
      <c r="U106" s="712"/>
      <c r="V106" s="712"/>
      <c r="W106" s="712"/>
      <c r="X106" s="712"/>
      <c r="Y106" s="712"/>
      <c r="Z106" s="712"/>
      <c r="AA106" s="712"/>
      <c r="AB106" s="712"/>
      <c r="AC106" s="712"/>
      <c r="AD106" s="712"/>
      <c r="AE106" s="712"/>
      <c r="AF106" s="712"/>
      <c r="AG106" s="712"/>
      <c r="AH106" s="712"/>
      <c r="AI106" s="712"/>
      <c r="AJ106" s="712"/>
      <c r="AK106" s="712"/>
      <c r="AL106" s="712"/>
      <c r="AM106" s="126"/>
      <c r="AN106" s="126"/>
      <c r="AO106" s="126"/>
      <c r="AP106" s="126"/>
      <c r="AQ106" s="126"/>
      <c r="AR106" s="126"/>
      <c r="AS106" s="126"/>
      <c r="AT106" s="126"/>
      <c r="AU106" s="126"/>
      <c r="AV106" s="126"/>
      <c r="AW106" s="126"/>
      <c r="AX106" s="126"/>
      <c r="AY106" s="126"/>
      <c r="AZ106" s="126"/>
      <c r="BA106" s="60"/>
      <c r="BB106" s="60"/>
      <c r="BC106" s="60"/>
      <c r="BD106" s="60"/>
      <c r="BE106" s="60"/>
      <c r="BF106" s="60"/>
      <c r="BG106" s="60"/>
      <c r="BH106" s="60"/>
      <c r="BI106" s="60"/>
    </row>
    <row r="107" spans="1:61" s="68" customFormat="1" ht="14.4" x14ac:dyDescent="0.25">
      <c r="A107" s="517" t="s">
        <v>1085</v>
      </c>
      <c r="B107" s="517"/>
      <c r="C107" s="517"/>
      <c r="D107" s="517"/>
      <c r="E107" s="517"/>
      <c r="F107" s="517"/>
      <c r="G107" s="517"/>
      <c r="H107" s="517"/>
      <c r="I107" s="517"/>
      <c r="J107" s="517"/>
      <c r="K107" s="517"/>
      <c r="L107" s="517"/>
      <c r="M107" s="517"/>
      <c r="N107" s="517"/>
      <c r="O107" s="517"/>
      <c r="P107" s="517"/>
      <c r="Q107" s="517"/>
      <c r="R107" s="517"/>
      <c r="S107" s="517"/>
      <c r="T107" s="517"/>
      <c r="U107" s="517"/>
      <c r="V107" s="517"/>
      <c r="W107" s="517"/>
      <c r="X107" s="517"/>
      <c r="Y107" s="517"/>
      <c r="Z107" s="517"/>
      <c r="AA107" s="517"/>
      <c r="AB107" s="517"/>
      <c r="AC107" s="517"/>
      <c r="AD107" s="517"/>
      <c r="AE107" s="517"/>
      <c r="AF107" s="517"/>
      <c r="AG107" s="517"/>
      <c r="AH107" s="517"/>
      <c r="AI107" s="517"/>
      <c r="AJ107" s="517"/>
      <c r="AK107" s="517"/>
      <c r="AL107" s="518"/>
      <c r="AM107" s="126"/>
      <c r="AN107" s="126"/>
      <c r="AO107" s="126"/>
      <c r="AP107" s="126"/>
      <c r="AQ107" s="126"/>
      <c r="AR107" s="126"/>
      <c r="AS107" s="126"/>
      <c r="AT107" s="126"/>
      <c r="AU107" s="126"/>
      <c r="AV107" s="126"/>
      <c r="AW107" s="126"/>
      <c r="AX107" s="126"/>
      <c r="AY107" s="126"/>
      <c r="AZ107" s="126"/>
      <c r="BA107" s="60"/>
      <c r="BB107" s="60"/>
      <c r="BC107" s="60"/>
      <c r="BD107" s="60"/>
      <c r="BE107" s="60"/>
      <c r="BF107" s="60"/>
      <c r="BG107" s="60"/>
      <c r="BH107" s="60"/>
      <c r="BI107" s="60"/>
    </row>
    <row r="108" spans="1:61" s="68" customFormat="1" ht="14.4" x14ac:dyDescent="0.25">
      <c r="A108" s="415"/>
      <c r="B108" s="416"/>
      <c r="C108" s="416"/>
      <c r="D108" s="416"/>
      <c r="E108" s="416"/>
      <c r="F108" s="416"/>
      <c r="G108" s="416"/>
      <c r="H108" s="416"/>
      <c r="I108" s="416"/>
      <c r="J108" s="416"/>
      <c r="K108" s="416"/>
      <c r="L108" s="416"/>
      <c r="M108" s="416"/>
      <c r="N108" s="416"/>
      <c r="O108" s="416"/>
      <c r="P108" s="416"/>
      <c r="Q108" s="416"/>
      <c r="R108" s="416"/>
      <c r="S108" s="416"/>
      <c r="T108" s="416"/>
      <c r="U108" s="416"/>
      <c r="V108" s="416"/>
      <c r="W108" s="416"/>
      <c r="X108" s="416"/>
      <c r="Y108" s="416"/>
      <c r="Z108" s="416"/>
      <c r="AA108" s="416"/>
      <c r="AB108" s="416"/>
      <c r="AC108" s="416"/>
      <c r="AD108" s="416"/>
      <c r="AE108" s="416"/>
      <c r="AF108" s="416"/>
      <c r="AG108" s="416"/>
      <c r="AH108" s="416"/>
      <c r="AI108" s="416"/>
      <c r="AJ108" s="416"/>
      <c r="AK108" s="416"/>
      <c r="AL108" s="417"/>
      <c r="AM108" s="126" t="s">
        <v>168</v>
      </c>
      <c r="AN108" s="126"/>
      <c r="AO108" s="126"/>
      <c r="AP108" s="126"/>
      <c r="AQ108" s="126"/>
      <c r="AR108" s="126"/>
      <c r="AS108" s="126"/>
      <c r="AT108" s="126"/>
      <c r="AU108" s="126"/>
      <c r="AV108" s="126"/>
      <c r="AW108" s="126"/>
      <c r="AX108" s="126"/>
      <c r="AY108" s="126"/>
      <c r="AZ108" s="126"/>
      <c r="BA108" s="60"/>
      <c r="BB108" s="60"/>
      <c r="BC108" s="60"/>
      <c r="BD108" s="60"/>
      <c r="BE108" s="60"/>
      <c r="BF108" s="60"/>
      <c r="BG108" s="60"/>
      <c r="BH108" s="60"/>
      <c r="BI108" s="60"/>
    </row>
    <row r="109" spans="1:61" s="68" customFormat="1" ht="30.75" customHeight="1" x14ac:dyDescent="0.25">
      <c r="A109" s="382" t="s">
        <v>1086</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c r="X109" s="382"/>
      <c r="Y109" s="382"/>
      <c r="Z109" s="382"/>
      <c r="AA109" s="382"/>
      <c r="AB109" s="382"/>
      <c r="AC109" s="382"/>
      <c r="AD109" s="382"/>
      <c r="AE109" s="382"/>
      <c r="AF109" s="382"/>
      <c r="AG109" s="382"/>
      <c r="AH109" s="382"/>
      <c r="AI109" s="382"/>
      <c r="AJ109" s="382"/>
      <c r="AK109" s="382"/>
      <c r="AL109" s="382"/>
      <c r="AM109" s="126"/>
      <c r="AN109" s="126"/>
      <c r="AO109" s="126"/>
      <c r="AP109" s="126"/>
      <c r="AQ109" s="126"/>
      <c r="AR109" s="126"/>
      <c r="AS109" s="126"/>
      <c r="AT109" s="126"/>
      <c r="AU109" s="126"/>
      <c r="AV109" s="126"/>
      <c r="AW109" s="126"/>
      <c r="AX109" s="126"/>
      <c r="AY109" s="126"/>
      <c r="AZ109" s="126"/>
      <c r="BA109" s="60"/>
      <c r="BB109" s="60"/>
      <c r="BC109" s="60"/>
      <c r="BD109" s="60"/>
      <c r="BE109" s="60"/>
      <c r="BF109" s="60"/>
      <c r="BG109" s="60"/>
      <c r="BH109" s="60"/>
      <c r="BI109" s="60"/>
    </row>
    <row r="110" spans="1:61" s="68" customFormat="1" ht="14.4" x14ac:dyDescent="0.25">
      <c r="A110" s="635"/>
      <c r="B110" s="636"/>
      <c r="C110" s="636"/>
      <c r="D110" s="636"/>
      <c r="E110" s="636"/>
      <c r="F110" s="636"/>
      <c r="G110" s="636"/>
      <c r="H110" s="636"/>
      <c r="I110" s="636"/>
      <c r="J110" s="636"/>
      <c r="K110" s="636"/>
      <c r="L110" s="637"/>
      <c r="M110" s="635"/>
      <c r="N110" s="636"/>
      <c r="O110" s="636"/>
      <c r="P110" s="636"/>
      <c r="Q110" s="636"/>
      <c r="R110" s="636"/>
      <c r="S110" s="636"/>
      <c r="T110" s="636"/>
      <c r="U110" s="636"/>
      <c r="V110" s="636"/>
      <c r="W110" s="636"/>
      <c r="X110" s="636"/>
      <c r="Y110" s="636"/>
      <c r="Z110" s="636"/>
      <c r="AA110" s="636"/>
      <c r="AB110" s="636"/>
      <c r="AC110" s="636"/>
      <c r="AD110" s="636"/>
      <c r="AE110" s="636"/>
      <c r="AF110" s="636"/>
      <c r="AG110" s="636"/>
      <c r="AH110" s="636"/>
      <c r="AI110" s="636"/>
      <c r="AJ110" s="636"/>
      <c r="AK110" s="636"/>
      <c r="AL110" s="636"/>
      <c r="AM110" s="126" t="s">
        <v>166</v>
      </c>
      <c r="AN110" s="126"/>
      <c r="AO110" s="126"/>
      <c r="AP110" s="126"/>
      <c r="AQ110" s="126"/>
      <c r="AR110" s="126"/>
      <c r="AS110" s="126"/>
      <c r="AT110" s="126"/>
      <c r="AU110" s="126"/>
      <c r="AV110" s="126"/>
      <c r="AW110" s="126"/>
      <c r="AX110" s="126"/>
      <c r="AY110" s="126"/>
      <c r="AZ110" s="126"/>
      <c r="BA110" s="60"/>
      <c r="BB110" s="60"/>
      <c r="BC110" s="60"/>
      <c r="BD110" s="60"/>
      <c r="BE110" s="60"/>
      <c r="BF110" s="60"/>
      <c r="BG110" s="60"/>
      <c r="BH110" s="60"/>
      <c r="BI110" s="60"/>
    </row>
    <row r="111" spans="1:61" s="68" customFormat="1" ht="21.75" customHeight="1" x14ac:dyDescent="0.25">
      <c r="A111" s="668" t="s">
        <v>1087</v>
      </c>
      <c r="B111" s="668"/>
      <c r="C111" s="668"/>
      <c r="D111" s="668"/>
      <c r="E111" s="668"/>
      <c r="F111" s="668"/>
      <c r="G111" s="668"/>
      <c r="H111" s="668"/>
      <c r="I111" s="668"/>
      <c r="J111" s="668"/>
      <c r="K111" s="668"/>
      <c r="L111" s="668"/>
      <c r="M111" s="668"/>
      <c r="N111" s="668"/>
      <c r="O111" s="668"/>
      <c r="P111" s="668"/>
      <c r="Q111" s="668"/>
      <c r="R111" s="668"/>
      <c r="S111" s="668"/>
      <c r="T111" s="668"/>
      <c r="U111" s="668"/>
      <c r="V111" s="668"/>
      <c r="W111" s="668"/>
      <c r="X111" s="668"/>
      <c r="Y111" s="668"/>
      <c r="Z111" s="668"/>
      <c r="AA111" s="668"/>
      <c r="AB111" s="668"/>
      <c r="AC111" s="668"/>
      <c r="AD111" s="668"/>
      <c r="AE111" s="668"/>
      <c r="AF111" s="668"/>
      <c r="AG111" s="668"/>
      <c r="AH111" s="668"/>
      <c r="AI111" s="668"/>
      <c r="AJ111" s="668"/>
      <c r="AK111" s="668"/>
      <c r="AL111" s="711"/>
      <c r="AM111" s="126"/>
      <c r="AN111" s="126"/>
      <c r="AO111" s="126"/>
      <c r="AP111" s="126"/>
      <c r="AQ111" s="126"/>
      <c r="AR111" s="126"/>
      <c r="AS111" s="126"/>
      <c r="AT111" s="126"/>
      <c r="AU111" s="126"/>
      <c r="AV111" s="126"/>
      <c r="AW111" s="126"/>
      <c r="AX111" s="126"/>
      <c r="AY111" s="126"/>
      <c r="AZ111" s="126"/>
      <c r="BA111" s="60"/>
      <c r="BB111" s="60"/>
      <c r="BC111" s="60"/>
      <c r="BD111" s="60"/>
      <c r="BE111" s="60"/>
      <c r="BF111" s="60"/>
      <c r="BG111" s="60"/>
      <c r="BH111" s="60"/>
      <c r="BI111" s="60"/>
    </row>
    <row r="112" spans="1:61" s="68" customFormat="1" ht="14.4" x14ac:dyDescent="0.25">
      <c r="A112" s="635"/>
      <c r="B112" s="636"/>
      <c r="C112" s="636"/>
      <c r="D112" s="636"/>
      <c r="E112" s="636"/>
      <c r="F112" s="636"/>
      <c r="G112" s="636"/>
      <c r="H112" s="636"/>
      <c r="I112" s="636"/>
      <c r="J112" s="636"/>
      <c r="K112" s="636"/>
      <c r="L112" s="636"/>
      <c r="M112" s="636"/>
      <c r="N112" s="636"/>
      <c r="O112" s="636"/>
      <c r="P112" s="636"/>
      <c r="Q112" s="636"/>
      <c r="R112" s="636"/>
      <c r="S112" s="636"/>
      <c r="T112" s="636"/>
      <c r="U112" s="636"/>
      <c r="V112" s="636"/>
      <c r="W112" s="636"/>
      <c r="X112" s="636"/>
      <c r="Y112" s="636"/>
      <c r="Z112" s="636"/>
      <c r="AA112" s="636"/>
      <c r="AB112" s="636"/>
      <c r="AC112" s="636"/>
      <c r="AD112" s="636"/>
      <c r="AE112" s="636"/>
      <c r="AF112" s="636"/>
      <c r="AG112" s="636"/>
      <c r="AH112" s="636"/>
      <c r="AI112" s="636"/>
      <c r="AJ112" s="636"/>
      <c r="AK112" s="636"/>
      <c r="AL112" s="637"/>
      <c r="AM112" s="126" t="s">
        <v>166</v>
      </c>
      <c r="AN112" s="126"/>
      <c r="AO112" s="126"/>
      <c r="AP112" s="126"/>
      <c r="AQ112" s="126"/>
      <c r="AR112" s="126"/>
      <c r="AS112" s="126"/>
      <c r="AT112" s="126"/>
      <c r="AU112" s="126"/>
      <c r="AV112" s="126"/>
      <c r="AW112" s="126"/>
      <c r="AX112" s="126"/>
      <c r="AY112" s="126"/>
      <c r="AZ112" s="126"/>
      <c r="BA112" s="60"/>
      <c r="BB112" s="60"/>
      <c r="BC112" s="60"/>
      <c r="BD112" s="60"/>
      <c r="BE112" s="60"/>
      <c r="BF112" s="60"/>
      <c r="BG112" s="60"/>
      <c r="BH112" s="60"/>
      <c r="BI112" s="60"/>
    </row>
    <row r="113" spans="1:61" s="68" customFormat="1" ht="19.5" customHeight="1" x14ac:dyDescent="0.25">
      <c r="A113" s="668" t="s">
        <v>1088</v>
      </c>
      <c r="B113" s="668"/>
      <c r="C113" s="668"/>
      <c r="D113" s="668"/>
      <c r="E113" s="668"/>
      <c r="F113" s="668"/>
      <c r="G113" s="668"/>
      <c r="H113" s="668"/>
      <c r="I113" s="668"/>
      <c r="J113" s="668"/>
      <c r="K113" s="668"/>
      <c r="L113" s="668"/>
      <c r="M113" s="668"/>
      <c r="N113" s="668"/>
      <c r="O113" s="668"/>
      <c r="P113" s="668"/>
      <c r="Q113" s="668"/>
      <c r="R113" s="668"/>
      <c r="S113" s="668"/>
      <c r="T113" s="668"/>
      <c r="U113" s="668"/>
      <c r="V113" s="668"/>
      <c r="W113" s="668"/>
      <c r="X113" s="668"/>
      <c r="Y113" s="668"/>
      <c r="Z113" s="668"/>
      <c r="AA113" s="668"/>
      <c r="AB113" s="668"/>
      <c r="AC113" s="668"/>
      <c r="AD113" s="668"/>
      <c r="AE113" s="668"/>
      <c r="AF113" s="668"/>
      <c r="AG113" s="668"/>
      <c r="AH113" s="668"/>
      <c r="AI113" s="668"/>
      <c r="AJ113" s="668"/>
      <c r="AK113" s="668"/>
      <c r="AL113" s="668"/>
      <c r="AM113" s="126"/>
      <c r="AN113" s="126"/>
      <c r="AO113" s="126"/>
      <c r="AP113" s="126"/>
      <c r="AQ113" s="126"/>
      <c r="AR113" s="126"/>
      <c r="AS113" s="126"/>
      <c r="AT113" s="126"/>
      <c r="AU113" s="126"/>
      <c r="AV113" s="126"/>
      <c r="AW113" s="126"/>
      <c r="AX113" s="126"/>
      <c r="AY113" s="126"/>
      <c r="AZ113" s="126"/>
      <c r="BA113" s="60"/>
      <c r="BB113" s="60"/>
      <c r="BC113" s="60"/>
      <c r="BD113" s="60"/>
      <c r="BE113" s="60"/>
      <c r="BF113" s="60"/>
      <c r="BG113" s="60"/>
      <c r="BH113" s="60"/>
      <c r="BI113" s="60"/>
    </row>
    <row r="114" spans="1:61" s="68" customFormat="1" ht="14.4" x14ac:dyDescent="0.25">
      <c r="A114" s="632"/>
      <c r="B114" s="633"/>
      <c r="C114" s="633"/>
      <c r="D114" s="633"/>
      <c r="E114" s="633"/>
      <c r="F114" s="633"/>
      <c r="G114" s="633"/>
      <c r="H114" s="633"/>
      <c r="I114" s="633"/>
      <c r="J114" s="633"/>
      <c r="K114" s="633"/>
      <c r="L114" s="633"/>
      <c r="M114" s="633"/>
      <c r="N114" s="633"/>
      <c r="O114" s="633"/>
      <c r="P114" s="633"/>
      <c r="Q114" s="633"/>
      <c r="R114" s="633"/>
      <c r="S114" s="633"/>
      <c r="T114" s="633"/>
      <c r="U114" s="633"/>
      <c r="V114" s="633"/>
      <c r="W114" s="633"/>
      <c r="X114" s="633"/>
      <c r="Y114" s="633"/>
      <c r="Z114" s="633"/>
      <c r="AA114" s="633"/>
      <c r="AB114" s="633"/>
      <c r="AC114" s="633"/>
      <c r="AD114" s="633"/>
      <c r="AE114" s="633"/>
      <c r="AF114" s="633"/>
      <c r="AG114" s="633"/>
      <c r="AH114" s="633"/>
      <c r="AI114" s="633"/>
      <c r="AJ114" s="633"/>
      <c r="AK114" s="633"/>
      <c r="AL114" s="634"/>
      <c r="AM114" s="126" t="s">
        <v>166</v>
      </c>
      <c r="AN114" s="126"/>
      <c r="AO114" s="126"/>
      <c r="AP114" s="126"/>
      <c r="AQ114" s="126"/>
      <c r="AR114" s="126"/>
      <c r="AS114" s="126"/>
      <c r="AT114" s="126"/>
      <c r="AU114" s="126"/>
      <c r="AV114" s="126"/>
      <c r="AW114" s="126"/>
      <c r="AX114" s="126"/>
      <c r="AY114" s="126"/>
      <c r="AZ114" s="126"/>
      <c r="BA114" s="60"/>
      <c r="BB114" s="60"/>
      <c r="BC114" s="60"/>
      <c r="BD114" s="60"/>
      <c r="BE114" s="60"/>
      <c r="BF114" s="60"/>
      <c r="BG114" s="60"/>
      <c r="BH114" s="60"/>
      <c r="BI114" s="60"/>
    </row>
    <row r="115" spans="1:61" s="68" customFormat="1" ht="27.75" customHeight="1" x14ac:dyDescent="0.25">
      <c r="A115" s="668" t="s">
        <v>1089</v>
      </c>
      <c r="B115" s="668"/>
      <c r="C115" s="668"/>
      <c r="D115" s="668"/>
      <c r="E115" s="668"/>
      <c r="F115" s="668"/>
      <c r="G115" s="668"/>
      <c r="H115" s="668"/>
      <c r="I115" s="668"/>
      <c r="J115" s="668"/>
      <c r="K115" s="668"/>
      <c r="L115" s="668"/>
      <c r="M115" s="668"/>
      <c r="N115" s="668"/>
      <c r="O115" s="668"/>
      <c r="P115" s="668"/>
      <c r="Q115" s="668"/>
      <c r="R115" s="668"/>
      <c r="S115" s="668"/>
      <c r="T115" s="668"/>
      <c r="U115" s="668"/>
      <c r="V115" s="668"/>
      <c r="W115" s="668"/>
      <c r="X115" s="668"/>
      <c r="Y115" s="668"/>
      <c r="Z115" s="668"/>
      <c r="AA115" s="668"/>
      <c r="AB115" s="668"/>
      <c r="AC115" s="668"/>
      <c r="AD115" s="668"/>
      <c r="AE115" s="668"/>
      <c r="AF115" s="668"/>
      <c r="AG115" s="668"/>
      <c r="AH115" s="668"/>
      <c r="AI115" s="668"/>
      <c r="AJ115" s="668"/>
      <c r="AK115" s="668"/>
      <c r="AL115" s="668"/>
      <c r="AM115" s="126"/>
      <c r="AN115" s="126"/>
      <c r="AO115" s="126"/>
      <c r="AP115" s="126"/>
      <c r="AQ115" s="126"/>
      <c r="AR115" s="126"/>
      <c r="AS115" s="126"/>
      <c r="AT115" s="126"/>
      <c r="AU115" s="126"/>
      <c r="AV115" s="126"/>
      <c r="AW115" s="126"/>
      <c r="AX115" s="126"/>
      <c r="AY115" s="126"/>
      <c r="AZ115" s="126"/>
      <c r="BA115" s="60"/>
      <c r="BB115" s="60"/>
      <c r="BC115" s="60"/>
      <c r="BD115" s="60"/>
      <c r="BE115" s="60"/>
      <c r="BF115" s="60"/>
      <c r="BG115" s="60"/>
      <c r="BH115" s="60"/>
      <c r="BI115" s="60"/>
    </row>
    <row r="116" spans="1:61" s="68" customFormat="1" ht="14.4" x14ac:dyDescent="0.25">
      <c r="A116" s="635"/>
      <c r="B116" s="636"/>
      <c r="C116" s="636"/>
      <c r="D116" s="636"/>
      <c r="E116" s="636"/>
      <c r="F116" s="636"/>
      <c r="G116" s="636"/>
      <c r="H116" s="636"/>
      <c r="I116" s="636"/>
      <c r="J116" s="636"/>
      <c r="K116" s="636"/>
      <c r="L116" s="637"/>
      <c r="M116" s="635"/>
      <c r="N116" s="636"/>
      <c r="O116" s="636"/>
      <c r="P116" s="636"/>
      <c r="Q116" s="636"/>
      <c r="R116" s="636"/>
      <c r="S116" s="636"/>
      <c r="T116" s="636"/>
      <c r="U116" s="636"/>
      <c r="V116" s="636"/>
      <c r="W116" s="636"/>
      <c r="X116" s="636"/>
      <c r="Y116" s="636"/>
      <c r="Z116" s="636"/>
      <c r="AA116" s="636"/>
      <c r="AB116" s="636"/>
      <c r="AC116" s="636"/>
      <c r="AD116" s="636"/>
      <c r="AE116" s="636"/>
      <c r="AF116" s="636"/>
      <c r="AG116" s="636"/>
      <c r="AH116" s="636"/>
      <c r="AI116" s="636"/>
      <c r="AJ116" s="636"/>
      <c r="AK116" s="636"/>
      <c r="AL116" s="636"/>
      <c r="AM116" s="126" t="s">
        <v>166</v>
      </c>
      <c r="AN116" s="126"/>
      <c r="AO116" s="126"/>
      <c r="AP116" s="126"/>
      <c r="AQ116" s="126"/>
      <c r="AR116" s="126"/>
      <c r="AS116" s="126"/>
      <c r="AT116" s="126"/>
      <c r="AU116" s="126"/>
      <c r="AV116" s="126"/>
      <c r="AW116" s="126"/>
      <c r="AX116" s="126"/>
      <c r="AY116" s="126"/>
      <c r="AZ116" s="126"/>
      <c r="BA116" s="60"/>
      <c r="BB116" s="60"/>
      <c r="BC116" s="60"/>
      <c r="BD116" s="60"/>
      <c r="BE116" s="60"/>
      <c r="BF116" s="60"/>
      <c r="BG116" s="60"/>
      <c r="BH116" s="60"/>
      <c r="BI116" s="60"/>
    </row>
    <row r="117" spans="1:61" s="68" customFormat="1" ht="28.5" customHeight="1" x14ac:dyDescent="0.25">
      <c r="A117" s="668" t="s">
        <v>1090</v>
      </c>
      <c r="B117" s="668"/>
      <c r="C117" s="668"/>
      <c r="D117" s="668"/>
      <c r="E117" s="668"/>
      <c r="F117" s="668"/>
      <c r="G117" s="668"/>
      <c r="H117" s="668"/>
      <c r="I117" s="668"/>
      <c r="J117" s="668"/>
      <c r="K117" s="668"/>
      <c r="L117" s="668"/>
      <c r="M117" s="668"/>
      <c r="N117" s="668"/>
      <c r="O117" s="668"/>
      <c r="P117" s="668"/>
      <c r="Q117" s="668"/>
      <c r="R117" s="668"/>
      <c r="S117" s="668"/>
      <c r="T117" s="668"/>
      <c r="U117" s="668"/>
      <c r="V117" s="668"/>
      <c r="W117" s="668"/>
      <c r="X117" s="668"/>
      <c r="Y117" s="668"/>
      <c r="Z117" s="668"/>
      <c r="AA117" s="668"/>
      <c r="AB117" s="668"/>
      <c r="AC117" s="668"/>
      <c r="AD117" s="668"/>
      <c r="AE117" s="668"/>
      <c r="AF117" s="668"/>
      <c r="AG117" s="668"/>
      <c r="AH117" s="668"/>
      <c r="AI117" s="668"/>
      <c r="AJ117" s="668"/>
      <c r="AK117" s="668"/>
      <c r="AL117" s="668"/>
      <c r="AM117" s="126"/>
      <c r="AN117" s="126"/>
      <c r="AO117" s="126"/>
      <c r="AP117" s="126"/>
      <c r="AQ117" s="126"/>
      <c r="AR117" s="126"/>
      <c r="AS117" s="126"/>
      <c r="AT117" s="126"/>
      <c r="AU117" s="126"/>
      <c r="AV117" s="126"/>
      <c r="AW117" s="126"/>
      <c r="AX117" s="126"/>
      <c r="AY117" s="126"/>
      <c r="AZ117" s="126"/>
      <c r="BA117" s="60"/>
      <c r="BB117" s="60"/>
      <c r="BC117" s="60"/>
      <c r="BD117" s="60"/>
      <c r="BE117" s="60"/>
      <c r="BF117" s="60"/>
      <c r="BG117" s="60"/>
      <c r="BH117" s="60"/>
      <c r="BI117" s="60"/>
    </row>
    <row r="118" spans="1:61" s="68" customFormat="1" ht="15" customHeight="1" x14ac:dyDescent="0.25">
      <c r="A118" s="632"/>
      <c r="B118" s="633"/>
      <c r="C118" s="633"/>
      <c r="D118" s="633"/>
      <c r="E118" s="633"/>
      <c r="F118" s="633"/>
      <c r="G118" s="633"/>
      <c r="H118" s="633"/>
      <c r="I118" s="633"/>
      <c r="J118" s="633"/>
      <c r="K118" s="633"/>
      <c r="L118" s="633"/>
      <c r="M118" s="633"/>
      <c r="N118" s="633"/>
      <c r="O118" s="633"/>
      <c r="P118" s="633"/>
      <c r="Q118" s="633"/>
      <c r="R118" s="633"/>
      <c r="S118" s="633"/>
      <c r="T118" s="633"/>
      <c r="U118" s="633"/>
      <c r="V118" s="633"/>
      <c r="W118" s="633"/>
      <c r="X118" s="633"/>
      <c r="Y118" s="633"/>
      <c r="Z118" s="633"/>
      <c r="AA118" s="633"/>
      <c r="AB118" s="633"/>
      <c r="AC118" s="633"/>
      <c r="AD118" s="633"/>
      <c r="AE118" s="633"/>
      <c r="AF118" s="633"/>
      <c r="AG118" s="633"/>
      <c r="AH118" s="633"/>
      <c r="AI118" s="633"/>
      <c r="AJ118" s="633"/>
      <c r="AK118" s="633"/>
      <c r="AL118" s="633"/>
      <c r="AM118" s="126" t="s">
        <v>166</v>
      </c>
      <c r="AN118" s="126"/>
      <c r="AO118" s="126"/>
      <c r="AP118" s="126"/>
      <c r="AQ118" s="126"/>
      <c r="AR118" s="126"/>
      <c r="AS118" s="126"/>
      <c r="AT118" s="126"/>
      <c r="AU118" s="126"/>
      <c r="AV118" s="126"/>
      <c r="AW118" s="126"/>
      <c r="AX118" s="126"/>
      <c r="AY118" s="126"/>
      <c r="AZ118" s="126"/>
      <c r="BA118" s="60"/>
      <c r="BB118" s="60"/>
      <c r="BC118" s="60"/>
      <c r="BD118" s="60"/>
      <c r="BE118" s="60"/>
      <c r="BF118" s="60"/>
      <c r="BG118" s="60"/>
      <c r="BH118" s="60"/>
      <c r="BI118" s="60"/>
    </row>
    <row r="119" spans="1:61" s="68" customFormat="1" ht="75.45" customHeight="1" x14ac:dyDescent="0.25">
      <c r="A119" s="332" t="s">
        <v>1104</v>
      </c>
      <c r="B119" s="332"/>
      <c r="C119" s="332"/>
      <c r="D119" s="332"/>
      <c r="E119" s="332"/>
      <c r="F119" s="332"/>
      <c r="G119" s="332"/>
      <c r="H119" s="332"/>
      <c r="I119" s="332"/>
      <c r="J119" s="332"/>
      <c r="K119" s="332"/>
      <c r="L119" s="332"/>
      <c r="M119" s="332"/>
      <c r="N119" s="332"/>
      <c r="O119" s="332"/>
      <c r="P119" s="332"/>
      <c r="Q119" s="332"/>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126"/>
      <c r="AN119" s="126"/>
      <c r="AO119" s="126"/>
      <c r="AP119" s="126"/>
      <c r="AQ119" s="126"/>
      <c r="AR119" s="126"/>
      <c r="AS119" s="126"/>
      <c r="AT119" s="126"/>
      <c r="AU119" s="126"/>
      <c r="AV119" s="126"/>
      <c r="AW119" s="126"/>
      <c r="AX119" s="126"/>
      <c r="AY119" s="126"/>
      <c r="AZ119" s="126"/>
      <c r="BA119" s="60"/>
      <c r="BB119" s="60"/>
      <c r="BC119" s="60"/>
      <c r="BD119" s="60"/>
      <c r="BE119" s="60"/>
      <c r="BF119" s="60"/>
      <c r="BG119" s="60"/>
      <c r="BH119" s="60"/>
      <c r="BI119" s="60"/>
    </row>
    <row r="120" spans="1:61" s="68" customFormat="1" ht="15" customHeight="1" x14ac:dyDescent="0.25">
      <c r="A120" s="708"/>
      <c r="B120" s="708"/>
      <c r="C120" s="708"/>
      <c r="D120" s="708"/>
      <c r="E120" s="708"/>
      <c r="F120" s="708"/>
      <c r="G120" s="708"/>
      <c r="H120" s="708"/>
      <c r="I120" s="708"/>
      <c r="J120" s="708"/>
      <c r="K120" s="708"/>
      <c r="L120" s="708"/>
      <c r="M120" s="708"/>
      <c r="N120" s="708"/>
      <c r="O120" s="708"/>
      <c r="P120" s="708"/>
      <c r="Q120" s="708"/>
      <c r="R120" s="708"/>
      <c r="S120" s="708"/>
      <c r="T120" s="708"/>
      <c r="U120" s="708"/>
      <c r="V120" s="708"/>
      <c r="W120" s="708"/>
      <c r="X120" s="708"/>
      <c r="Y120" s="708"/>
      <c r="Z120" s="708"/>
      <c r="AA120" s="708"/>
      <c r="AB120" s="708"/>
      <c r="AC120" s="708"/>
      <c r="AD120" s="708"/>
      <c r="AE120" s="708"/>
      <c r="AF120" s="708"/>
      <c r="AG120" s="708"/>
      <c r="AH120" s="708"/>
      <c r="AI120" s="708"/>
      <c r="AJ120" s="708"/>
      <c r="AK120" s="708"/>
      <c r="AL120" s="708"/>
      <c r="AM120" s="126"/>
      <c r="AN120" s="126"/>
      <c r="AO120" s="126"/>
      <c r="AP120" s="126"/>
      <c r="AQ120" s="126"/>
      <c r="AR120" s="126"/>
      <c r="AS120" s="126"/>
      <c r="AT120" s="126"/>
      <c r="AU120" s="126"/>
      <c r="AV120" s="126"/>
      <c r="AW120" s="126"/>
      <c r="AX120" s="126"/>
      <c r="AY120" s="126"/>
      <c r="AZ120" s="126"/>
      <c r="BA120" s="60"/>
      <c r="BB120" s="60"/>
      <c r="BC120" s="60"/>
      <c r="BD120" s="60"/>
      <c r="BE120" s="60"/>
      <c r="BF120" s="60"/>
      <c r="BG120" s="60"/>
      <c r="BH120" s="60"/>
      <c r="BI120" s="60"/>
    </row>
    <row r="121" spans="1:61" s="68" customFormat="1" ht="14.4" x14ac:dyDescent="0.25">
      <c r="A121" s="328" t="s">
        <v>687</v>
      </c>
      <c r="B121" s="328"/>
      <c r="C121" s="328"/>
      <c r="D121" s="328"/>
      <c r="E121" s="328"/>
      <c r="F121" s="328"/>
      <c r="G121" s="328"/>
      <c r="H121" s="328"/>
      <c r="I121" s="328"/>
      <c r="J121" s="328"/>
      <c r="K121" s="328"/>
      <c r="L121" s="328"/>
      <c r="M121" s="328"/>
      <c r="N121" s="328"/>
      <c r="O121" s="328"/>
      <c r="P121" s="328"/>
      <c r="Q121" s="328"/>
      <c r="R121" s="328"/>
      <c r="S121" s="328"/>
      <c r="T121" s="328"/>
      <c r="U121" s="328"/>
      <c r="V121" s="328"/>
      <c r="W121" s="328"/>
      <c r="X121" s="328"/>
      <c r="Y121" s="328"/>
      <c r="Z121" s="328"/>
      <c r="AA121" s="328"/>
      <c r="AB121" s="328"/>
      <c r="AC121" s="328"/>
      <c r="AD121" s="328"/>
      <c r="AE121" s="328"/>
      <c r="AF121" s="328"/>
      <c r="AG121" s="328"/>
      <c r="AH121" s="328"/>
      <c r="AI121" s="328"/>
      <c r="AJ121" s="328"/>
      <c r="AK121" s="328"/>
      <c r="AL121" s="328"/>
      <c r="AM121" s="126"/>
      <c r="AN121" s="126"/>
      <c r="AO121" s="126"/>
      <c r="AP121" s="126"/>
      <c r="AQ121" s="126"/>
      <c r="AR121" s="126"/>
      <c r="AS121" s="126"/>
      <c r="AT121" s="126"/>
      <c r="AU121" s="126"/>
      <c r="AV121" s="126"/>
      <c r="AW121" s="126"/>
      <c r="AX121" s="126"/>
      <c r="AY121" s="126"/>
      <c r="AZ121" s="126"/>
      <c r="BA121" s="60"/>
      <c r="BB121" s="60"/>
      <c r="BC121" s="60"/>
      <c r="BD121" s="60"/>
      <c r="BE121" s="60"/>
      <c r="BF121" s="60"/>
      <c r="BG121" s="60"/>
      <c r="BH121" s="60"/>
      <c r="BI121" s="60"/>
    </row>
    <row r="122" spans="1:61" s="68" customFormat="1" ht="32.25" customHeight="1" x14ac:dyDescent="0.25">
      <c r="A122" s="391" t="s">
        <v>735</v>
      </c>
      <c r="B122" s="391"/>
      <c r="C122" s="391"/>
      <c r="D122" s="391"/>
      <c r="E122" s="391"/>
      <c r="F122" s="391"/>
      <c r="G122" s="391"/>
      <c r="H122" s="391"/>
      <c r="I122" s="391"/>
      <c r="J122" s="391"/>
      <c r="K122" s="391"/>
      <c r="L122" s="391"/>
      <c r="M122" s="391"/>
      <c r="N122" s="391"/>
      <c r="O122" s="391"/>
      <c r="P122" s="391"/>
      <c r="Q122" s="391"/>
      <c r="R122" s="391"/>
      <c r="S122" s="391"/>
      <c r="T122" s="391"/>
      <c r="U122" s="391"/>
      <c r="V122" s="391"/>
      <c r="W122" s="391"/>
      <c r="X122" s="391"/>
      <c r="Y122" s="391"/>
      <c r="Z122" s="391"/>
      <c r="AA122" s="391"/>
      <c r="AB122" s="391"/>
      <c r="AC122" s="391"/>
      <c r="AD122" s="391"/>
      <c r="AE122" s="391"/>
      <c r="AF122" s="391"/>
      <c r="AG122" s="391"/>
      <c r="AH122" s="391"/>
      <c r="AI122" s="391"/>
      <c r="AJ122" s="391"/>
      <c r="AK122" s="391"/>
      <c r="AL122" s="391"/>
      <c r="AM122" s="108"/>
      <c r="AN122" s="109"/>
      <c r="AO122" s="109"/>
      <c r="AP122" s="109"/>
      <c r="AQ122" s="109"/>
      <c r="AR122" s="109"/>
      <c r="AS122" s="109"/>
      <c r="AT122" s="109"/>
      <c r="AU122" s="109"/>
      <c r="AV122" s="109"/>
      <c r="AW122" s="109"/>
      <c r="AX122" s="109"/>
      <c r="AY122" s="109"/>
      <c r="AZ122" s="109"/>
      <c r="BA122" s="60"/>
      <c r="BB122" s="60"/>
      <c r="BC122" s="60"/>
      <c r="BD122" s="60"/>
      <c r="BE122" s="60"/>
      <c r="BF122" s="60"/>
      <c r="BG122" s="60"/>
      <c r="BH122" s="60"/>
      <c r="BI122" s="60"/>
    </row>
    <row r="123" spans="1:61" s="86" customFormat="1" ht="24" customHeight="1" x14ac:dyDescent="0.2">
      <c r="A123" s="392" t="s">
        <v>736</v>
      </c>
      <c r="B123" s="392"/>
      <c r="C123" s="392"/>
      <c r="D123" s="392"/>
      <c r="E123" s="392"/>
      <c r="F123" s="392"/>
      <c r="G123" s="392"/>
      <c r="H123" s="392"/>
      <c r="I123" s="392"/>
      <c r="J123" s="392"/>
      <c r="K123" s="392"/>
      <c r="L123" s="392"/>
      <c r="M123" s="392"/>
      <c r="N123" s="392"/>
      <c r="O123" s="392"/>
      <c r="P123" s="392"/>
      <c r="Q123" s="392"/>
      <c r="R123" s="392"/>
      <c r="S123" s="392"/>
      <c r="T123" s="392"/>
      <c r="U123" s="392"/>
      <c r="V123" s="392"/>
      <c r="W123" s="392"/>
      <c r="X123" s="392"/>
      <c r="Y123" s="392"/>
      <c r="Z123" s="392"/>
      <c r="AA123" s="392"/>
      <c r="AB123" s="392"/>
      <c r="AC123" s="392"/>
      <c r="AD123" s="392"/>
      <c r="AE123" s="392"/>
      <c r="AF123" s="392"/>
      <c r="AG123" s="392"/>
      <c r="AH123" s="392"/>
      <c r="AI123" s="392"/>
      <c r="AJ123" s="392"/>
      <c r="AK123" s="392"/>
      <c r="AL123" s="392"/>
      <c r="AM123" s="101"/>
      <c r="AN123" s="115"/>
      <c r="AO123" s="115"/>
      <c r="AP123" s="115"/>
      <c r="AQ123" s="115"/>
      <c r="AR123" s="115"/>
      <c r="AS123" s="115"/>
      <c r="AT123" s="115"/>
      <c r="AU123" s="115"/>
      <c r="AV123" s="115"/>
      <c r="AW123" s="115"/>
      <c r="AX123" s="115"/>
      <c r="AY123" s="115"/>
      <c r="AZ123" s="115"/>
      <c r="BA123" s="116"/>
      <c r="BB123" s="116"/>
      <c r="BC123" s="116"/>
      <c r="BD123" s="116"/>
      <c r="BE123" s="116"/>
      <c r="BF123" s="116"/>
      <c r="BG123" s="116"/>
      <c r="BH123" s="116"/>
      <c r="BI123" s="116"/>
    </row>
    <row r="124" spans="1:61" s="68" customFormat="1" ht="44.25" customHeight="1" x14ac:dyDescent="0.25">
      <c r="A124" s="308" t="s">
        <v>1109</v>
      </c>
      <c r="B124" s="332"/>
      <c r="C124" s="332"/>
      <c r="D124" s="332"/>
      <c r="E124" s="332"/>
      <c r="F124" s="332"/>
      <c r="G124" s="332"/>
      <c r="H124" s="332"/>
      <c r="I124" s="332"/>
      <c r="J124" s="332"/>
      <c r="K124" s="332"/>
      <c r="L124" s="332"/>
      <c r="M124" s="332"/>
      <c r="N124" s="332"/>
      <c r="O124" s="332"/>
      <c r="P124" s="332"/>
      <c r="Q124" s="332"/>
      <c r="R124" s="332"/>
      <c r="S124" s="332"/>
      <c r="T124" s="332"/>
      <c r="U124" s="332"/>
      <c r="V124" s="332"/>
      <c r="W124" s="332"/>
      <c r="X124" s="332"/>
      <c r="Y124" s="332"/>
      <c r="Z124" s="332"/>
      <c r="AA124" s="332"/>
      <c r="AB124" s="332"/>
      <c r="AC124" s="332"/>
      <c r="AD124" s="332"/>
      <c r="AE124" s="332"/>
      <c r="AF124" s="332"/>
      <c r="AG124" s="332"/>
      <c r="AH124" s="332"/>
      <c r="AI124" s="332"/>
      <c r="AJ124" s="332"/>
      <c r="AK124" s="332"/>
      <c r="AL124" s="332"/>
      <c r="AM124" s="108"/>
      <c r="AN124" s="109"/>
      <c r="AO124" s="109"/>
      <c r="AP124" s="109"/>
      <c r="AQ124" s="109"/>
      <c r="AR124" s="109"/>
      <c r="AS124" s="109"/>
      <c r="AT124" s="109"/>
      <c r="AU124" s="109"/>
      <c r="AV124" s="109"/>
      <c r="AW124" s="109"/>
      <c r="AX124" s="109"/>
      <c r="AY124" s="109"/>
      <c r="AZ124" s="109"/>
      <c r="BA124" s="60"/>
      <c r="BB124" s="60"/>
      <c r="BC124" s="60"/>
      <c r="BD124" s="60"/>
      <c r="BE124" s="60"/>
      <c r="BF124" s="60"/>
      <c r="BG124" s="60"/>
      <c r="BH124" s="60"/>
      <c r="BI124" s="60"/>
    </row>
    <row r="125" spans="1:61" s="68" customFormat="1" ht="45" customHeight="1" x14ac:dyDescent="0.25">
      <c r="A125" s="333" t="s">
        <v>742</v>
      </c>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101"/>
      <c r="AN125" s="109"/>
      <c r="AO125" s="109"/>
      <c r="AP125" s="109"/>
      <c r="AQ125" s="109"/>
      <c r="AR125" s="109"/>
      <c r="AS125" s="109"/>
      <c r="AT125" s="109"/>
      <c r="AU125" s="109"/>
      <c r="AV125" s="109"/>
      <c r="AW125" s="109"/>
      <c r="AX125" s="109"/>
      <c r="AY125" s="109"/>
      <c r="AZ125" s="109"/>
      <c r="BA125" s="60"/>
      <c r="BB125" s="60"/>
      <c r="BC125" s="60"/>
      <c r="BD125" s="60"/>
      <c r="BE125" s="60"/>
      <c r="BF125" s="60"/>
      <c r="BG125" s="60"/>
      <c r="BH125" s="60"/>
      <c r="BI125" s="60"/>
    </row>
    <row r="126" spans="1:61" s="68" customFormat="1" ht="45" customHeight="1" x14ac:dyDescent="0.25">
      <c r="A126" s="405" t="s">
        <v>1131</v>
      </c>
      <c r="B126" s="382"/>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c r="Z126" s="382"/>
      <c r="AA126" s="382"/>
      <c r="AB126" s="382"/>
      <c r="AC126" s="382"/>
      <c r="AD126" s="382"/>
      <c r="AE126" s="382"/>
      <c r="AF126" s="382"/>
      <c r="AG126" s="382"/>
      <c r="AH126" s="382"/>
      <c r="AI126" s="382"/>
      <c r="AJ126" s="382"/>
      <c r="AK126" s="382"/>
      <c r="AL126" s="383"/>
      <c r="AM126" s="101"/>
      <c r="AN126" s="109"/>
      <c r="AO126" s="109"/>
      <c r="AP126" s="109"/>
      <c r="AQ126" s="109"/>
      <c r="AR126" s="109"/>
      <c r="AS126" s="109"/>
      <c r="AT126" s="109"/>
      <c r="AU126" s="109"/>
      <c r="AV126" s="109"/>
      <c r="AW126" s="109"/>
      <c r="AX126" s="109"/>
      <c r="AY126" s="109"/>
      <c r="AZ126" s="109"/>
      <c r="BA126" s="60"/>
      <c r="BB126" s="60"/>
      <c r="BC126" s="60"/>
      <c r="BD126" s="60"/>
      <c r="BE126" s="60"/>
      <c r="BF126" s="60"/>
      <c r="BG126" s="60"/>
      <c r="BH126" s="60"/>
      <c r="BI126" s="60"/>
    </row>
    <row r="127" spans="1:61" s="68" customFormat="1" ht="45" customHeight="1" x14ac:dyDescent="0.3">
      <c r="A127" s="406" t="s">
        <v>749</v>
      </c>
      <c r="B127" s="406"/>
      <c r="C127" s="406"/>
      <c r="D127" s="406"/>
      <c r="E127" s="406"/>
      <c r="F127" s="406"/>
      <c r="G127" s="406"/>
      <c r="H127" s="406"/>
      <c r="I127" s="406"/>
      <c r="J127" s="406"/>
      <c r="K127" s="406"/>
      <c r="L127" s="406"/>
      <c r="M127" s="406"/>
      <c r="N127" s="406"/>
      <c r="O127" s="406"/>
      <c r="P127" s="406"/>
      <c r="Q127" s="406"/>
      <c r="R127" s="406"/>
      <c r="S127" s="406"/>
      <c r="T127" s="406"/>
      <c r="U127" s="406"/>
      <c r="V127" s="406"/>
      <c r="W127" s="406"/>
      <c r="X127" s="406"/>
      <c r="Y127" s="406"/>
      <c r="Z127" s="406"/>
      <c r="AA127" s="401"/>
      <c r="AB127" s="402"/>
      <c r="AC127" s="402"/>
      <c r="AD127" s="402"/>
      <c r="AE127" s="402"/>
      <c r="AF127" s="402"/>
      <c r="AG127" s="402"/>
      <c r="AH127" s="402"/>
      <c r="AI127" s="402"/>
      <c r="AJ127" s="402"/>
      <c r="AK127" s="402"/>
      <c r="AL127" s="402"/>
      <c r="AM127" s="101"/>
      <c r="AN127" s="109"/>
      <c r="AO127" s="109"/>
      <c r="AP127" s="109"/>
      <c r="AQ127" s="109"/>
      <c r="AR127" s="109"/>
      <c r="AS127" s="109"/>
      <c r="AT127" s="109"/>
      <c r="AU127" s="109"/>
      <c r="AV127" s="109"/>
      <c r="AW127" s="109"/>
      <c r="AX127" s="109"/>
      <c r="AY127" s="109"/>
      <c r="AZ127" s="109"/>
      <c r="BA127" s="60"/>
      <c r="BB127" s="60"/>
      <c r="BC127" s="60"/>
      <c r="BD127" s="60"/>
      <c r="BE127" s="60"/>
      <c r="BF127" s="60"/>
      <c r="BG127" s="60"/>
      <c r="BH127" s="60"/>
      <c r="BI127" s="60"/>
    </row>
    <row r="128" spans="1:61" s="68" customFormat="1" ht="45" customHeight="1" x14ac:dyDescent="0.3">
      <c r="A128" s="381" t="s">
        <v>750</v>
      </c>
      <c r="B128" s="382"/>
      <c r="C128" s="382"/>
      <c r="D128" s="382"/>
      <c r="E128" s="382"/>
      <c r="F128" s="382"/>
      <c r="G128" s="382"/>
      <c r="H128" s="382"/>
      <c r="I128" s="382"/>
      <c r="J128" s="382"/>
      <c r="K128" s="382"/>
      <c r="L128" s="382"/>
      <c r="M128" s="382"/>
      <c r="N128" s="382"/>
      <c r="O128" s="382"/>
      <c r="P128" s="382"/>
      <c r="Q128" s="382"/>
      <c r="R128" s="382"/>
      <c r="S128" s="382"/>
      <c r="T128" s="382"/>
      <c r="U128" s="382"/>
      <c r="V128" s="382"/>
      <c r="W128" s="382"/>
      <c r="X128" s="382"/>
      <c r="Y128" s="382"/>
      <c r="Z128" s="383"/>
      <c r="AA128" s="407"/>
      <c r="AB128" s="408"/>
      <c r="AC128" s="408"/>
      <c r="AD128" s="408"/>
      <c r="AE128" s="408"/>
      <c r="AF128" s="408"/>
      <c r="AG128" s="408"/>
      <c r="AH128" s="408"/>
      <c r="AI128" s="408"/>
      <c r="AJ128" s="408"/>
      <c r="AK128" s="408"/>
      <c r="AL128" s="408"/>
      <c r="AM128" s="101"/>
      <c r="AN128" s="109"/>
      <c r="AO128" s="109"/>
      <c r="AP128" s="109"/>
      <c r="AQ128" s="109"/>
      <c r="AR128" s="109"/>
      <c r="AS128" s="109"/>
      <c r="AT128" s="109"/>
      <c r="AU128" s="109"/>
      <c r="AV128" s="109"/>
      <c r="AW128" s="109"/>
      <c r="AX128" s="109"/>
      <c r="AY128" s="109"/>
      <c r="AZ128" s="109"/>
      <c r="BA128" s="60"/>
      <c r="BB128" s="60"/>
      <c r="BC128" s="60"/>
      <c r="BD128" s="60"/>
      <c r="BE128" s="60"/>
      <c r="BF128" s="60"/>
      <c r="BG128" s="60"/>
      <c r="BH128" s="60"/>
      <c r="BI128" s="60"/>
    </row>
    <row r="129" spans="1:61" s="68" customFormat="1" ht="45" customHeight="1" x14ac:dyDescent="0.3">
      <c r="A129" s="314" t="s">
        <v>931</v>
      </c>
      <c r="B129" s="315"/>
      <c r="C129" s="315"/>
      <c r="D129" s="315"/>
      <c r="E129" s="315"/>
      <c r="F129" s="315"/>
      <c r="G129" s="315"/>
      <c r="H129" s="315"/>
      <c r="I129" s="315"/>
      <c r="J129" s="315"/>
      <c r="K129" s="315"/>
      <c r="L129" s="315"/>
      <c r="M129" s="315"/>
      <c r="N129" s="315"/>
      <c r="O129" s="315"/>
      <c r="P129" s="315"/>
      <c r="Q129" s="315"/>
      <c r="R129" s="315"/>
      <c r="S129" s="315"/>
      <c r="T129" s="315"/>
      <c r="U129" s="315"/>
      <c r="V129" s="315"/>
      <c r="W129" s="315"/>
      <c r="X129" s="315"/>
      <c r="Y129" s="315"/>
      <c r="Z129" s="315"/>
      <c r="AA129" s="398" t="s">
        <v>865</v>
      </c>
      <c r="AB129" s="399"/>
      <c r="AC129" s="399"/>
      <c r="AD129" s="399"/>
      <c r="AE129" s="399"/>
      <c r="AF129" s="399"/>
      <c r="AG129" s="399"/>
      <c r="AH129" s="399"/>
      <c r="AI129" s="400"/>
      <c r="AJ129" s="401"/>
      <c r="AK129" s="402"/>
      <c r="AL129" s="402"/>
      <c r="AM129" s="101"/>
      <c r="AN129" s="109"/>
      <c r="AO129" s="109"/>
      <c r="AP129" s="109"/>
      <c r="AQ129" s="109"/>
      <c r="AR129" s="109"/>
      <c r="AS129" s="109"/>
      <c r="AT129" s="109"/>
      <c r="AU129" s="109"/>
      <c r="AV129" s="109"/>
      <c r="AW129" s="109"/>
      <c r="AX129" s="109"/>
      <c r="AY129" s="109"/>
      <c r="AZ129" s="109"/>
      <c r="BA129" s="60"/>
      <c r="BB129" s="60"/>
      <c r="BC129" s="60"/>
      <c r="BD129" s="60"/>
      <c r="BE129" s="60"/>
      <c r="BF129" s="60"/>
      <c r="BG129" s="60"/>
      <c r="BH129" s="60"/>
      <c r="BI129" s="60"/>
    </row>
    <row r="130" spans="1:61" s="68" customFormat="1" ht="45" customHeight="1" x14ac:dyDescent="0.3">
      <c r="A130" s="409"/>
      <c r="B130" s="397"/>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c r="AA130" s="398" t="s">
        <v>866</v>
      </c>
      <c r="AB130" s="399"/>
      <c r="AC130" s="399"/>
      <c r="AD130" s="399"/>
      <c r="AE130" s="399"/>
      <c r="AF130" s="399"/>
      <c r="AG130" s="399"/>
      <c r="AH130" s="399"/>
      <c r="AI130" s="400"/>
      <c r="AJ130" s="401"/>
      <c r="AK130" s="402"/>
      <c r="AL130" s="402"/>
      <c r="AM130" s="101"/>
      <c r="AN130" s="109"/>
      <c r="AO130" s="109"/>
      <c r="AP130" s="109"/>
      <c r="AQ130" s="109"/>
      <c r="AR130" s="109"/>
      <c r="AS130" s="109"/>
      <c r="AT130" s="109"/>
      <c r="AU130" s="109"/>
      <c r="AV130" s="109"/>
      <c r="AW130" s="109"/>
      <c r="AX130" s="109"/>
      <c r="AY130" s="109"/>
      <c r="AZ130" s="109"/>
      <c r="BA130" s="60"/>
      <c r="BB130" s="60"/>
      <c r="BC130" s="60"/>
      <c r="BD130" s="60"/>
      <c r="BE130" s="60"/>
      <c r="BF130" s="60"/>
      <c r="BG130" s="60"/>
      <c r="BH130" s="60"/>
      <c r="BI130" s="60"/>
    </row>
    <row r="131" spans="1:61" s="68" customFormat="1" ht="88.2" customHeight="1" x14ac:dyDescent="0.25">
      <c r="A131" s="381" t="s">
        <v>932</v>
      </c>
      <c r="B131" s="382"/>
      <c r="C131" s="382"/>
      <c r="D131" s="382"/>
      <c r="E131" s="382"/>
      <c r="F131" s="382"/>
      <c r="G131" s="382"/>
      <c r="H131" s="382"/>
      <c r="I131" s="382"/>
      <c r="J131" s="382"/>
      <c r="K131" s="382"/>
      <c r="L131" s="382"/>
      <c r="M131" s="382"/>
      <c r="N131" s="382"/>
      <c r="O131" s="382"/>
      <c r="P131" s="382"/>
      <c r="Q131" s="382"/>
      <c r="R131" s="382"/>
      <c r="S131" s="382"/>
      <c r="T131" s="382"/>
      <c r="U131" s="382"/>
      <c r="V131" s="382"/>
      <c r="W131" s="382"/>
      <c r="X131" s="382"/>
      <c r="Y131" s="382"/>
      <c r="Z131" s="383"/>
      <c r="AA131" s="384"/>
      <c r="AB131" s="385"/>
      <c r="AC131" s="385"/>
      <c r="AD131" s="385"/>
      <c r="AE131" s="385"/>
      <c r="AF131" s="385"/>
      <c r="AG131" s="385"/>
      <c r="AH131" s="385"/>
      <c r="AI131" s="385"/>
      <c r="AJ131" s="385"/>
      <c r="AK131" s="385"/>
      <c r="AL131" s="385"/>
      <c r="AM131" s="101"/>
      <c r="AN131" s="109"/>
      <c r="AO131" s="109"/>
      <c r="AP131" s="109"/>
      <c r="AQ131" s="109"/>
      <c r="AR131" s="109"/>
      <c r="AS131" s="109"/>
      <c r="AT131" s="109"/>
      <c r="AU131" s="109"/>
      <c r="AV131" s="109"/>
      <c r="AW131" s="109"/>
      <c r="AX131" s="109"/>
      <c r="AY131" s="109"/>
      <c r="AZ131" s="109"/>
      <c r="BA131" s="60"/>
      <c r="BB131" s="60"/>
      <c r="BC131" s="60"/>
      <c r="BD131" s="60"/>
      <c r="BE131" s="60"/>
      <c r="BF131" s="60"/>
      <c r="BG131" s="60"/>
      <c r="BH131" s="60"/>
      <c r="BI131" s="60"/>
    </row>
    <row r="132" spans="1:61" s="68" customFormat="1" ht="45" customHeight="1" x14ac:dyDescent="0.3">
      <c r="A132" s="377" t="s">
        <v>1132</v>
      </c>
      <c r="B132" s="377"/>
      <c r="C132" s="377"/>
      <c r="D132" s="377"/>
      <c r="E132" s="377"/>
      <c r="F132" s="377"/>
      <c r="G132" s="377"/>
      <c r="H132" s="377"/>
      <c r="I132" s="377"/>
      <c r="J132" s="377"/>
      <c r="K132" s="377"/>
      <c r="L132" s="377"/>
      <c r="M132" s="377"/>
      <c r="N132" s="377"/>
      <c r="O132" s="377"/>
      <c r="P132" s="377"/>
      <c r="Q132" s="377"/>
      <c r="R132" s="377"/>
      <c r="S132" s="377"/>
      <c r="T132" s="377"/>
      <c r="U132" s="377"/>
      <c r="V132" s="377"/>
      <c r="W132" s="377"/>
      <c r="X132" s="377"/>
      <c r="Y132" s="377"/>
      <c r="Z132" s="378"/>
      <c r="AA132" s="398" t="s">
        <v>956</v>
      </c>
      <c r="AB132" s="399"/>
      <c r="AC132" s="399"/>
      <c r="AD132" s="399"/>
      <c r="AE132" s="399"/>
      <c r="AF132" s="399"/>
      <c r="AG132" s="399"/>
      <c r="AH132" s="399"/>
      <c r="AI132" s="400"/>
      <c r="AJ132" s="401"/>
      <c r="AK132" s="402"/>
      <c r="AL132" s="402"/>
      <c r="AM132" s="101"/>
      <c r="AN132" s="109"/>
      <c r="AO132" s="109"/>
      <c r="AP132" s="109"/>
      <c r="AQ132" s="109"/>
      <c r="AR132" s="109"/>
      <c r="AS132" s="109"/>
      <c r="AT132" s="109"/>
      <c r="AU132" s="109"/>
      <c r="AV132" s="109"/>
      <c r="AW132" s="109"/>
      <c r="AX132" s="109"/>
      <c r="AY132" s="109"/>
      <c r="AZ132" s="109"/>
      <c r="BA132" s="60"/>
      <c r="BB132" s="60"/>
      <c r="BC132" s="60"/>
      <c r="BD132" s="60"/>
      <c r="BE132" s="60"/>
      <c r="BF132" s="60"/>
      <c r="BG132" s="60"/>
      <c r="BH132" s="60"/>
      <c r="BI132" s="60"/>
    </row>
    <row r="133" spans="1:61" s="68" customFormat="1" ht="39" customHeight="1" x14ac:dyDescent="0.3">
      <c r="A133" s="379"/>
      <c r="B133" s="379"/>
      <c r="C133" s="379"/>
      <c r="D133" s="379"/>
      <c r="E133" s="379"/>
      <c r="F133" s="379"/>
      <c r="G133" s="379"/>
      <c r="H133" s="379"/>
      <c r="I133" s="379"/>
      <c r="J133" s="379"/>
      <c r="K133" s="379"/>
      <c r="L133" s="379"/>
      <c r="M133" s="379"/>
      <c r="N133" s="379"/>
      <c r="O133" s="379"/>
      <c r="P133" s="379"/>
      <c r="Q133" s="379"/>
      <c r="R133" s="379"/>
      <c r="S133" s="379"/>
      <c r="T133" s="379"/>
      <c r="U133" s="379"/>
      <c r="V133" s="379"/>
      <c r="W133" s="379"/>
      <c r="X133" s="379"/>
      <c r="Y133" s="379"/>
      <c r="Z133" s="380"/>
      <c r="AA133" s="398" t="s">
        <v>955</v>
      </c>
      <c r="AB133" s="399"/>
      <c r="AC133" s="399"/>
      <c r="AD133" s="399"/>
      <c r="AE133" s="399"/>
      <c r="AF133" s="399"/>
      <c r="AG133" s="399"/>
      <c r="AH133" s="399"/>
      <c r="AI133" s="400"/>
      <c r="AJ133" s="407"/>
      <c r="AK133" s="408"/>
      <c r="AL133" s="408"/>
      <c r="AM133" s="101"/>
      <c r="AN133" s="109"/>
      <c r="AO133" s="109"/>
      <c r="AP133" s="109"/>
      <c r="AQ133" s="109"/>
      <c r="AR133" s="109"/>
      <c r="AS133" s="109"/>
      <c r="AT133" s="109"/>
      <c r="AU133" s="109"/>
      <c r="AV133" s="109"/>
      <c r="AW133" s="109"/>
      <c r="AX133" s="109"/>
      <c r="AY133" s="109"/>
      <c r="AZ133" s="109"/>
      <c r="BA133" s="60"/>
      <c r="BB133" s="60"/>
      <c r="BC133" s="60"/>
      <c r="BD133" s="60"/>
      <c r="BE133" s="60"/>
      <c r="BF133" s="60"/>
      <c r="BG133" s="60"/>
      <c r="BH133" s="60"/>
      <c r="BI133" s="60"/>
    </row>
    <row r="134" spans="1:61" s="68" customFormat="1" ht="45" customHeight="1" x14ac:dyDescent="0.3">
      <c r="A134" s="315" t="s">
        <v>933</v>
      </c>
      <c r="B134" s="315"/>
      <c r="C134" s="315"/>
      <c r="D134" s="315"/>
      <c r="E134" s="315"/>
      <c r="F134" s="315"/>
      <c r="G134" s="315"/>
      <c r="H134" s="315"/>
      <c r="I134" s="315"/>
      <c r="J134" s="315"/>
      <c r="K134" s="315"/>
      <c r="L134" s="315"/>
      <c r="M134" s="315"/>
      <c r="N134" s="315"/>
      <c r="O134" s="315"/>
      <c r="P134" s="315"/>
      <c r="Q134" s="315"/>
      <c r="R134" s="315"/>
      <c r="S134" s="315"/>
      <c r="T134" s="315"/>
      <c r="U134" s="315"/>
      <c r="V134" s="315"/>
      <c r="W134" s="315"/>
      <c r="X134" s="315"/>
      <c r="Y134" s="315"/>
      <c r="Z134" s="315"/>
      <c r="AA134" s="398" t="s">
        <v>956</v>
      </c>
      <c r="AB134" s="399"/>
      <c r="AC134" s="399"/>
      <c r="AD134" s="399"/>
      <c r="AE134" s="399"/>
      <c r="AF134" s="399"/>
      <c r="AG134" s="399"/>
      <c r="AH134" s="399"/>
      <c r="AI134" s="400"/>
      <c r="AJ134" s="401"/>
      <c r="AK134" s="402"/>
      <c r="AL134" s="402"/>
      <c r="AM134" s="101"/>
      <c r="AN134" s="109"/>
      <c r="AO134" s="109"/>
      <c r="AP134" s="109"/>
      <c r="AQ134" s="109"/>
      <c r="AR134" s="109"/>
      <c r="AS134" s="109"/>
      <c r="AT134" s="109"/>
      <c r="AU134" s="109"/>
      <c r="AV134" s="109"/>
      <c r="AW134" s="109"/>
      <c r="AX134" s="109"/>
      <c r="AY134" s="109"/>
      <c r="AZ134" s="109"/>
      <c r="BA134" s="60"/>
      <c r="BB134" s="60"/>
      <c r="BC134" s="60"/>
      <c r="BD134" s="60"/>
      <c r="BE134" s="60"/>
      <c r="BF134" s="60"/>
      <c r="BG134" s="60"/>
      <c r="BH134" s="60"/>
      <c r="BI134" s="60"/>
    </row>
    <row r="135" spans="1:61" s="68" customFormat="1" ht="45" customHeight="1" x14ac:dyDescent="0.3">
      <c r="A135" s="397"/>
      <c r="B135" s="397"/>
      <c r="C135" s="397"/>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c r="AA135" s="398" t="s">
        <v>955</v>
      </c>
      <c r="AB135" s="399"/>
      <c r="AC135" s="399"/>
      <c r="AD135" s="399"/>
      <c r="AE135" s="399"/>
      <c r="AF135" s="399"/>
      <c r="AG135" s="399"/>
      <c r="AH135" s="399"/>
      <c r="AI135" s="400"/>
      <c r="AJ135" s="401"/>
      <c r="AK135" s="402"/>
      <c r="AL135" s="402"/>
      <c r="AM135" s="101"/>
      <c r="AN135" s="109"/>
      <c r="AO135" s="109"/>
      <c r="AP135" s="109"/>
      <c r="AQ135" s="109"/>
      <c r="AR135" s="109"/>
      <c r="AS135" s="109"/>
      <c r="AT135" s="109"/>
      <c r="AU135" s="109"/>
      <c r="AV135" s="109"/>
      <c r="AW135" s="109"/>
      <c r="AX135" s="109"/>
      <c r="AY135" s="109"/>
      <c r="AZ135" s="109"/>
      <c r="BA135" s="60"/>
      <c r="BB135" s="60"/>
      <c r="BC135" s="60"/>
      <c r="BD135" s="60"/>
      <c r="BE135" s="60"/>
      <c r="BF135" s="60"/>
      <c r="BG135" s="60"/>
      <c r="BH135" s="60"/>
      <c r="BI135" s="60"/>
    </row>
    <row r="136" spans="1:61" s="68" customFormat="1" ht="45" customHeight="1" x14ac:dyDescent="0.25">
      <c r="A136" s="404" t="s">
        <v>929</v>
      </c>
      <c r="B136" s="404"/>
      <c r="C136" s="404"/>
      <c r="D136" s="404"/>
      <c r="E136" s="404"/>
      <c r="F136" s="404"/>
      <c r="G136" s="404"/>
      <c r="H136" s="404"/>
      <c r="I136" s="404"/>
      <c r="J136" s="404"/>
      <c r="K136" s="404"/>
      <c r="L136" s="404"/>
      <c r="M136" s="404"/>
      <c r="N136" s="404"/>
      <c r="O136" s="404"/>
      <c r="P136" s="404"/>
      <c r="Q136" s="404"/>
      <c r="R136" s="404"/>
      <c r="S136" s="404"/>
      <c r="T136" s="404"/>
      <c r="U136" s="404"/>
      <c r="V136" s="404"/>
      <c r="W136" s="404"/>
      <c r="X136" s="404"/>
      <c r="Y136" s="404"/>
      <c r="Z136" s="404"/>
      <c r="AA136" s="404"/>
      <c r="AB136" s="404"/>
      <c r="AC136" s="404"/>
      <c r="AD136" s="404"/>
      <c r="AE136" s="404"/>
      <c r="AF136" s="404"/>
      <c r="AG136" s="404"/>
      <c r="AH136" s="404"/>
      <c r="AI136" s="404"/>
      <c r="AJ136" s="404"/>
      <c r="AK136" s="404"/>
      <c r="AL136" s="404"/>
      <c r="AM136" s="101"/>
      <c r="AN136" s="109"/>
      <c r="AO136" s="109"/>
      <c r="AP136" s="109"/>
      <c r="AQ136" s="109"/>
      <c r="AR136" s="109"/>
      <c r="AS136" s="109"/>
      <c r="AT136" s="109"/>
      <c r="AU136" s="109"/>
      <c r="AV136" s="109"/>
      <c r="AW136" s="109"/>
      <c r="AX136" s="109"/>
      <c r="AY136" s="109"/>
      <c r="AZ136" s="109"/>
      <c r="BA136" s="60"/>
      <c r="BB136" s="60"/>
      <c r="BC136" s="60"/>
      <c r="BD136" s="60"/>
      <c r="BE136" s="60"/>
      <c r="BF136" s="60"/>
      <c r="BG136" s="60"/>
      <c r="BH136" s="60"/>
      <c r="BI136" s="60"/>
    </row>
    <row r="137" spans="1:61" s="68" customFormat="1" ht="162.44999999999999" customHeight="1" x14ac:dyDescent="0.3">
      <c r="A137" s="318" t="s">
        <v>1019</v>
      </c>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20"/>
      <c r="AJ137" s="321" t="e">
        <f>ROUNDDOWN((A84+A97+A110)/(A84+A97+A110+A86+A99+A112),4)</f>
        <v>#DIV/0!</v>
      </c>
      <c r="AK137" s="322"/>
      <c r="AL137" s="322"/>
      <c r="AM137" s="101"/>
      <c r="AN137" s="109"/>
      <c r="AO137" s="109"/>
      <c r="AP137" s="109"/>
      <c r="AQ137" s="109"/>
      <c r="AR137" s="109"/>
      <c r="AS137" s="109"/>
      <c r="AT137" s="109"/>
      <c r="AU137" s="109"/>
      <c r="AV137" s="109"/>
      <c r="AW137" s="109"/>
      <c r="AX137" s="109"/>
      <c r="AY137" s="109"/>
      <c r="AZ137" s="109"/>
      <c r="BA137" s="60"/>
      <c r="BB137" s="60"/>
      <c r="BC137" s="60"/>
      <c r="BD137" s="60"/>
      <c r="BE137" s="60"/>
      <c r="BF137" s="60"/>
      <c r="BG137" s="60"/>
      <c r="BH137" s="60"/>
      <c r="BI137" s="60"/>
    </row>
    <row r="138" spans="1:61" s="68" customFormat="1" ht="306.45" customHeight="1" x14ac:dyDescent="0.3">
      <c r="A138" s="318" t="s">
        <v>1029</v>
      </c>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20"/>
      <c r="AJ138" s="323" t="e">
        <f>ROUNDDOWN(AJ$135/AJ$132,4)</f>
        <v>#DIV/0!</v>
      </c>
      <c r="AK138" s="324"/>
      <c r="AL138" s="324"/>
      <c r="AM138" s="101"/>
      <c r="AN138" s="109"/>
      <c r="AO138" s="109"/>
      <c r="AP138" s="109"/>
      <c r="AQ138" s="109"/>
      <c r="AR138" s="109"/>
      <c r="AS138" s="109"/>
      <c r="AT138" s="109"/>
      <c r="AU138" s="109"/>
      <c r="AV138" s="109"/>
      <c r="AW138" s="109"/>
      <c r="AX138" s="109"/>
      <c r="AY138" s="109"/>
      <c r="AZ138" s="109"/>
      <c r="BA138" s="60"/>
      <c r="BB138" s="60"/>
      <c r="BC138" s="60"/>
      <c r="BD138" s="60"/>
      <c r="BE138" s="60"/>
      <c r="BF138" s="60"/>
      <c r="BG138" s="60"/>
      <c r="BH138" s="60"/>
      <c r="BI138" s="60"/>
    </row>
    <row r="139" spans="1:61" s="68" customFormat="1" ht="75.45" customHeight="1" x14ac:dyDescent="0.25">
      <c r="A139" s="314" t="s">
        <v>1030</v>
      </c>
      <c r="B139" s="315"/>
      <c r="C139" s="315"/>
      <c r="D139" s="315"/>
      <c r="E139" s="315"/>
      <c r="F139" s="315"/>
      <c r="G139" s="315"/>
      <c r="H139" s="315"/>
      <c r="I139" s="315"/>
      <c r="J139" s="315"/>
      <c r="K139" s="315"/>
      <c r="L139" s="315"/>
      <c r="M139" s="315"/>
      <c r="N139" s="315"/>
      <c r="O139" s="315"/>
      <c r="P139" s="315"/>
      <c r="Q139" s="315"/>
      <c r="R139" s="315"/>
      <c r="S139" s="315"/>
      <c r="T139" s="315"/>
      <c r="U139" s="315"/>
      <c r="V139" s="315"/>
      <c r="W139" s="315"/>
      <c r="X139" s="315"/>
      <c r="Y139" s="315"/>
      <c r="Z139" s="315"/>
      <c r="AA139" s="315"/>
      <c r="AB139" s="315"/>
      <c r="AC139" s="315"/>
      <c r="AD139" s="315"/>
      <c r="AE139" s="315"/>
      <c r="AF139" s="315"/>
      <c r="AG139" s="315"/>
      <c r="AH139" s="315"/>
      <c r="AI139" s="315"/>
      <c r="AJ139" s="315"/>
      <c r="AK139" s="315"/>
      <c r="AL139" s="315"/>
      <c r="AM139" s="101"/>
      <c r="AN139" s="109"/>
      <c r="AO139" s="109"/>
      <c r="AP139" s="109"/>
      <c r="AQ139" s="109"/>
      <c r="AR139" s="109"/>
      <c r="AS139" s="109"/>
      <c r="AT139" s="109"/>
      <c r="AU139" s="109"/>
      <c r="AV139" s="109"/>
      <c r="AW139" s="109"/>
      <c r="AX139" s="109"/>
      <c r="AY139" s="109"/>
      <c r="AZ139" s="109"/>
      <c r="BA139" s="60"/>
      <c r="BB139" s="60"/>
      <c r="BC139" s="60"/>
      <c r="BD139" s="60"/>
      <c r="BE139" s="60"/>
      <c r="BF139" s="60"/>
      <c r="BG139" s="60"/>
      <c r="BH139" s="60"/>
      <c r="BI139" s="60"/>
    </row>
    <row r="140" spans="1:61" s="68" customFormat="1" ht="78.45" customHeight="1" x14ac:dyDescent="0.25">
      <c r="A140" s="316"/>
      <c r="B140" s="317"/>
      <c r="C140" s="317"/>
      <c r="D140" s="317"/>
      <c r="E140" s="317"/>
      <c r="F140" s="317"/>
      <c r="G140" s="317"/>
      <c r="H140" s="317"/>
      <c r="I140" s="317"/>
      <c r="J140" s="317"/>
      <c r="K140" s="317"/>
      <c r="L140" s="317"/>
      <c r="M140" s="317"/>
      <c r="N140" s="317"/>
      <c r="O140" s="317"/>
      <c r="P140" s="317"/>
      <c r="Q140" s="317"/>
      <c r="R140" s="317"/>
      <c r="S140" s="317"/>
      <c r="T140" s="317"/>
      <c r="U140" s="317"/>
      <c r="V140" s="317"/>
      <c r="W140" s="317"/>
      <c r="X140" s="317"/>
      <c r="Y140" s="317"/>
      <c r="Z140" s="317"/>
      <c r="AA140" s="317"/>
      <c r="AB140" s="317"/>
      <c r="AC140" s="317"/>
      <c r="AD140" s="317"/>
      <c r="AE140" s="317"/>
      <c r="AF140" s="317"/>
      <c r="AG140" s="317"/>
      <c r="AH140" s="317"/>
      <c r="AI140" s="317"/>
      <c r="AJ140" s="317"/>
      <c r="AK140" s="317"/>
      <c r="AL140" s="317"/>
      <c r="AM140" s="101"/>
      <c r="AN140" s="109"/>
      <c r="AO140" s="109"/>
      <c r="AP140" s="109"/>
      <c r="AQ140" s="109"/>
      <c r="AR140" s="109"/>
      <c r="AS140" s="109"/>
      <c r="AT140" s="109"/>
      <c r="AU140" s="109"/>
      <c r="AV140" s="109"/>
      <c r="AW140" s="109"/>
      <c r="AX140" s="109"/>
      <c r="AY140" s="109"/>
      <c r="AZ140" s="109"/>
      <c r="BA140" s="60"/>
      <c r="BB140" s="60"/>
      <c r="BC140" s="60"/>
      <c r="BD140" s="60"/>
      <c r="BE140" s="60"/>
      <c r="BF140" s="60"/>
      <c r="BG140" s="60"/>
      <c r="BH140" s="60"/>
      <c r="BI140" s="60"/>
    </row>
    <row r="141" spans="1:61" s="68" customFormat="1" ht="148.5" customHeight="1" x14ac:dyDescent="0.25">
      <c r="A141" s="308" t="s">
        <v>1110</v>
      </c>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c r="AH141" s="308"/>
      <c r="AI141" s="308"/>
      <c r="AJ141" s="308"/>
      <c r="AK141" s="308"/>
      <c r="AL141" s="308"/>
      <c r="AM141" s="108"/>
      <c r="AN141" s="109"/>
      <c r="AO141" s="109"/>
      <c r="AP141" s="109"/>
      <c r="AQ141" s="109"/>
      <c r="AR141" s="109"/>
      <c r="AS141" s="109"/>
      <c r="AT141" s="109"/>
      <c r="AU141" s="109"/>
      <c r="AV141" s="109"/>
      <c r="AW141" s="109"/>
      <c r="AX141" s="109"/>
      <c r="AY141" s="109"/>
      <c r="AZ141" s="109"/>
      <c r="BA141" s="60"/>
      <c r="BB141" s="60"/>
      <c r="BC141" s="60"/>
      <c r="BD141" s="60"/>
      <c r="BE141" s="60"/>
      <c r="BF141" s="60"/>
      <c r="BG141" s="60"/>
      <c r="BH141" s="60"/>
      <c r="BI141" s="60"/>
    </row>
    <row r="142" spans="1:61" ht="84.75" customHeight="1" x14ac:dyDescent="0.25">
      <c r="A142" s="135" t="s">
        <v>127</v>
      </c>
      <c r="B142" s="311" t="s">
        <v>812</v>
      </c>
      <c r="C142" s="312"/>
      <c r="D142" s="312"/>
      <c r="E142" s="312"/>
      <c r="F142" s="313"/>
      <c r="G142" s="325" t="s">
        <v>813</v>
      </c>
      <c r="H142" s="325"/>
      <c r="I142" s="325"/>
      <c r="J142" s="325"/>
      <c r="K142" s="325"/>
      <c r="L142" s="325" t="s">
        <v>185</v>
      </c>
      <c r="M142" s="325"/>
      <c r="N142" s="325"/>
      <c r="O142" s="325"/>
      <c r="P142" s="325" t="s">
        <v>184</v>
      </c>
      <c r="Q142" s="325"/>
      <c r="R142" s="325"/>
      <c r="S142" s="325"/>
      <c r="T142" s="325" t="s">
        <v>665</v>
      </c>
      <c r="U142" s="325"/>
      <c r="V142" s="325"/>
      <c r="W142" s="325"/>
      <c r="X142" s="325"/>
      <c r="Y142" s="325"/>
      <c r="Z142" s="325"/>
      <c r="AA142" s="325" t="s">
        <v>664</v>
      </c>
      <c r="AB142" s="325"/>
      <c r="AC142" s="325"/>
      <c r="AD142" s="325"/>
      <c r="AE142" s="325"/>
      <c r="AF142" s="325"/>
      <c r="AG142" s="325"/>
      <c r="AH142" s="325" t="s">
        <v>179</v>
      </c>
      <c r="AI142" s="325"/>
      <c r="AJ142" s="325"/>
      <c r="AK142" s="325" t="s">
        <v>186</v>
      </c>
      <c r="AL142" s="325"/>
      <c r="AM142" s="144" t="s">
        <v>221</v>
      </c>
      <c r="AN142" s="61"/>
      <c r="AO142" s="61"/>
      <c r="AP142" s="60"/>
      <c r="AQ142" s="60"/>
      <c r="AR142" s="60"/>
      <c r="AS142" s="60"/>
      <c r="AT142" s="60"/>
      <c r="AU142" s="60"/>
      <c r="AV142" s="60"/>
      <c r="AW142" s="60"/>
      <c r="AX142" s="60"/>
      <c r="AY142" s="60"/>
      <c r="AZ142" s="60"/>
    </row>
    <row r="143" spans="1:61" ht="14.1" customHeight="1" x14ac:dyDescent="0.25">
      <c r="A143" s="135">
        <v>1</v>
      </c>
      <c r="B143" s="311">
        <v>2</v>
      </c>
      <c r="C143" s="312"/>
      <c r="D143" s="312"/>
      <c r="E143" s="312"/>
      <c r="F143" s="312"/>
      <c r="G143" s="311">
        <v>3</v>
      </c>
      <c r="H143" s="312"/>
      <c r="I143" s="312"/>
      <c r="J143" s="312"/>
      <c r="K143" s="313"/>
      <c r="L143" s="311">
        <v>4</v>
      </c>
      <c r="M143" s="312"/>
      <c r="N143" s="312"/>
      <c r="O143" s="313"/>
      <c r="P143" s="311">
        <v>5</v>
      </c>
      <c r="Q143" s="312"/>
      <c r="R143" s="312"/>
      <c r="S143" s="313"/>
      <c r="T143" s="311">
        <v>6</v>
      </c>
      <c r="U143" s="312"/>
      <c r="V143" s="312"/>
      <c r="W143" s="312"/>
      <c r="X143" s="312"/>
      <c r="Y143" s="312"/>
      <c r="Z143" s="313"/>
      <c r="AA143" s="311" t="s">
        <v>821</v>
      </c>
      <c r="AB143" s="312"/>
      <c r="AC143" s="312"/>
      <c r="AD143" s="312"/>
      <c r="AE143" s="312"/>
      <c r="AF143" s="312"/>
      <c r="AG143" s="313"/>
      <c r="AH143" s="311">
        <v>8</v>
      </c>
      <c r="AI143" s="312"/>
      <c r="AJ143" s="313"/>
      <c r="AK143" s="311" t="s">
        <v>666</v>
      </c>
      <c r="AL143" s="313"/>
      <c r="AM143" s="144"/>
      <c r="AN143" s="61"/>
      <c r="AO143" s="61"/>
      <c r="AP143" s="60"/>
      <c r="AQ143" s="60"/>
      <c r="AR143" s="60"/>
      <c r="AS143" s="60"/>
      <c r="AT143" s="60"/>
      <c r="AU143" s="60"/>
      <c r="AV143" s="60"/>
      <c r="AW143" s="60"/>
      <c r="AX143" s="60"/>
      <c r="AY143" s="60"/>
      <c r="AZ143" s="60"/>
    </row>
    <row r="144" spans="1:61" s="223" customFormat="1" ht="36" customHeight="1" x14ac:dyDescent="0.25">
      <c r="A144" s="128">
        <v>1</v>
      </c>
      <c r="B144" s="303"/>
      <c r="C144" s="304"/>
      <c r="D144" s="304"/>
      <c r="E144" s="304"/>
      <c r="F144" s="305"/>
      <c r="G144" s="300"/>
      <c r="H144" s="301"/>
      <c r="I144" s="301"/>
      <c r="J144" s="301"/>
      <c r="K144" s="302"/>
      <c r="L144" s="306"/>
      <c r="M144" s="307"/>
      <c r="N144" s="307"/>
      <c r="O144" s="307"/>
      <c r="P144" s="294">
        <f>IF(OR(B144=Słowniki!A$46,B144=Słowniki!A$56,B144=Słowniki!A$58),0.08,0.23)</f>
        <v>0.23</v>
      </c>
      <c r="Q144" s="295"/>
      <c r="R144" s="295"/>
      <c r="S144" s="295"/>
      <c r="T144" s="528">
        <v>1</v>
      </c>
      <c r="U144" s="528"/>
      <c r="V144" s="528"/>
      <c r="W144" s="528"/>
      <c r="X144" s="528"/>
      <c r="Y144" s="528"/>
      <c r="Z144" s="529"/>
      <c r="AA144" s="526">
        <f>L144+ROUND(L144*P144*T144,2)</f>
        <v>0</v>
      </c>
      <c r="AB144" s="530"/>
      <c r="AC144" s="530"/>
      <c r="AD144" s="530"/>
      <c r="AE144" s="530"/>
      <c r="AF144" s="530"/>
      <c r="AG144" s="527"/>
      <c r="AH144" s="531" t="e">
        <f>IF(OR(B144=Słowniki!A$57,B144=Słowniki!A$58),(AJ$137*AJ$138),AJ$137)</f>
        <v>#DIV/0!</v>
      </c>
      <c r="AI144" s="532"/>
      <c r="AJ144" s="533"/>
      <c r="AK144" s="526" t="e">
        <f>ROUND(AA144*AH144,2)</f>
        <v>#DIV/0!</v>
      </c>
      <c r="AL144" s="527"/>
      <c r="AM144" s="221"/>
      <c r="AN144" s="221"/>
      <c r="AO144" s="222"/>
    </row>
    <row r="145" spans="1:41" s="223" customFormat="1" ht="36" customHeight="1" x14ac:dyDescent="0.25">
      <c r="A145" s="128">
        <v>2</v>
      </c>
      <c r="B145" s="303"/>
      <c r="C145" s="304"/>
      <c r="D145" s="304"/>
      <c r="E145" s="304"/>
      <c r="F145" s="305"/>
      <c r="G145" s="300"/>
      <c r="H145" s="301"/>
      <c r="I145" s="301"/>
      <c r="J145" s="301"/>
      <c r="K145" s="302"/>
      <c r="L145" s="306"/>
      <c r="M145" s="307"/>
      <c r="N145" s="307"/>
      <c r="O145" s="307"/>
      <c r="P145" s="294">
        <f>IF(OR(B145=Słowniki!A$46,B145=Słowniki!A$56,B145=Słowniki!A$58),0.08,0.23)</f>
        <v>0.23</v>
      </c>
      <c r="Q145" s="295"/>
      <c r="R145" s="295"/>
      <c r="S145" s="295"/>
      <c r="T145" s="528">
        <v>1</v>
      </c>
      <c r="U145" s="528"/>
      <c r="V145" s="528"/>
      <c r="W145" s="528"/>
      <c r="X145" s="528"/>
      <c r="Y145" s="528"/>
      <c r="Z145" s="529"/>
      <c r="AA145" s="526">
        <f t="shared" ref="AA145:AA165" si="0">L145+ROUND(L145*P145*T145,2)</f>
        <v>0</v>
      </c>
      <c r="AB145" s="530"/>
      <c r="AC145" s="530"/>
      <c r="AD145" s="530"/>
      <c r="AE145" s="530"/>
      <c r="AF145" s="530"/>
      <c r="AG145" s="527"/>
      <c r="AH145" s="531" t="e">
        <f>IF(OR(B145=Słowniki!A$57,B145=Słowniki!A$58),(AJ$137*AJ$138),AJ$137)</f>
        <v>#DIV/0!</v>
      </c>
      <c r="AI145" s="532"/>
      <c r="AJ145" s="533"/>
      <c r="AK145" s="526" t="e">
        <f t="shared" ref="AK145:AK165" si="1">ROUND(AA145*AH145,2)</f>
        <v>#DIV/0!</v>
      </c>
      <c r="AL145" s="527"/>
      <c r="AM145" s="221"/>
      <c r="AN145" s="221"/>
      <c r="AO145" s="222"/>
    </row>
    <row r="146" spans="1:41" s="223" customFormat="1" ht="36" customHeight="1" x14ac:dyDescent="0.25">
      <c r="A146" s="128">
        <v>3</v>
      </c>
      <c r="B146" s="303"/>
      <c r="C146" s="304"/>
      <c r="D146" s="304"/>
      <c r="E146" s="304"/>
      <c r="F146" s="305"/>
      <c r="G146" s="300"/>
      <c r="H146" s="301"/>
      <c r="I146" s="301"/>
      <c r="J146" s="301"/>
      <c r="K146" s="302"/>
      <c r="L146" s="306"/>
      <c r="M146" s="307"/>
      <c r="N146" s="307"/>
      <c r="O146" s="307"/>
      <c r="P146" s="294">
        <f>IF(OR(B146=Słowniki!A$46,B146=Słowniki!A$56,B146=Słowniki!A$58),0.08,0.23)</f>
        <v>0.23</v>
      </c>
      <c r="Q146" s="295"/>
      <c r="R146" s="295"/>
      <c r="S146" s="295"/>
      <c r="T146" s="528">
        <v>1</v>
      </c>
      <c r="U146" s="528"/>
      <c r="V146" s="528"/>
      <c r="W146" s="528"/>
      <c r="X146" s="528"/>
      <c r="Y146" s="528"/>
      <c r="Z146" s="529"/>
      <c r="AA146" s="526">
        <f t="shared" si="0"/>
        <v>0</v>
      </c>
      <c r="AB146" s="530"/>
      <c r="AC146" s="530"/>
      <c r="AD146" s="530"/>
      <c r="AE146" s="530"/>
      <c r="AF146" s="530"/>
      <c r="AG146" s="527"/>
      <c r="AH146" s="531" t="e">
        <f>IF(OR(B146=Słowniki!A$57,B146=Słowniki!A$58),(AJ$137*AJ$138),AJ$137)</f>
        <v>#DIV/0!</v>
      </c>
      <c r="AI146" s="532"/>
      <c r="AJ146" s="533"/>
      <c r="AK146" s="526" t="e">
        <f t="shared" si="1"/>
        <v>#DIV/0!</v>
      </c>
      <c r="AL146" s="527"/>
      <c r="AM146" s="221"/>
      <c r="AN146" s="221"/>
      <c r="AO146" s="222"/>
    </row>
    <row r="147" spans="1:41" s="223" customFormat="1" ht="36" customHeight="1" x14ac:dyDescent="0.25">
      <c r="A147" s="128">
        <v>4</v>
      </c>
      <c r="B147" s="303"/>
      <c r="C147" s="304"/>
      <c r="D147" s="304"/>
      <c r="E147" s="304"/>
      <c r="F147" s="305"/>
      <c r="G147" s="300"/>
      <c r="H147" s="301"/>
      <c r="I147" s="301"/>
      <c r="J147" s="301"/>
      <c r="K147" s="302"/>
      <c r="L147" s="306"/>
      <c r="M147" s="307"/>
      <c r="N147" s="307"/>
      <c r="O147" s="307"/>
      <c r="P147" s="294">
        <f>IF(OR(B147=Słowniki!A$46,B147=Słowniki!A$56,B147=Słowniki!A$58),0.08,0.23)</f>
        <v>0.23</v>
      </c>
      <c r="Q147" s="295"/>
      <c r="R147" s="295"/>
      <c r="S147" s="295"/>
      <c r="T147" s="528">
        <v>1</v>
      </c>
      <c r="U147" s="528"/>
      <c r="V147" s="528"/>
      <c r="W147" s="528"/>
      <c r="X147" s="528"/>
      <c r="Y147" s="528"/>
      <c r="Z147" s="529"/>
      <c r="AA147" s="526">
        <f t="shared" si="0"/>
        <v>0</v>
      </c>
      <c r="AB147" s="530"/>
      <c r="AC147" s="530"/>
      <c r="AD147" s="530"/>
      <c r="AE147" s="530"/>
      <c r="AF147" s="530"/>
      <c r="AG147" s="527"/>
      <c r="AH147" s="531" t="e">
        <f>IF(OR(B147=Słowniki!A$57,B147=Słowniki!A$58),(AJ$137*AJ$138),AJ$137)</f>
        <v>#DIV/0!</v>
      </c>
      <c r="AI147" s="532"/>
      <c r="AJ147" s="533"/>
      <c r="AK147" s="526" t="e">
        <f t="shared" si="1"/>
        <v>#DIV/0!</v>
      </c>
      <c r="AL147" s="527"/>
      <c r="AM147" s="221"/>
      <c r="AN147" s="221"/>
      <c r="AO147" s="222"/>
    </row>
    <row r="148" spans="1:41" s="223" customFormat="1" ht="36" customHeight="1" x14ac:dyDescent="0.25">
      <c r="A148" s="128">
        <v>5</v>
      </c>
      <c r="B148" s="303"/>
      <c r="C148" s="304"/>
      <c r="D148" s="304"/>
      <c r="E148" s="304"/>
      <c r="F148" s="305"/>
      <c r="G148" s="300"/>
      <c r="H148" s="301"/>
      <c r="I148" s="301"/>
      <c r="J148" s="301"/>
      <c r="K148" s="302"/>
      <c r="L148" s="306"/>
      <c r="M148" s="307"/>
      <c r="N148" s="307"/>
      <c r="O148" s="307"/>
      <c r="P148" s="294">
        <f>IF(OR(B148=Słowniki!A$46,B148=Słowniki!A$56,B148=Słowniki!A$58),0.08,0.23)</f>
        <v>0.23</v>
      </c>
      <c r="Q148" s="295"/>
      <c r="R148" s="295"/>
      <c r="S148" s="295"/>
      <c r="T148" s="528">
        <v>1</v>
      </c>
      <c r="U148" s="528"/>
      <c r="V148" s="528"/>
      <c r="W148" s="528"/>
      <c r="X148" s="528"/>
      <c r="Y148" s="528"/>
      <c r="Z148" s="529"/>
      <c r="AA148" s="526">
        <f t="shared" si="0"/>
        <v>0</v>
      </c>
      <c r="AB148" s="530"/>
      <c r="AC148" s="530"/>
      <c r="AD148" s="530"/>
      <c r="AE148" s="530"/>
      <c r="AF148" s="530"/>
      <c r="AG148" s="527"/>
      <c r="AH148" s="531" t="e">
        <f>IF(OR(B148=Słowniki!A$57,B148=Słowniki!A$58),(AJ$137*AJ$138),AJ$137)</f>
        <v>#DIV/0!</v>
      </c>
      <c r="AI148" s="532"/>
      <c r="AJ148" s="533"/>
      <c r="AK148" s="526" t="e">
        <f t="shared" si="1"/>
        <v>#DIV/0!</v>
      </c>
      <c r="AL148" s="527"/>
      <c r="AM148" s="221"/>
      <c r="AN148" s="221"/>
      <c r="AO148" s="222"/>
    </row>
    <row r="149" spans="1:41" s="223" customFormat="1" ht="36" customHeight="1" x14ac:dyDescent="0.25">
      <c r="A149" s="128">
        <v>6</v>
      </c>
      <c r="B149" s="303"/>
      <c r="C149" s="304"/>
      <c r="D149" s="304"/>
      <c r="E149" s="304"/>
      <c r="F149" s="305"/>
      <c r="G149" s="300"/>
      <c r="H149" s="301"/>
      <c r="I149" s="301"/>
      <c r="J149" s="301"/>
      <c r="K149" s="302"/>
      <c r="L149" s="306"/>
      <c r="M149" s="307"/>
      <c r="N149" s="307"/>
      <c r="O149" s="307"/>
      <c r="P149" s="294">
        <f>IF(OR(B149=Słowniki!A$46,B149=Słowniki!A$56,B149=Słowniki!A$58),0.08,0.23)</f>
        <v>0.23</v>
      </c>
      <c r="Q149" s="295"/>
      <c r="R149" s="295"/>
      <c r="S149" s="295"/>
      <c r="T149" s="528">
        <v>1</v>
      </c>
      <c r="U149" s="528"/>
      <c r="V149" s="528"/>
      <c r="W149" s="528"/>
      <c r="X149" s="528"/>
      <c r="Y149" s="528"/>
      <c r="Z149" s="529"/>
      <c r="AA149" s="526">
        <f t="shared" si="0"/>
        <v>0</v>
      </c>
      <c r="AB149" s="530"/>
      <c r="AC149" s="530"/>
      <c r="AD149" s="530"/>
      <c r="AE149" s="530"/>
      <c r="AF149" s="530"/>
      <c r="AG149" s="527"/>
      <c r="AH149" s="531" t="e">
        <f>IF(OR(B149=Słowniki!A$57,B149=Słowniki!A$58),(AJ$137*AJ$138),AJ$137)</f>
        <v>#DIV/0!</v>
      </c>
      <c r="AI149" s="532"/>
      <c r="AJ149" s="533"/>
      <c r="AK149" s="526" t="e">
        <f t="shared" si="1"/>
        <v>#DIV/0!</v>
      </c>
      <c r="AL149" s="527"/>
      <c r="AM149" s="221"/>
      <c r="AN149" s="221"/>
      <c r="AO149" s="222"/>
    </row>
    <row r="150" spans="1:41" s="223" customFormat="1" ht="36" customHeight="1" x14ac:dyDescent="0.25">
      <c r="A150" s="128">
        <v>7</v>
      </c>
      <c r="B150" s="303"/>
      <c r="C150" s="304"/>
      <c r="D150" s="304"/>
      <c r="E150" s="304"/>
      <c r="F150" s="305"/>
      <c r="G150" s="300"/>
      <c r="H150" s="301"/>
      <c r="I150" s="301"/>
      <c r="J150" s="301"/>
      <c r="K150" s="302"/>
      <c r="L150" s="306"/>
      <c r="M150" s="307"/>
      <c r="N150" s="307"/>
      <c r="O150" s="307"/>
      <c r="P150" s="294">
        <f>IF(OR(B150=Słowniki!A$46,B150=Słowniki!A$56,B150=Słowniki!A$58),0.08,0.23)</f>
        <v>0.23</v>
      </c>
      <c r="Q150" s="295"/>
      <c r="R150" s="295"/>
      <c r="S150" s="295"/>
      <c r="T150" s="528">
        <v>1</v>
      </c>
      <c r="U150" s="528"/>
      <c r="V150" s="528"/>
      <c r="W150" s="528"/>
      <c r="X150" s="528"/>
      <c r="Y150" s="528"/>
      <c r="Z150" s="529"/>
      <c r="AA150" s="526">
        <f t="shared" si="0"/>
        <v>0</v>
      </c>
      <c r="AB150" s="530"/>
      <c r="AC150" s="530"/>
      <c r="AD150" s="530"/>
      <c r="AE150" s="530"/>
      <c r="AF150" s="530"/>
      <c r="AG150" s="527"/>
      <c r="AH150" s="531" t="e">
        <f>IF(OR(B150=Słowniki!A$57,B150=Słowniki!A$58),(AJ$137*AJ$138),AJ$137)</f>
        <v>#DIV/0!</v>
      </c>
      <c r="AI150" s="532"/>
      <c r="AJ150" s="533"/>
      <c r="AK150" s="526" t="e">
        <f t="shared" si="1"/>
        <v>#DIV/0!</v>
      </c>
      <c r="AL150" s="527"/>
      <c r="AM150" s="221"/>
      <c r="AN150" s="221"/>
      <c r="AO150" s="222"/>
    </row>
    <row r="151" spans="1:41" s="223" customFormat="1" ht="36" customHeight="1" x14ac:dyDescent="0.25">
      <c r="A151" s="128">
        <v>8</v>
      </c>
      <c r="B151" s="303"/>
      <c r="C151" s="304"/>
      <c r="D151" s="304"/>
      <c r="E151" s="304"/>
      <c r="F151" s="305"/>
      <c r="G151" s="300"/>
      <c r="H151" s="301"/>
      <c r="I151" s="301"/>
      <c r="J151" s="301"/>
      <c r="K151" s="302"/>
      <c r="L151" s="306"/>
      <c r="M151" s="307"/>
      <c r="N151" s="307"/>
      <c r="O151" s="307"/>
      <c r="P151" s="294">
        <f>IF(OR(B151=Słowniki!A$46,B151=Słowniki!A$56,B151=Słowniki!A$58),0.08,0.23)</f>
        <v>0.23</v>
      </c>
      <c r="Q151" s="295"/>
      <c r="R151" s="295"/>
      <c r="S151" s="295"/>
      <c r="T151" s="528">
        <v>1</v>
      </c>
      <c r="U151" s="528"/>
      <c r="V151" s="528"/>
      <c r="W151" s="528"/>
      <c r="X151" s="528"/>
      <c r="Y151" s="528"/>
      <c r="Z151" s="529"/>
      <c r="AA151" s="526">
        <f t="shared" si="0"/>
        <v>0</v>
      </c>
      <c r="AB151" s="530"/>
      <c r="AC151" s="530"/>
      <c r="AD151" s="530"/>
      <c r="AE151" s="530"/>
      <c r="AF151" s="530"/>
      <c r="AG151" s="527"/>
      <c r="AH151" s="531" t="e">
        <f>IF(OR(B151=Słowniki!A$57,B151=Słowniki!A$58),(AJ$137*AJ$138),AJ$137)</f>
        <v>#DIV/0!</v>
      </c>
      <c r="AI151" s="532"/>
      <c r="AJ151" s="533"/>
      <c r="AK151" s="526" t="e">
        <f t="shared" si="1"/>
        <v>#DIV/0!</v>
      </c>
      <c r="AL151" s="527"/>
      <c r="AM151" s="221"/>
      <c r="AN151" s="221"/>
      <c r="AO151" s="222"/>
    </row>
    <row r="152" spans="1:41" s="223" customFormat="1" ht="36" customHeight="1" x14ac:dyDescent="0.25">
      <c r="A152" s="128">
        <v>9</v>
      </c>
      <c r="B152" s="303"/>
      <c r="C152" s="304"/>
      <c r="D152" s="304"/>
      <c r="E152" s="304"/>
      <c r="F152" s="305"/>
      <c r="G152" s="300"/>
      <c r="H152" s="301"/>
      <c r="I152" s="301"/>
      <c r="J152" s="301"/>
      <c r="K152" s="302"/>
      <c r="L152" s="306"/>
      <c r="M152" s="307"/>
      <c r="N152" s="307"/>
      <c r="O152" s="307"/>
      <c r="P152" s="294">
        <f>IF(OR(B152=Słowniki!A$46,B152=Słowniki!A$56,B152=Słowniki!A$58),0.08,0.23)</f>
        <v>0.23</v>
      </c>
      <c r="Q152" s="295"/>
      <c r="R152" s="295"/>
      <c r="S152" s="295"/>
      <c r="T152" s="528">
        <v>1</v>
      </c>
      <c r="U152" s="528"/>
      <c r="V152" s="528"/>
      <c r="W152" s="528"/>
      <c r="X152" s="528"/>
      <c r="Y152" s="528"/>
      <c r="Z152" s="529"/>
      <c r="AA152" s="526">
        <f t="shared" si="0"/>
        <v>0</v>
      </c>
      <c r="AB152" s="530"/>
      <c r="AC152" s="530"/>
      <c r="AD152" s="530"/>
      <c r="AE152" s="530"/>
      <c r="AF152" s="530"/>
      <c r="AG152" s="527"/>
      <c r="AH152" s="531" t="e">
        <f>IF(OR(B152=Słowniki!A$57,B152=Słowniki!A$58),(AJ$137*AJ$138),AJ$137)</f>
        <v>#DIV/0!</v>
      </c>
      <c r="AI152" s="532"/>
      <c r="AJ152" s="533"/>
      <c r="AK152" s="526" t="e">
        <f t="shared" si="1"/>
        <v>#DIV/0!</v>
      </c>
      <c r="AL152" s="527"/>
      <c r="AM152" s="221"/>
      <c r="AN152" s="221"/>
      <c r="AO152" s="222"/>
    </row>
    <row r="153" spans="1:41" s="223" customFormat="1" ht="36" customHeight="1" x14ac:dyDescent="0.25">
      <c r="A153" s="128">
        <v>10</v>
      </c>
      <c r="B153" s="303"/>
      <c r="C153" s="304"/>
      <c r="D153" s="304"/>
      <c r="E153" s="304"/>
      <c r="F153" s="305"/>
      <c r="G153" s="300"/>
      <c r="H153" s="301"/>
      <c r="I153" s="301"/>
      <c r="J153" s="301"/>
      <c r="K153" s="302"/>
      <c r="L153" s="306"/>
      <c r="M153" s="307"/>
      <c r="N153" s="307"/>
      <c r="O153" s="307"/>
      <c r="P153" s="294">
        <f>IF(OR(B153=Słowniki!A$46,B153=Słowniki!A$56,B153=Słowniki!A$58),0.08,0.23)</f>
        <v>0.23</v>
      </c>
      <c r="Q153" s="295"/>
      <c r="R153" s="295"/>
      <c r="S153" s="295"/>
      <c r="T153" s="528">
        <v>1</v>
      </c>
      <c r="U153" s="528"/>
      <c r="V153" s="528"/>
      <c r="W153" s="528"/>
      <c r="X153" s="528"/>
      <c r="Y153" s="528"/>
      <c r="Z153" s="529"/>
      <c r="AA153" s="526">
        <f>L153+ROUND(L153*P153*T153,2)</f>
        <v>0</v>
      </c>
      <c r="AB153" s="530"/>
      <c r="AC153" s="530"/>
      <c r="AD153" s="530"/>
      <c r="AE153" s="530"/>
      <c r="AF153" s="530"/>
      <c r="AG153" s="527"/>
      <c r="AH153" s="531" t="e">
        <f>IF(OR(B153=Słowniki!A$57,B153=Słowniki!A$58),(AJ$137*AJ$138),AJ$137)</f>
        <v>#DIV/0!</v>
      </c>
      <c r="AI153" s="532"/>
      <c r="AJ153" s="533"/>
      <c r="AK153" s="526" t="e">
        <f t="shared" si="1"/>
        <v>#DIV/0!</v>
      </c>
      <c r="AL153" s="527"/>
      <c r="AM153" s="221"/>
      <c r="AN153" s="221"/>
      <c r="AO153" s="222"/>
    </row>
    <row r="154" spans="1:41" s="223" customFormat="1" ht="36" customHeight="1" x14ac:dyDescent="0.25">
      <c r="A154" s="128">
        <v>11</v>
      </c>
      <c r="B154" s="303"/>
      <c r="C154" s="304"/>
      <c r="D154" s="304"/>
      <c r="E154" s="304"/>
      <c r="F154" s="305"/>
      <c r="G154" s="300"/>
      <c r="H154" s="301"/>
      <c r="I154" s="301"/>
      <c r="J154" s="301"/>
      <c r="K154" s="302"/>
      <c r="L154" s="306"/>
      <c r="M154" s="307"/>
      <c r="N154" s="307"/>
      <c r="O154" s="307"/>
      <c r="P154" s="294">
        <f>IF(OR(B154=Słowniki!A$46,B154=Słowniki!A$56,B154=Słowniki!A$58),0.08,0.23)</f>
        <v>0.23</v>
      </c>
      <c r="Q154" s="295"/>
      <c r="R154" s="295"/>
      <c r="S154" s="295"/>
      <c r="T154" s="528">
        <v>1</v>
      </c>
      <c r="U154" s="528"/>
      <c r="V154" s="528"/>
      <c r="W154" s="528"/>
      <c r="X154" s="528"/>
      <c r="Y154" s="528"/>
      <c r="Z154" s="529"/>
      <c r="AA154" s="526">
        <f t="shared" si="0"/>
        <v>0</v>
      </c>
      <c r="AB154" s="530"/>
      <c r="AC154" s="530"/>
      <c r="AD154" s="530"/>
      <c r="AE154" s="530"/>
      <c r="AF154" s="530"/>
      <c r="AG154" s="527"/>
      <c r="AH154" s="531" t="e">
        <f>IF(OR(B154=Słowniki!A$57,B154=Słowniki!A$58),(AJ$137*AJ$138),AJ$137)</f>
        <v>#DIV/0!</v>
      </c>
      <c r="AI154" s="532"/>
      <c r="AJ154" s="533"/>
      <c r="AK154" s="526" t="e">
        <f t="shared" si="1"/>
        <v>#DIV/0!</v>
      </c>
      <c r="AL154" s="527"/>
      <c r="AM154" s="221"/>
      <c r="AN154" s="221"/>
      <c r="AO154" s="222"/>
    </row>
    <row r="155" spans="1:41" s="223" customFormat="1" ht="36" customHeight="1" x14ac:dyDescent="0.25">
      <c r="A155" s="128">
        <v>12</v>
      </c>
      <c r="B155" s="303"/>
      <c r="C155" s="304"/>
      <c r="D155" s="304"/>
      <c r="E155" s="304"/>
      <c r="F155" s="305"/>
      <c r="G155" s="300"/>
      <c r="H155" s="301"/>
      <c r="I155" s="301"/>
      <c r="J155" s="301"/>
      <c r="K155" s="302"/>
      <c r="L155" s="306"/>
      <c r="M155" s="307"/>
      <c r="N155" s="307"/>
      <c r="O155" s="307"/>
      <c r="P155" s="294">
        <f>IF(OR(B155=Słowniki!A$46,B155=Słowniki!A$56,B155=Słowniki!A$58),0.08,0.23)</f>
        <v>0.23</v>
      </c>
      <c r="Q155" s="295"/>
      <c r="R155" s="295"/>
      <c r="S155" s="295"/>
      <c r="T155" s="528">
        <v>1</v>
      </c>
      <c r="U155" s="528"/>
      <c r="V155" s="528"/>
      <c r="W155" s="528"/>
      <c r="X155" s="528"/>
      <c r="Y155" s="528"/>
      <c r="Z155" s="529"/>
      <c r="AA155" s="526">
        <f t="shared" si="0"/>
        <v>0</v>
      </c>
      <c r="AB155" s="530"/>
      <c r="AC155" s="530"/>
      <c r="AD155" s="530"/>
      <c r="AE155" s="530"/>
      <c r="AF155" s="530"/>
      <c r="AG155" s="527"/>
      <c r="AH155" s="531" t="e">
        <f>IF(OR(B155=Słowniki!A$57,B155=Słowniki!A$58),(AJ$137*AJ$138),AJ$137)</f>
        <v>#DIV/0!</v>
      </c>
      <c r="AI155" s="532"/>
      <c r="AJ155" s="533"/>
      <c r="AK155" s="526" t="e">
        <f t="shared" si="1"/>
        <v>#DIV/0!</v>
      </c>
      <c r="AL155" s="527"/>
      <c r="AM155" s="221"/>
      <c r="AN155" s="221"/>
      <c r="AO155" s="222"/>
    </row>
    <row r="156" spans="1:41" s="223" customFormat="1" ht="36" customHeight="1" x14ac:dyDescent="0.25">
      <c r="A156" s="128">
        <v>13</v>
      </c>
      <c r="B156" s="303"/>
      <c r="C156" s="304"/>
      <c r="D156" s="304"/>
      <c r="E156" s="304"/>
      <c r="F156" s="305"/>
      <c r="G156" s="300"/>
      <c r="H156" s="301"/>
      <c r="I156" s="301"/>
      <c r="J156" s="301"/>
      <c r="K156" s="302"/>
      <c r="L156" s="306"/>
      <c r="M156" s="307"/>
      <c r="N156" s="307"/>
      <c r="O156" s="307"/>
      <c r="P156" s="294">
        <f>IF(OR(B156=Słowniki!A$46,B156=Słowniki!A$56,B156=Słowniki!A$58),0.08,0.23)</f>
        <v>0.23</v>
      </c>
      <c r="Q156" s="295"/>
      <c r="R156" s="295"/>
      <c r="S156" s="295"/>
      <c r="T156" s="528">
        <v>1</v>
      </c>
      <c r="U156" s="528"/>
      <c r="V156" s="528"/>
      <c r="W156" s="528"/>
      <c r="X156" s="528"/>
      <c r="Y156" s="528"/>
      <c r="Z156" s="529"/>
      <c r="AA156" s="526">
        <f t="shared" si="0"/>
        <v>0</v>
      </c>
      <c r="AB156" s="530"/>
      <c r="AC156" s="530"/>
      <c r="AD156" s="530"/>
      <c r="AE156" s="530"/>
      <c r="AF156" s="530"/>
      <c r="AG156" s="527"/>
      <c r="AH156" s="531" t="e">
        <f>IF(OR(B156=Słowniki!A$57,B156=Słowniki!A$58),(AJ$137*AJ$138),AJ$137)</f>
        <v>#DIV/0!</v>
      </c>
      <c r="AI156" s="532"/>
      <c r="AJ156" s="533"/>
      <c r="AK156" s="526" t="e">
        <f t="shared" si="1"/>
        <v>#DIV/0!</v>
      </c>
      <c r="AL156" s="527"/>
      <c r="AM156" s="221"/>
      <c r="AN156" s="221"/>
      <c r="AO156" s="222"/>
    </row>
    <row r="157" spans="1:41" s="223" customFormat="1" ht="36" customHeight="1" x14ac:dyDescent="0.25">
      <c r="A157" s="128">
        <v>14</v>
      </c>
      <c r="B157" s="303"/>
      <c r="C157" s="304"/>
      <c r="D157" s="304"/>
      <c r="E157" s="304"/>
      <c r="F157" s="305"/>
      <c r="G157" s="300"/>
      <c r="H157" s="301"/>
      <c r="I157" s="301"/>
      <c r="J157" s="301"/>
      <c r="K157" s="302"/>
      <c r="L157" s="306"/>
      <c r="M157" s="307"/>
      <c r="N157" s="307"/>
      <c r="O157" s="307"/>
      <c r="P157" s="294">
        <f>IF(OR(B157=Słowniki!A$46,B157=Słowniki!A$56,B157=Słowniki!A$58),0.08,0.23)</f>
        <v>0.23</v>
      </c>
      <c r="Q157" s="295"/>
      <c r="R157" s="295"/>
      <c r="S157" s="295"/>
      <c r="T157" s="528">
        <v>1</v>
      </c>
      <c r="U157" s="528"/>
      <c r="V157" s="528"/>
      <c r="W157" s="528"/>
      <c r="X157" s="528"/>
      <c r="Y157" s="528"/>
      <c r="Z157" s="529"/>
      <c r="AA157" s="526">
        <f t="shared" si="0"/>
        <v>0</v>
      </c>
      <c r="AB157" s="530"/>
      <c r="AC157" s="530"/>
      <c r="AD157" s="530"/>
      <c r="AE157" s="530"/>
      <c r="AF157" s="530"/>
      <c r="AG157" s="527"/>
      <c r="AH157" s="531" t="e">
        <f>IF(OR(B157=Słowniki!A$57,B157=Słowniki!A$58),(AJ$137*AJ$138),AJ$137)</f>
        <v>#DIV/0!</v>
      </c>
      <c r="AI157" s="532"/>
      <c r="AJ157" s="533"/>
      <c r="AK157" s="526" t="e">
        <f t="shared" si="1"/>
        <v>#DIV/0!</v>
      </c>
      <c r="AL157" s="527"/>
      <c r="AM157" s="221"/>
      <c r="AN157" s="221"/>
      <c r="AO157" s="222"/>
    </row>
    <row r="158" spans="1:41" s="223" customFormat="1" ht="36" customHeight="1" x14ac:dyDescent="0.25">
      <c r="A158" s="128">
        <v>15</v>
      </c>
      <c r="B158" s="303"/>
      <c r="C158" s="304"/>
      <c r="D158" s="304"/>
      <c r="E158" s="304"/>
      <c r="F158" s="305"/>
      <c r="G158" s="300"/>
      <c r="H158" s="301"/>
      <c r="I158" s="301"/>
      <c r="J158" s="301"/>
      <c r="K158" s="302"/>
      <c r="L158" s="306"/>
      <c r="M158" s="307"/>
      <c r="N158" s="307"/>
      <c r="O158" s="307"/>
      <c r="P158" s="294">
        <f>IF(OR(B158=Słowniki!A$46,B158=Słowniki!A$56,B158=Słowniki!A$58),0.08,0.23)</f>
        <v>0.23</v>
      </c>
      <c r="Q158" s="295"/>
      <c r="R158" s="295"/>
      <c r="S158" s="295"/>
      <c r="T158" s="528">
        <v>1</v>
      </c>
      <c r="U158" s="528"/>
      <c r="V158" s="528"/>
      <c r="W158" s="528"/>
      <c r="X158" s="528"/>
      <c r="Y158" s="528"/>
      <c r="Z158" s="529"/>
      <c r="AA158" s="526">
        <f t="shared" si="0"/>
        <v>0</v>
      </c>
      <c r="AB158" s="530"/>
      <c r="AC158" s="530"/>
      <c r="AD158" s="530"/>
      <c r="AE158" s="530"/>
      <c r="AF158" s="530"/>
      <c r="AG158" s="527"/>
      <c r="AH158" s="531" t="e">
        <f>IF(OR(B158=Słowniki!A$57,B158=Słowniki!A$58),(AJ$137*AJ$138),AJ$137)</f>
        <v>#DIV/0!</v>
      </c>
      <c r="AI158" s="532"/>
      <c r="AJ158" s="533"/>
      <c r="AK158" s="526" t="e">
        <f t="shared" si="1"/>
        <v>#DIV/0!</v>
      </c>
      <c r="AL158" s="527"/>
      <c r="AM158" s="221"/>
      <c r="AN158" s="221"/>
      <c r="AO158" s="222"/>
    </row>
    <row r="159" spans="1:41" s="223" customFormat="1" ht="36" customHeight="1" x14ac:dyDescent="0.25">
      <c r="A159" s="128">
        <v>16</v>
      </c>
      <c r="B159" s="303"/>
      <c r="C159" s="304"/>
      <c r="D159" s="304"/>
      <c r="E159" s="304"/>
      <c r="F159" s="305"/>
      <c r="G159" s="300"/>
      <c r="H159" s="301"/>
      <c r="I159" s="301"/>
      <c r="J159" s="301"/>
      <c r="K159" s="302"/>
      <c r="L159" s="306"/>
      <c r="M159" s="307"/>
      <c r="N159" s="307"/>
      <c r="O159" s="307"/>
      <c r="P159" s="294">
        <f>IF(OR(B159=Słowniki!A$46,B159=Słowniki!A$56,B159=Słowniki!A$58),0.08,0.23)</f>
        <v>0.23</v>
      </c>
      <c r="Q159" s="295"/>
      <c r="R159" s="295"/>
      <c r="S159" s="295"/>
      <c r="T159" s="528">
        <v>1</v>
      </c>
      <c r="U159" s="528"/>
      <c r="V159" s="528"/>
      <c r="W159" s="528"/>
      <c r="X159" s="528"/>
      <c r="Y159" s="528"/>
      <c r="Z159" s="529"/>
      <c r="AA159" s="526">
        <f t="shared" si="0"/>
        <v>0</v>
      </c>
      <c r="AB159" s="530"/>
      <c r="AC159" s="530"/>
      <c r="AD159" s="530"/>
      <c r="AE159" s="530"/>
      <c r="AF159" s="530"/>
      <c r="AG159" s="527"/>
      <c r="AH159" s="531" t="e">
        <f>IF(OR(B159=Słowniki!A$57,B159=Słowniki!A$58),(AJ$137*AJ$138),AJ$137)</f>
        <v>#DIV/0!</v>
      </c>
      <c r="AI159" s="532"/>
      <c r="AJ159" s="533"/>
      <c r="AK159" s="526" t="e">
        <f t="shared" si="1"/>
        <v>#DIV/0!</v>
      </c>
      <c r="AL159" s="527"/>
      <c r="AM159" s="221"/>
      <c r="AN159" s="221"/>
      <c r="AO159" s="222"/>
    </row>
    <row r="160" spans="1:41" s="223" customFormat="1" ht="36" customHeight="1" x14ac:dyDescent="0.25">
      <c r="A160" s="128">
        <v>17</v>
      </c>
      <c r="B160" s="303"/>
      <c r="C160" s="304"/>
      <c r="D160" s="304"/>
      <c r="E160" s="304"/>
      <c r="F160" s="305"/>
      <c r="G160" s="300"/>
      <c r="H160" s="301"/>
      <c r="I160" s="301"/>
      <c r="J160" s="301"/>
      <c r="K160" s="302"/>
      <c r="L160" s="306"/>
      <c r="M160" s="307"/>
      <c r="N160" s="307"/>
      <c r="O160" s="307"/>
      <c r="P160" s="294">
        <f>IF(OR(B160=Słowniki!A$46,B160=Słowniki!A$56,B160=Słowniki!A$58),0.08,0.23)</f>
        <v>0.23</v>
      </c>
      <c r="Q160" s="295"/>
      <c r="R160" s="295"/>
      <c r="S160" s="295"/>
      <c r="T160" s="528">
        <v>1</v>
      </c>
      <c r="U160" s="528"/>
      <c r="V160" s="528"/>
      <c r="W160" s="528"/>
      <c r="X160" s="528"/>
      <c r="Y160" s="528"/>
      <c r="Z160" s="529"/>
      <c r="AA160" s="526">
        <f t="shared" si="0"/>
        <v>0</v>
      </c>
      <c r="AB160" s="530"/>
      <c r="AC160" s="530"/>
      <c r="AD160" s="530"/>
      <c r="AE160" s="530"/>
      <c r="AF160" s="530"/>
      <c r="AG160" s="527"/>
      <c r="AH160" s="531" t="e">
        <f>IF(OR(B160=Słowniki!A$57,B160=Słowniki!A$58),(AJ$137*AJ$138),AJ$137)</f>
        <v>#DIV/0!</v>
      </c>
      <c r="AI160" s="532"/>
      <c r="AJ160" s="533"/>
      <c r="AK160" s="526" t="e">
        <f t="shared" si="1"/>
        <v>#DIV/0!</v>
      </c>
      <c r="AL160" s="527"/>
      <c r="AM160" s="221"/>
      <c r="AN160" s="221"/>
      <c r="AO160" s="222"/>
    </row>
    <row r="161" spans="1:61" s="223" customFormat="1" ht="36" customHeight="1" x14ac:dyDescent="0.25">
      <c r="A161" s="128">
        <v>18</v>
      </c>
      <c r="B161" s="303"/>
      <c r="C161" s="304"/>
      <c r="D161" s="304"/>
      <c r="E161" s="304"/>
      <c r="F161" s="305"/>
      <c r="G161" s="300"/>
      <c r="H161" s="301"/>
      <c r="I161" s="301"/>
      <c r="J161" s="301"/>
      <c r="K161" s="302"/>
      <c r="L161" s="306"/>
      <c r="M161" s="307"/>
      <c r="N161" s="307"/>
      <c r="O161" s="307"/>
      <c r="P161" s="294">
        <f>IF(OR(B161=Słowniki!A$46,B161=Słowniki!A$56,B161=Słowniki!A$58),0.08,0.23)</f>
        <v>0.23</v>
      </c>
      <c r="Q161" s="295"/>
      <c r="R161" s="295"/>
      <c r="S161" s="295"/>
      <c r="T161" s="528">
        <v>1</v>
      </c>
      <c r="U161" s="528"/>
      <c r="V161" s="528"/>
      <c r="W161" s="528"/>
      <c r="X161" s="528"/>
      <c r="Y161" s="528"/>
      <c r="Z161" s="529"/>
      <c r="AA161" s="526">
        <f t="shared" si="0"/>
        <v>0</v>
      </c>
      <c r="AB161" s="530"/>
      <c r="AC161" s="530"/>
      <c r="AD161" s="530"/>
      <c r="AE161" s="530"/>
      <c r="AF161" s="530"/>
      <c r="AG161" s="527"/>
      <c r="AH161" s="531" t="e">
        <f>IF(OR(B161=Słowniki!A$57,B161=Słowniki!A$58),(AJ$137*AJ$138),AJ$137)</f>
        <v>#DIV/0!</v>
      </c>
      <c r="AI161" s="532"/>
      <c r="AJ161" s="533"/>
      <c r="AK161" s="526" t="e">
        <f t="shared" si="1"/>
        <v>#DIV/0!</v>
      </c>
      <c r="AL161" s="527"/>
      <c r="AM161" s="221"/>
      <c r="AN161" s="221"/>
      <c r="AO161" s="222"/>
    </row>
    <row r="162" spans="1:61" s="223" customFormat="1" ht="36" customHeight="1" x14ac:dyDescent="0.25">
      <c r="A162" s="128">
        <v>19</v>
      </c>
      <c r="B162" s="303"/>
      <c r="C162" s="304"/>
      <c r="D162" s="304"/>
      <c r="E162" s="304"/>
      <c r="F162" s="305"/>
      <c r="G162" s="300"/>
      <c r="H162" s="301"/>
      <c r="I162" s="301"/>
      <c r="J162" s="301"/>
      <c r="K162" s="302"/>
      <c r="L162" s="306"/>
      <c r="M162" s="307"/>
      <c r="N162" s="307"/>
      <c r="O162" s="307"/>
      <c r="P162" s="294">
        <f>IF(OR(B162=Słowniki!A$46,B162=Słowniki!A$56,B162=Słowniki!A$58),0.08,0.23)</f>
        <v>0.23</v>
      </c>
      <c r="Q162" s="295"/>
      <c r="R162" s="295"/>
      <c r="S162" s="295"/>
      <c r="T162" s="528">
        <v>1</v>
      </c>
      <c r="U162" s="528"/>
      <c r="V162" s="528"/>
      <c r="W162" s="528"/>
      <c r="X162" s="528"/>
      <c r="Y162" s="528"/>
      <c r="Z162" s="529"/>
      <c r="AA162" s="526">
        <f t="shared" si="0"/>
        <v>0</v>
      </c>
      <c r="AB162" s="530"/>
      <c r="AC162" s="530"/>
      <c r="AD162" s="530"/>
      <c r="AE162" s="530"/>
      <c r="AF162" s="530"/>
      <c r="AG162" s="527"/>
      <c r="AH162" s="531" t="e">
        <f>IF(OR(B162=Słowniki!A$57,B162=Słowniki!A$58),(AJ$137*AJ$138),AJ$137)</f>
        <v>#DIV/0!</v>
      </c>
      <c r="AI162" s="532"/>
      <c r="AJ162" s="533"/>
      <c r="AK162" s="526" t="e">
        <f t="shared" si="1"/>
        <v>#DIV/0!</v>
      </c>
      <c r="AL162" s="527"/>
      <c r="AM162" s="221"/>
      <c r="AN162" s="221"/>
      <c r="AO162" s="222"/>
    </row>
    <row r="163" spans="1:61" s="223" customFormat="1" ht="36" customHeight="1" x14ac:dyDescent="0.25">
      <c r="A163" s="128">
        <v>20</v>
      </c>
      <c r="B163" s="303"/>
      <c r="C163" s="304"/>
      <c r="D163" s="304"/>
      <c r="E163" s="304"/>
      <c r="F163" s="305"/>
      <c r="G163" s="300"/>
      <c r="H163" s="301"/>
      <c r="I163" s="301"/>
      <c r="J163" s="301"/>
      <c r="K163" s="302"/>
      <c r="L163" s="306"/>
      <c r="M163" s="307"/>
      <c r="N163" s="307"/>
      <c r="O163" s="307"/>
      <c r="P163" s="294">
        <f>IF(OR(B163=Słowniki!A$46,B163=Słowniki!A$56,B163=Słowniki!A$58),0.08,0.23)</f>
        <v>0.23</v>
      </c>
      <c r="Q163" s="295"/>
      <c r="R163" s="295"/>
      <c r="S163" s="295"/>
      <c r="T163" s="528">
        <v>1</v>
      </c>
      <c r="U163" s="528"/>
      <c r="V163" s="528"/>
      <c r="W163" s="528"/>
      <c r="X163" s="528"/>
      <c r="Y163" s="528"/>
      <c r="Z163" s="529"/>
      <c r="AA163" s="526">
        <f t="shared" si="0"/>
        <v>0</v>
      </c>
      <c r="AB163" s="530"/>
      <c r="AC163" s="530"/>
      <c r="AD163" s="530"/>
      <c r="AE163" s="530"/>
      <c r="AF163" s="530"/>
      <c r="AG163" s="527"/>
      <c r="AH163" s="531" t="e">
        <f>IF(OR(B163=Słowniki!A$57,B163=Słowniki!A$58),(AJ$137*AJ$138),AJ$137)</f>
        <v>#DIV/0!</v>
      </c>
      <c r="AI163" s="532"/>
      <c r="AJ163" s="533"/>
      <c r="AK163" s="526" t="e">
        <f t="shared" si="1"/>
        <v>#DIV/0!</v>
      </c>
      <c r="AL163" s="527"/>
      <c r="AM163" s="221"/>
      <c r="AN163" s="221"/>
      <c r="AO163" s="222"/>
    </row>
    <row r="164" spans="1:61" s="223" customFormat="1" ht="36" customHeight="1" x14ac:dyDescent="0.25">
      <c r="A164" s="128">
        <v>21</v>
      </c>
      <c r="B164" s="303"/>
      <c r="C164" s="304"/>
      <c r="D164" s="304"/>
      <c r="E164" s="304"/>
      <c r="F164" s="305"/>
      <c r="G164" s="300"/>
      <c r="H164" s="301"/>
      <c r="I164" s="301"/>
      <c r="J164" s="301"/>
      <c r="K164" s="302"/>
      <c r="L164" s="306"/>
      <c r="M164" s="307"/>
      <c r="N164" s="307"/>
      <c r="O164" s="307"/>
      <c r="P164" s="294">
        <f>IF(OR(B164=Słowniki!A$46,B164=Słowniki!A$56,B164=Słowniki!A$58),0.08,0.23)</f>
        <v>0.23</v>
      </c>
      <c r="Q164" s="295"/>
      <c r="R164" s="295"/>
      <c r="S164" s="295"/>
      <c r="T164" s="528">
        <v>1</v>
      </c>
      <c r="U164" s="528"/>
      <c r="V164" s="528"/>
      <c r="W164" s="528"/>
      <c r="X164" s="528"/>
      <c r="Y164" s="528"/>
      <c r="Z164" s="529"/>
      <c r="AA164" s="526">
        <f t="shared" si="0"/>
        <v>0</v>
      </c>
      <c r="AB164" s="530"/>
      <c r="AC164" s="530"/>
      <c r="AD164" s="530"/>
      <c r="AE164" s="530"/>
      <c r="AF164" s="530"/>
      <c r="AG164" s="527"/>
      <c r="AH164" s="531" t="e">
        <f>IF(OR(B164=Słowniki!A$57,B164=Słowniki!A$58),(AJ$137*AJ$138),AJ$137)</f>
        <v>#DIV/0!</v>
      </c>
      <c r="AI164" s="532"/>
      <c r="AJ164" s="533"/>
      <c r="AK164" s="526" t="e">
        <f t="shared" si="1"/>
        <v>#DIV/0!</v>
      </c>
      <c r="AL164" s="527"/>
      <c r="AM164" s="221"/>
      <c r="AN164" s="221"/>
      <c r="AO164" s="222"/>
    </row>
    <row r="165" spans="1:61" s="223" customFormat="1" ht="36" customHeight="1" x14ac:dyDescent="0.25">
      <c r="A165" s="128">
        <v>22</v>
      </c>
      <c r="B165" s="303"/>
      <c r="C165" s="304"/>
      <c r="D165" s="304"/>
      <c r="E165" s="304"/>
      <c r="F165" s="305"/>
      <c r="G165" s="300"/>
      <c r="H165" s="301"/>
      <c r="I165" s="301"/>
      <c r="J165" s="301"/>
      <c r="K165" s="302"/>
      <c r="L165" s="306"/>
      <c r="M165" s="307"/>
      <c r="N165" s="307"/>
      <c r="O165" s="307"/>
      <c r="P165" s="294">
        <f>IF(OR(B165=Słowniki!A$46,B165=Słowniki!A$56,B165=Słowniki!A$58),0.08,0.23)</f>
        <v>0.23</v>
      </c>
      <c r="Q165" s="295"/>
      <c r="R165" s="295"/>
      <c r="S165" s="295"/>
      <c r="T165" s="528">
        <v>1</v>
      </c>
      <c r="U165" s="528"/>
      <c r="V165" s="528"/>
      <c r="W165" s="528"/>
      <c r="X165" s="528"/>
      <c r="Y165" s="528"/>
      <c r="Z165" s="529"/>
      <c r="AA165" s="526">
        <f t="shared" si="0"/>
        <v>0</v>
      </c>
      <c r="AB165" s="530"/>
      <c r="AC165" s="530"/>
      <c r="AD165" s="530"/>
      <c r="AE165" s="530"/>
      <c r="AF165" s="530"/>
      <c r="AG165" s="527"/>
      <c r="AH165" s="531" t="e">
        <f>IF(OR(B165=Słowniki!A$57,B165=Słowniki!A$58),(AJ$137*AJ$138),AJ$137)</f>
        <v>#DIV/0!</v>
      </c>
      <c r="AI165" s="532"/>
      <c r="AJ165" s="533"/>
      <c r="AK165" s="526" t="e">
        <f t="shared" si="1"/>
        <v>#DIV/0!</v>
      </c>
      <c r="AL165" s="527"/>
      <c r="AM165" s="221"/>
      <c r="AN165" s="221"/>
      <c r="AO165" s="222"/>
    </row>
    <row r="166" spans="1:61" ht="14.1" customHeight="1" x14ac:dyDescent="0.25">
      <c r="A166" s="128">
        <v>23</v>
      </c>
      <c r="B166" s="451" t="s">
        <v>128</v>
      </c>
      <c r="C166" s="452"/>
      <c r="D166" s="452"/>
      <c r="E166" s="452"/>
      <c r="F166" s="452"/>
      <c r="G166" s="452"/>
      <c r="H166" s="452"/>
      <c r="I166" s="452"/>
      <c r="J166" s="452"/>
      <c r="K166" s="452"/>
      <c r="L166" s="296">
        <f>SUM(L144:O165)</f>
        <v>0</v>
      </c>
      <c r="M166" s="296"/>
      <c r="N166" s="296"/>
      <c r="O166" s="297"/>
      <c r="P166" s="463" t="s">
        <v>129</v>
      </c>
      <c r="Q166" s="463"/>
      <c r="R166" s="463"/>
      <c r="S166" s="463"/>
      <c r="T166" s="462" t="s">
        <v>129</v>
      </c>
      <c r="U166" s="462"/>
      <c r="V166" s="462"/>
      <c r="W166" s="462"/>
      <c r="X166" s="462"/>
      <c r="Y166" s="462"/>
      <c r="Z166" s="462"/>
      <c r="AA166" s="457">
        <f>SUM(AA144:AG165)</f>
        <v>0</v>
      </c>
      <c r="AB166" s="457"/>
      <c r="AC166" s="457"/>
      <c r="AD166" s="457"/>
      <c r="AE166" s="457"/>
      <c r="AF166" s="457"/>
      <c r="AG166" s="457"/>
      <c r="AH166" s="461" t="s">
        <v>129</v>
      </c>
      <c r="AI166" s="461"/>
      <c r="AJ166" s="461"/>
      <c r="AK166" s="457" t="e">
        <f>ROUND(SUM(AK144:AL165),2)</f>
        <v>#DIV/0!</v>
      </c>
      <c r="AL166" s="457"/>
      <c r="AM166" s="77"/>
      <c r="AN166" s="61"/>
      <c r="AO166" s="61"/>
      <c r="AP166" s="60"/>
      <c r="AQ166" s="60"/>
      <c r="AR166" s="60"/>
      <c r="AS166" s="60"/>
      <c r="AT166" s="60"/>
      <c r="AU166" s="60"/>
      <c r="AV166" s="60"/>
      <c r="AW166" s="60"/>
      <c r="AX166" s="60"/>
      <c r="AY166" s="60"/>
      <c r="AZ166" s="60"/>
    </row>
    <row r="167" spans="1:61" ht="120.45" customHeight="1" x14ac:dyDescent="0.25">
      <c r="A167" s="334" t="s">
        <v>1111</v>
      </c>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c r="AI167" s="334"/>
      <c r="AJ167" s="334"/>
      <c r="AK167" s="334"/>
      <c r="AL167" s="334"/>
      <c r="AM167" s="77"/>
      <c r="AN167" s="61"/>
      <c r="AO167" s="61"/>
      <c r="AP167" s="60"/>
      <c r="AQ167" s="60"/>
      <c r="AR167" s="60"/>
      <c r="AS167" s="60"/>
      <c r="AT167" s="60"/>
      <c r="AU167" s="60"/>
      <c r="AV167" s="60"/>
      <c r="AW167" s="60"/>
      <c r="AX167" s="60"/>
      <c r="AY167" s="60"/>
      <c r="AZ167" s="60"/>
    </row>
    <row r="168" spans="1:61" ht="13.95" customHeight="1" x14ac:dyDescent="0.25">
      <c r="A168" s="129"/>
      <c r="B168" s="453" t="s">
        <v>181</v>
      </c>
      <c r="C168" s="453"/>
      <c r="D168" s="453"/>
      <c r="E168" s="453"/>
      <c r="F168" s="453"/>
      <c r="G168" s="453"/>
      <c r="H168" s="453"/>
      <c r="I168" s="453"/>
      <c r="J168" s="453"/>
      <c r="K168" s="453"/>
      <c r="L168" s="453"/>
      <c r="M168" s="453"/>
      <c r="N168" s="453"/>
      <c r="O168" s="453"/>
      <c r="P168" s="453"/>
      <c r="Q168" s="453"/>
      <c r="R168" s="453"/>
      <c r="S168" s="453"/>
      <c r="T168" s="458">
        <v>0.8</v>
      </c>
      <c r="U168" s="458"/>
      <c r="V168" s="458"/>
      <c r="W168" s="458"/>
      <c r="X168" s="458"/>
      <c r="Y168" s="458"/>
      <c r="Z168" s="458"/>
      <c r="AA168" s="458"/>
      <c r="AB168" s="458"/>
      <c r="AC168" s="458"/>
      <c r="AD168" s="458"/>
      <c r="AE168" s="458"/>
      <c r="AF168" s="458"/>
      <c r="AG168" s="458"/>
      <c r="AH168" s="458"/>
      <c r="AI168" s="458"/>
      <c r="AJ168" s="458"/>
      <c r="AK168" s="130"/>
      <c r="AL168" s="131"/>
      <c r="AM168" s="77"/>
      <c r="AN168" s="61"/>
      <c r="AO168" s="61"/>
      <c r="AP168" s="60"/>
      <c r="AQ168" s="60"/>
      <c r="AR168" s="60"/>
      <c r="AS168" s="60"/>
      <c r="AT168" s="60"/>
      <c r="AU168" s="60"/>
      <c r="AV168" s="60"/>
      <c r="AW168" s="60"/>
      <c r="AX168" s="60"/>
      <c r="AY168" s="60"/>
      <c r="AZ168" s="60"/>
    </row>
    <row r="169" spans="1:61" ht="14.7" customHeight="1" x14ac:dyDescent="0.3">
      <c r="A169" s="129"/>
      <c r="B169" s="453" t="s">
        <v>183</v>
      </c>
      <c r="C169" s="453"/>
      <c r="D169" s="453"/>
      <c r="E169" s="453"/>
      <c r="F169" s="453"/>
      <c r="G169" s="453"/>
      <c r="H169" s="453"/>
      <c r="I169" s="453"/>
      <c r="J169" s="453"/>
      <c r="K169" s="453"/>
      <c r="L169" s="453"/>
      <c r="M169" s="453"/>
      <c r="N169" s="453"/>
      <c r="O169" s="453"/>
      <c r="P169" s="453"/>
      <c r="Q169" s="453"/>
      <c r="R169" s="453"/>
      <c r="S169" s="453"/>
      <c r="T169" s="459"/>
      <c r="U169" s="459"/>
      <c r="V169" s="459"/>
      <c r="W169" s="459"/>
      <c r="X169" s="459"/>
      <c r="Y169" s="459"/>
      <c r="Z169" s="459"/>
      <c r="AA169" s="459"/>
      <c r="AB169" s="459"/>
      <c r="AC169" s="459"/>
      <c r="AD169" s="459"/>
      <c r="AE169" s="459"/>
      <c r="AF169" s="459"/>
      <c r="AG169" s="459"/>
      <c r="AH169" s="459"/>
      <c r="AI169" s="459"/>
      <c r="AJ169" s="459"/>
      <c r="AK169" s="130"/>
      <c r="AL169" s="131"/>
      <c r="AM169" s="133" t="s">
        <v>215</v>
      </c>
      <c r="AN169" s="61"/>
      <c r="AO169" s="61"/>
      <c r="AP169" s="60"/>
      <c r="AQ169" s="60"/>
      <c r="AR169" s="60"/>
      <c r="AS169" s="60"/>
      <c r="AT169" s="60"/>
      <c r="AU169" s="60"/>
      <c r="AV169" s="60"/>
      <c r="AW169" s="60"/>
      <c r="AX169" s="60"/>
      <c r="AY169" s="60"/>
      <c r="AZ169" s="60"/>
    </row>
    <row r="170" spans="1:61" ht="19.5" customHeight="1" x14ac:dyDescent="0.25">
      <c r="A170" s="129"/>
      <c r="B170" s="453" t="s">
        <v>182</v>
      </c>
      <c r="C170" s="453"/>
      <c r="D170" s="453"/>
      <c r="E170" s="453"/>
      <c r="F170" s="453"/>
      <c r="G170" s="453"/>
      <c r="H170" s="453"/>
      <c r="I170" s="453"/>
      <c r="J170" s="453"/>
      <c r="K170" s="453"/>
      <c r="L170" s="453"/>
      <c r="M170" s="453"/>
      <c r="N170" s="453"/>
      <c r="O170" s="453"/>
      <c r="P170" s="453"/>
      <c r="Q170" s="453"/>
      <c r="R170" s="453"/>
      <c r="S170" s="453"/>
      <c r="T170" s="466" t="e">
        <f>ROUNDDOWN(AK166*(T168+T169),2)</f>
        <v>#DIV/0!</v>
      </c>
      <c r="U170" s="466"/>
      <c r="V170" s="466"/>
      <c r="W170" s="466"/>
      <c r="X170" s="466"/>
      <c r="Y170" s="466"/>
      <c r="Z170" s="466"/>
      <c r="AA170" s="466"/>
      <c r="AB170" s="466"/>
      <c r="AC170" s="466"/>
      <c r="AD170" s="466"/>
      <c r="AE170" s="466"/>
      <c r="AF170" s="466"/>
      <c r="AG170" s="466"/>
      <c r="AH170" s="466"/>
      <c r="AI170" s="466"/>
      <c r="AJ170" s="466"/>
      <c r="AK170" s="130"/>
      <c r="AL170" s="131"/>
      <c r="AM170" s="77"/>
      <c r="AN170" s="61"/>
      <c r="AO170" s="61"/>
      <c r="AP170" s="60"/>
      <c r="AQ170" s="60"/>
      <c r="AR170" s="60"/>
      <c r="AS170" s="60"/>
      <c r="AT170" s="60"/>
      <c r="AU170" s="60"/>
      <c r="AV170" s="60"/>
      <c r="AW170" s="60"/>
      <c r="AX170" s="60"/>
      <c r="AY170" s="60"/>
      <c r="AZ170" s="60"/>
    </row>
    <row r="171" spans="1:61" s="68" customFormat="1" ht="45" customHeight="1" x14ac:dyDescent="0.25">
      <c r="A171" s="332" t="s">
        <v>790</v>
      </c>
      <c r="B171" s="332"/>
      <c r="C171" s="332"/>
      <c r="D171" s="332"/>
      <c r="E171" s="332"/>
      <c r="F171" s="332"/>
      <c r="G171" s="332"/>
      <c r="H171" s="332"/>
      <c r="I171" s="332"/>
      <c r="J171" s="332"/>
      <c r="K171" s="332"/>
      <c r="L171" s="332"/>
      <c r="M171" s="332"/>
      <c r="N171" s="332"/>
      <c r="O171" s="332"/>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c r="AM171" s="109"/>
      <c r="AN171" s="109"/>
      <c r="AO171" s="109"/>
      <c r="AP171" s="109"/>
      <c r="AQ171" s="109"/>
      <c r="AR171" s="109"/>
      <c r="AS171" s="109"/>
      <c r="AT171" s="109"/>
      <c r="AU171" s="109"/>
      <c r="AV171" s="109"/>
      <c r="AW171" s="109"/>
      <c r="AX171" s="109"/>
      <c r="AY171" s="109"/>
      <c r="AZ171" s="109"/>
      <c r="BA171" s="60"/>
      <c r="BB171" s="60"/>
      <c r="BC171" s="60"/>
      <c r="BD171" s="60"/>
      <c r="BE171" s="60"/>
      <c r="BF171" s="60"/>
      <c r="BG171" s="60"/>
      <c r="BH171" s="60"/>
      <c r="BI171" s="60"/>
    </row>
    <row r="172" spans="1:61" s="68" customFormat="1" ht="31.2" customHeight="1" x14ac:dyDescent="0.25">
      <c r="A172" s="333" t="s">
        <v>827</v>
      </c>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c r="AM172" s="117"/>
      <c r="AN172" s="109"/>
      <c r="AO172" s="109"/>
      <c r="AP172" s="109"/>
      <c r="AQ172" s="109"/>
      <c r="AR172" s="109"/>
      <c r="AS172" s="109"/>
      <c r="AT172" s="109"/>
      <c r="AU172" s="109"/>
      <c r="AV172" s="109"/>
      <c r="AW172" s="109"/>
      <c r="AX172" s="109"/>
      <c r="AY172" s="109"/>
      <c r="AZ172" s="109"/>
      <c r="BA172" s="60"/>
      <c r="BB172" s="60"/>
      <c r="BC172" s="60"/>
      <c r="BD172" s="60"/>
      <c r="BE172" s="60"/>
      <c r="BF172" s="60"/>
      <c r="BG172" s="60"/>
      <c r="BH172" s="60"/>
      <c r="BI172" s="60"/>
    </row>
    <row r="173" spans="1:61" s="68" customFormat="1" ht="31.95" customHeight="1" x14ac:dyDescent="0.25">
      <c r="A173" s="332" t="s">
        <v>1115</v>
      </c>
      <c r="B173" s="332"/>
      <c r="C173" s="332"/>
      <c r="D173" s="332"/>
      <c r="E173" s="332"/>
      <c r="F173" s="332"/>
      <c r="G173" s="332"/>
      <c r="H173" s="332"/>
      <c r="I173" s="332"/>
      <c r="J173" s="332"/>
      <c r="K173" s="332"/>
      <c r="L173" s="332"/>
      <c r="M173" s="332"/>
      <c r="N173" s="332"/>
      <c r="O173" s="332"/>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101"/>
      <c r="AN173" s="109"/>
      <c r="AO173" s="109"/>
      <c r="AP173" s="109"/>
      <c r="AQ173" s="109"/>
      <c r="AR173" s="109"/>
      <c r="AS173" s="109"/>
      <c r="AT173" s="109"/>
      <c r="AU173" s="109"/>
      <c r="AV173" s="109"/>
      <c r="AW173" s="109"/>
      <c r="AX173" s="109"/>
      <c r="AY173" s="109"/>
      <c r="AZ173" s="109"/>
      <c r="BA173" s="60"/>
      <c r="BB173" s="60"/>
      <c r="BC173" s="60"/>
      <c r="BD173" s="60"/>
      <c r="BE173" s="60"/>
      <c r="BF173" s="60"/>
      <c r="BG173" s="60"/>
      <c r="BH173" s="60"/>
      <c r="BI173" s="60"/>
    </row>
    <row r="174" spans="1:61" s="68" customFormat="1" ht="36" customHeight="1" x14ac:dyDescent="0.25">
      <c r="A174" s="333" t="s">
        <v>961</v>
      </c>
      <c r="B174" s="333"/>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c r="AM174" s="109"/>
      <c r="AN174" s="109"/>
      <c r="AO174" s="109"/>
      <c r="AP174" s="109"/>
      <c r="AQ174" s="109"/>
      <c r="AR174" s="109"/>
      <c r="AS174" s="109"/>
      <c r="AT174" s="109"/>
      <c r="AU174" s="109"/>
      <c r="AV174" s="109"/>
      <c r="AW174" s="109"/>
      <c r="AX174" s="109"/>
      <c r="AY174" s="109"/>
      <c r="AZ174" s="109"/>
      <c r="BA174" s="60"/>
      <c r="BB174" s="60"/>
      <c r="BC174" s="60"/>
      <c r="BD174" s="60"/>
      <c r="BE174" s="60"/>
      <c r="BF174" s="60"/>
      <c r="BG174" s="60"/>
      <c r="BH174" s="60"/>
      <c r="BI174" s="60"/>
    </row>
    <row r="175" spans="1:61" s="68" customFormat="1" ht="45" customHeight="1" x14ac:dyDescent="0.25">
      <c r="A175" s="668" t="s">
        <v>1124</v>
      </c>
      <c r="B175" s="668"/>
      <c r="C175" s="668"/>
      <c r="D175" s="668"/>
      <c r="E175" s="668"/>
      <c r="F175" s="668"/>
      <c r="G175" s="668"/>
      <c r="H175" s="668"/>
      <c r="I175" s="668"/>
      <c r="J175" s="668"/>
      <c r="K175" s="668"/>
      <c r="L175" s="668"/>
      <c r="M175" s="668"/>
      <c r="N175" s="668"/>
      <c r="O175" s="668"/>
      <c r="P175" s="668"/>
      <c r="Q175" s="668"/>
      <c r="R175" s="668"/>
      <c r="S175" s="668"/>
      <c r="T175" s="668"/>
      <c r="U175" s="668"/>
      <c r="V175" s="668"/>
      <c r="W175" s="668"/>
      <c r="X175" s="668"/>
      <c r="Y175" s="668"/>
      <c r="Z175" s="668"/>
      <c r="AA175" s="668"/>
      <c r="AB175" s="668"/>
      <c r="AC175" s="668"/>
      <c r="AD175" s="668"/>
      <c r="AE175" s="668"/>
      <c r="AF175" s="668"/>
      <c r="AG175" s="668"/>
      <c r="AH175" s="668"/>
      <c r="AI175" s="668"/>
      <c r="AJ175" s="668"/>
      <c r="AK175" s="668"/>
      <c r="AL175" s="668"/>
      <c r="AM175" s="101"/>
      <c r="AN175" s="109"/>
      <c r="AO175" s="109"/>
      <c r="AP175" s="109"/>
      <c r="AQ175" s="109"/>
      <c r="AR175" s="109"/>
      <c r="AS175" s="109"/>
      <c r="AT175" s="109"/>
      <c r="AU175" s="109"/>
      <c r="AV175" s="109"/>
      <c r="AW175" s="109"/>
      <c r="AX175" s="109"/>
      <c r="AY175" s="109"/>
      <c r="AZ175" s="109"/>
      <c r="BA175" s="60"/>
      <c r="BB175" s="60"/>
      <c r="BC175" s="60"/>
      <c r="BD175" s="60"/>
      <c r="BE175" s="60"/>
      <c r="BF175" s="60"/>
      <c r="BG175" s="60"/>
      <c r="BH175" s="60"/>
      <c r="BI175" s="60"/>
    </row>
    <row r="176" spans="1:61" s="68" customFormat="1" ht="42.45" customHeight="1" x14ac:dyDescent="0.25">
      <c r="A176" s="626" t="s">
        <v>782</v>
      </c>
      <c r="B176" s="626"/>
      <c r="C176" s="626"/>
      <c r="D176" s="626"/>
      <c r="E176" s="626"/>
      <c r="F176" s="626"/>
      <c r="G176" s="626"/>
      <c r="H176" s="626"/>
      <c r="I176" s="626"/>
      <c r="J176" s="626"/>
      <c r="K176" s="626"/>
      <c r="L176" s="626"/>
      <c r="M176" s="626"/>
      <c r="N176" s="626"/>
      <c r="O176" s="626"/>
      <c r="P176" s="626"/>
      <c r="Q176" s="626"/>
      <c r="R176" s="626"/>
      <c r="S176" s="626"/>
      <c r="T176" s="626"/>
      <c r="U176" s="626"/>
      <c r="V176" s="626"/>
      <c r="W176" s="626"/>
      <c r="X176" s="626"/>
      <c r="Y176" s="626"/>
      <c r="Z176" s="626"/>
      <c r="AA176" s="626"/>
      <c r="AB176" s="626"/>
      <c r="AC176" s="626"/>
      <c r="AD176" s="626"/>
      <c r="AE176" s="626"/>
      <c r="AF176" s="626"/>
      <c r="AG176" s="626"/>
      <c r="AH176" s="626"/>
      <c r="AI176" s="626"/>
      <c r="AJ176" s="626"/>
      <c r="AK176" s="626"/>
      <c r="AL176" s="626"/>
      <c r="AM176" s="101"/>
      <c r="AN176" s="109"/>
      <c r="AO176" s="109"/>
      <c r="AP176" s="109"/>
      <c r="AQ176" s="109"/>
      <c r="AR176" s="109"/>
      <c r="AS176" s="109"/>
      <c r="AT176" s="109"/>
      <c r="AU176" s="109"/>
      <c r="AV176" s="109"/>
      <c r="AW176" s="109"/>
      <c r="AX176" s="109"/>
      <c r="AY176" s="109"/>
      <c r="AZ176" s="109"/>
      <c r="BA176" s="60"/>
      <c r="BB176" s="60"/>
      <c r="BC176" s="60"/>
      <c r="BD176" s="60"/>
      <c r="BE176" s="60"/>
      <c r="BF176" s="60"/>
      <c r="BG176" s="60"/>
      <c r="BH176" s="60"/>
      <c r="BI176" s="60"/>
    </row>
    <row r="177" spans="1:61" s="68" customFormat="1" ht="61.95" customHeight="1" x14ac:dyDescent="0.25">
      <c r="A177" s="332" t="s">
        <v>1128</v>
      </c>
      <c r="B177" s="332"/>
      <c r="C177" s="332"/>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101"/>
      <c r="AN177" s="109"/>
      <c r="AO177" s="109"/>
      <c r="AP177" s="109"/>
      <c r="AQ177" s="109"/>
      <c r="AR177" s="109"/>
      <c r="AS177" s="109"/>
      <c r="AT177" s="109"/>
      <c r="AU177" s="109"/>
      <c r="AV177" s="109"/>
      <c r="AW177" s="109"/>
      <c r="AX177" s="109"/>
      <c r="AY177" s="109"/>
      <c r="AZ177" s="109"/>
      <c r="BA177" s="60"/>
      <c r="BB177" s="60"/>
      <c r="BC177" s="60"/>
      <c r="BD177" s="60"/>
      <c r="BE177" s="60"/>
      <c r="BF177" s="60"/>
      <c r="BG177" s="60"/>
      <c r="BH177" s="60"/>
      <c r="BI177" s="60"/>
    </row>
    <row r="178" spans="1:61" s="68" customFormat="1" ht="58.2" customHeight="1" x14ac:dyDescent="0.25">
      <c r="A178" s="333" t="str">
        <f>IF(B17=Słowniki!A7,Słowniki!Z3,Słowniki!Z4)</f>
        <v>NIE DOTYCZY</v>
      </c>
      <c r="B178" s="333"/>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c r="AM178" s="101"/>
      <c r="AN178" s="109"/>
      <c r="AO178" s="109"/>
      <c r="AP178" s="109"/>
      <c r="AQ178" s="109"/>
      <c r="AR178" s="109"/>
      <c r="AS178" s="109"/>
      <c r="AT178" s="109"/>
      <c r="AU178" s="109"/>
      <c r="AV178" s="109"/>
      <c r="AW178" s="109"/>
      <c r="AX178" s="109"/>
      <c r="AY178" s="109"/>
      <c r="AZ178" s="109"/>
      <c r="BA178" s="60"/>
      <c r="BB178" s="60"/>
      <c r="BC178" s="60"/>
      <c r="BD178" s="60"/>
      <c r="BE178" s="60"/>
      <c r="BF178" s="60"/>
      <c r="BG178" s="60"/>
      <c r="BH178" s="60"/>
      <c r="BI178" s="60"/>
    </row>
    <row r="179" spans="1:61" s="68" customFormat="1" ht="45" customHeight="1" x14ac:dyDescent="0.25">
      <c r="A179" s="332" t="s">
        <v>1129</v>
      </c>
      <c r="B179" s="332"/>
      <c r="C179" s="332"/>
      <c r="D179" s="332"/>
      <c r="E179" s="332"/>
      <c r="F179" s="332"/>
      <c r="G179" s="332"/>
      <c r="H179" s="332"/>
      <c r="I179" s="332"/>
      <c r="J179" s="332"/>
      <c r="K179" s="332"/>
      <c r="L179" s="332"/>
      <c r="M179" s="332"/>
      <c r="N179" s="332"/>
      <c r="O179" s="332"/>
      <c r="P179" s="332"/>
      <c r="Q179" s="332"/>
      <c r="R179" s="332"/>
      <c r="S179" s="332"/>
      <c r="T179" s="332"/>
      <c r="U179" s="332"/>
      <c r="V179" s="332"/>
      <c r="W179" s="332"/>
      <c r="X179" s="332"/>
      <c r="Y179" s="332"/>
      <c r="Z179" s="332"/>
      <c r="AA179" s="332"/>
      <c r="AB179" s="332"/>
      <c r="AC179" s="332"/>
      <c r="AD179" s="332"/>
      <c r="AE179" s="332"/>
      <c r="AF179" s="332"/>
      <c r="AG179" s="332"/>
      <c r="AH179" s="332"/>
      <c r="AI179" s="332"/>
      <c r="AJ179" s="332"/>
      <c r="AK179" s="332"/>
      <c r="AL179" s="332"/>
      <c r="AM179" s="101"/>
      <c r="AN179" s="109"/>
      <c r="AO179" s="109"/>
      <c r="AP179" s="109"/>
      <c r="AQ179" s="109"/>
      <c r="AR179" s="109"/>
      <c r="AS179" s="109"/>
      <c r="AT179" s="109"/>
      <c r="AU179" s="109"/>
      <c r="AV179" s="109"/>
      <c r="AW179" s="109"/>
      <c r="AX179" s="109"/>
      <c r="AY179" s="109"/>
      <c r="AZ179" s="109"/>
      <c r="BA179" s="60"/>
      <c r="BB179" s="60"/>
      <c r="BC179" s="60"/>
      <c r="BD179" s="60"/>
      <c r="BE179" s="60"/>
      <c r="BF179" s="60"/>
      <c r="BG179" s="60"/>
      <c r="BH179" s="60"/>
      <c r="BI179" s="60"/>
    </row>
    <row r="180" spans="1:61" s="68" customFormat="1" ht="45" customHeight="1" x14ac:dyDescent="0.25">
      <c r="A180" s="332" t="s">
        <v>169</v>
      </c>
      <c r="B180" s="332"/>
      <c r="C180" s="332"/>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101"/>
      <c r="AN180" s="109"/>
      <c r="AO180" s="109"/>
      <c r="AP180" s="109"/>
      <c r="AQ180" s="109"/>
      <c r="AR180" s="109"/>
      <c r="AS180" s="109"/>
      <c r="AT180" s="109"/>
      <c r="AU180" s="109"/>
      <c r="AV180" s="109"/>
      <c r="AW180" s="109"/>
      <c r="AX180" s="109"/>
      <c r="AY180" s="109"/>
      <c r="AZ180" s="109"/>
      <c r="BA180" s="60"/>
      <c r="BB180" s="60"/>
      <c r="BC180" s="60"/>
      <c r="BD180" s="60"/>
      <c r="BE180" s="60"/>
      <c r="BF180" s="60"/>
      <c r="BG180" s="60"/>
      <c r="BH180" s="60"/>
      <c r="BI180" s="60"/>
    </row>
    <row r="181" spans="1:61" s="68" customFormat="1" ht="45" customHeight="1" x14ac:dyDescent="0.25">
      <c r="A181" s="456"/>
      <c r="B181" s="456"/>
      <c r="C181" s="456"/>
      <c r="D181" s="456"/>
      <c r="E181" s="456"/>
      <c r="F181" s="456"/>
      <c r="G181" s="456"/>
      <c r="H181" s="456"/>
      <c r="I181" s="456"/>
      <c r="J181" s="456"/>
      <c r="K181" s="456"/>
      <c r="L181" s="456"/>
      <c r="M181" s="456"/>
      <c r="N181" s="456"/>
      <c r="O181" s="456"/>
      <c r="P181" s="456"/>
      <c r="Q181" s="456"/>
      <c r="R181" s="456"/>
      <c r="S181" s="456"/>
      <c r="T181" s="456"/>
      <c r="U181" s="456"/>
      <c r="V181" s="456"/>
      <c r="W181" s="456"/>
      <c r="X181" s="456"/>
      <c r="Y181" s="456"/>
      <c r="Z181" s="456"/>
      <c r="AA181" s="456"/>
      <c r="AB181" s="456"/>
      <c r="AC181" s="456"/>
      <c r="AD181" s="456"/>
      <c r="AE181" s="456"/>
      <c r="AF181" s="456"/>
      <c r="AG181" s="456"/>
      <c r="AH181" s="456"/>
      <c r="AI181" s="456"/>
      <c r="AJ181" s="456"/>
      <c r="AK181" s="456"/>
      <c r="AL181" s="456"/>
      <c r="AM181" s="101"/>
      <c r="AN181" s="109"/>
      <c r="AO181" s="109"/>
      <c r="AP181" s="109"/>
      <c r="AQ181" s="109"/>
      <c r="AR181" s="109"/>
      <c r="AS181" s="109"/>
      <c r="AT181" s="109"/>
      <c r="AU181" s="109"/>
      <c r="AV181" s="109"/>
      <c r="AW181" s="109"/>
      <c r="AX181" s="109"/>
      <c r="AY181" s="109"/>
      <c r="AZ181" s="109"/>
      <c r="BA181" s="60"/>
      <c r="BB181" s="60"/>
      <c r="BC181" s="60"/>
      <c r="BD181" s="60"/>
      <c r="BE181" s="60"/>
      <c r="BF181" s="60"/>
      <c r="BG181" s="60"/>
      <c r="BH181" s="60"/>
      <c r="BI181" s="60"/>
    </row>
    <row r="182" spans="1:61" s="68" customFormat="1" ht="84.45" customHeight="1" x14ac:dyDescent="0.25">
      <c r="A182" s="332" t="s">
        <v>1130</v>
      </c>
      <c r="B182" s="332"/>
      <c r="C182" s="332"/>
      <c r="D182" s="332"/>
      <c r="E182" s="332"/>
      <c r="F182" s="332"/>
      <c r="G182" s="332"/>
      <c r="H182" s="332"/>
      <c r="I182" s="332"/>
      <c r="J182" s="332"/>
      <c r="K182" s="332"/>
      <c r="L182" s="332"/>
      <c r="M182" s="332"/>
      <c r="N182" s="332"/>
      <c r="O182" s="332"/>
      <c r="P182" s="332"/>
      <c r="Q182" s="332"/>
      <c r="R182" s="332"/>
      <c r="S182" s="332"/>
      <c r="T182" s="332"/>
      <c r="U182" s="332"/>
      <c r="V182" s="332"/>
      <c r="W182" s="332"/>
      <c r="X182" s="332"/>
      <c r="Y182" s="332"/>
      <c r="Z182" s="332"/>
      <c r="AA182" s="332"/>
      <c r="AB182" s="332"/>
      <c r="AC182" s="332"/>
      <c r="AD182" s="332"/>
      <c r="AE182" s="332"/>
      <c r="AF182" s="332"/>
      <c r="AG182" s="332"/>
      <c r="AH182" s="332"/>
      <c r="AI182" s="332"/>
      <c r="AJ182" s="332"/>
      <c r="AK182" s="332"/>
      <c r="AL182" s="332"/>
      <c r="AM182" s="101"/>
      <c r="AN182" s="109"/>
      <c r="AO182" s="109"/>
      <c r="AP182" s="109"/>
      <c r="AQ182" s="109"/>
      <c r="AR182" s="109"/>
      <c r="AS182" s="109"/>
      <c r="AT182" s="109"/>
      <c r="AU182" s="109"/>
      <c r="AV182" s="109"/>
      <c r="AW182" s="109"/>
      <c r="AX182" s="109"/>
      <c r="AY182" s="109"/>
      <c r="AZ182" s="109"/>
      <c r="BA182" s="60"/>
      <c r="BB182" s="60"/>
      <c r="BC182" s="60"/>
      <c r="BD182" s="60"/>
      <c r="BE182" s="60"/>
      <c r="BF182" s="60"/>
      <c r="BG182" s="60"/>
      <c r="BH182" s="60"/>
      <c r="BI182" s="60"/>
    </row>
    <row r="183" spans="1:61" s="68" customFormat="1" ht="72" customHeight="1" x14ac:dyDescent="0.25">
      <c r="A183" s="333"/>
      <c r="B183" s="333"/>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101"/>
      <c r="AN183" s="109"/>
      <c r="AO183" s="109"/>
      <c r="AP183" s="109"/>
      <c r="AQ183" s="109"/>
      <c r="AR183" s="109"/>
      <c r="AS183" s="109"/>
      <c r="AT183" s="109"/>
      <c r="AU183" s="109"/>
      <c r="AV183" s="109"/>
      <c r="AW183" s="109"/>
      <c r="AX183" s="109"/>
      <c r="AY183" s="109"/>
      <c r="AZ183" s="109"/>
      <c r="BA183" s="60"/>
      <c r="BB183" s="60"/>
      <c r="BC183" s="60"/>
      <c r="BD183" s="60"/>
      <c r="BE183" s="60"/>
      <c r="BF183" s="60"/>
      <c r="BG183" s="60"/>
      <c r="BH183" s="60"/>
      <c r="BI183" s="60"/>
    </row>
    <row r="184" spans="1:61" s="68" customFormat="1" ht="58.95" customHeight="1" x14ac:dyDescent="0.25">
      <c r="A184" s="315" t="s">
        <v>1135</v>
      </c>
      <c r="B184" s="315"/>
      <c r="C184" s="315"/>
      <c r="D184" s="315"/>
      <c r="E184" s="315"/>
      <c r="F184" s="315"/>
      <c r="G184" s="315"/>
      <c r="H184" s="315"/>
      <c r="I184" s="315"/>
      <c r="J184" s="315"/>
      <c r="K184" s="315"/>
      <c r="L184" s="315"/>
      <c r="M184" s="315"/>
      <c r="N184" s="315"/>
      <c r="O184" s="315"/>
      <c r="P184" s="315"/>
      <c r="Q184" s="315"/>
      <c r="R184" s="315"/>
      <c r="S184" s="315"/>
      <c r="T184" s="315"/>
      <c r="U184" s="315"/>
      <c r="V184" s="315"/>
      <c r="W184" s="315"/>
      <c r="X184" s="315"/>
      <c r="Y184" s="315"/>
      <c r="Z184" s="315"/>
      <c r="AA184" s="315"/>
      <c r="AB184" s="315"/>
      <c r="AC184" s="315"/>
      <c r="AD184" s="315"/>
      <c r="AE184" s="315"/>
      <c r="AF184" s="315"/>
      <c r="AG184" s="315"/>
      <c r="AH184" s="315"/>
      <c r="AI184" s="315"/>
      <c r="AJ184" s="315"/>
      <c r="AK184" s="315"/>
      <c r="AL184" s="315"/>
      <c r="AM184" s="101"/>
      <c r="AN184" s="109"/>
      <c r="AO184" s="109"/>
      <c r="AP184" s="109"/>
      <c r="AQ184" s="109"/>
      <c r="AR184" s="109"/>
      <c r="AS184" s="109"/>
      <c r="AT184" s="109"/>
      <c r="AU184" s="109"/>
      <c r="AV184" s="109"/>
      <c r="AW184" s="109"/>
      <c r="AX184" s="109"/>
      <c r="AY184" s="109"/>
      <c r="AZ184" s="109"/>
      <c r="BA184" s="60"/>
      <c r="BB184" s="60"/>
      <c r="BC184" s="60"/>
      <c r="BD184" s="60"/>
      <c r="BE184" s="60"/>
      <c r="BF184" s="60"/>
      <c r="BG184" s="60"/>
      <c r="BH184" s="60"/>
      <c r="BI184" s="60"/>
    </row>
    <row r="185" spans="1:61" s="68" customFormat="1" ht="88.2" customHeight="1" x14ac:dyDescent="0.25">
      <c r="A185" s="333"/>
      <c r="B185" s="333"/>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c r="Z185" s="333"/>
      <c r="AA185" s="333"/>
      <c r="AB185" s="333"/>
      <c r="AC185" s="333"/>
      <c r="AD185" s="333"/>
      <c r="AE185" s="333"/>
      <c r="AF185" s="333"/>
      <c r="AG185" s="333"/>
      <c r="AH185" s="333"/>
      <c r="AI185" s="333"/>
      <c r="AJ185" s="333"/>
      <c r="AK185" s="333"/>
      <c r="AL185" s="333"/>
      <c r="AM185" s="101"/>
      <c r="AN185" s="109"/>
      <c r="AO185" s="109"/>
      <c r="AP185" s="109"/>
      <c r="AQ185" s="109"/>
      <c r="AR185" s="109"/>
      <c r="AS185" s="109"/>
      <c r="AT185" s="109"/>
      <c r="AU185" s="109"/>
      <c r="AV185" s="109"/>
      <c r="AW185" s="109"/>
      <c r="AX185" s="109"/>
      <c r="AY185" s="109"/>
      <c r="AZ185" s="109"/>
      <c r="BA185" s="60"/>
      <c r="BB185" s="60"/>
      <c r="BC185" s="60"/>
      <c r="BD185" s="60"/>
      <c r="BE185" s="60"/>
      <c r="BF185" s="60"/>
      <c r="BG185" s="60"/>
      <c r="BH185" s="60"/>
      <c r="BI185" s="60"/>
    </row>
    <row r="186" spans="1:61" s="68" customFormat="1" ht="70.5" customHeight="1" x14ac:dyDescent="0.25">
      <c r="A186" s="308" t="s">
        <v>1138</v>
      </c>
      <c r="B186" s="332"/>
      <c r="C186" s="332"/>
      <c r="D186" s="332"/>
      <c r="E186" s="332"/>
      <c r="F186" s="332"/>
      <c r="G186" s="332"/>
      <c r="H186" s="332"/>
      <c r="I186" s="332"/>
      <c r="J186" s="332"/>
      <c r="K186" s="332"/>
      <c r="L186" s="332"/>
      <c r="M186" s="332"/>
      <c r="N186" s="332"/>
      <c r="O186" s="332"/>
      <c r="P186" s="332"/>
      <c r="Q186" s="332"/>
      <c r="R186" s="332"/>
      <c r="S186" s="332"/>
      <c r="T186" s="332"/>
      <c r="U186" s="332"/>
      <c r="V186" s="332"/>
      <c r="W186" s="332"/>
      <c r="X186" s="332"/>
      <c r="Y186" s="332"/>
      <c r="Z186" s="332"/>
      <c r="AA186" s="332"/>
      <c r="AB186" s="332"/>
      <c r="AC186" s="332"/>
      <c r="AD186" s="332"/>
      <c r="AE186" s="332"/>
      <c r="AF186" s="332"/>
      <c r="AG186" s="332"/>
      <c r="AH186" s="332"/>
      <c r="AI186" s="332"/>
      <c r="AJ186" s="332"/>
      <c r="AK186" s="332"/>
      <c r="AL186" s="332"/>
      <c r="AM186" s="101"/>
      <c r="AN186" s="109"/>
      <c r="AO186" s="109"/>
      <c r="AP186" s="109"/>
      <c r="AQ186" s="109"/>
      <c r="AR186" s="109"/>
      <c r="AS186" s="109"/>
      <c r="AT186" s="109"/>
      <c r="AU186" s="109"/>
      <c r="AV186" s="109"/>
      <c r="AW186" s="109"/>
      <c r="AX186" s="109"/>
      <c r="AY186" s="109"/>
      <c r="AZ186" s="109"/>
      <c r="BA186" s="60"/>
      <c r="BB186" s="60"/>
      <c r="BC186" s="60"/>
      <c r="BD186" s="60"/>
      <c r="BE186" s="60"/>
      <c r="BF186" s="60"/>
      <c r="BG186" s="60"/>
      <c r="BH186" s="60"/>
      <c r="BI186" s="60"/>
    </row>
    <row r="187" spans="1:61" s="68" customFormat="1" ht="70.5" customHeight="1" x14ac:dyDescent="0.25">
      <c r="A187" s="333" t="s">
        <v>1139</v>
      </c>
      <c r="B187" s="333"/>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c r="Z187" s="333"/>
      <c r="AA187" s="333"/>
      <c r="AB187" s="333"/>
      <c r="AC187" s="333"/>
      <c r="AD187" s="333"/>
      <c r="AE187" s="333"/>
      <c r="AF187" s="333"/>
      <c r="AG187" s="333"/>
      <c r="AH187" s="333"/>
      <c r="AI187" s="333"/>
      <c r="AJ187" s="333"/>
      <c r="AK187" s="333"/>
      <c r="AL187" s="333"/>
      <c r="AM187" s="101"/>
      <c r="AN187" s="109"/>
      <c r="AO187" s="109"/>
      <c r="AP187" s="109"/>
      <c r="AQ187" s="109"/>
      <c r="AR187" s="109"/>
      <c r="AS187" s="109"/>
      <c r="AT187" s="109"/>
      <c r="AU187" s="109"/>
      <c r="AV187" s="109"/>
      <c r="AW187" s="109"/>
      <c r="AX187" s="109"/>
      <c r="AY187" s="109"/>
      <c r="AZ187" s="109"/>
      <c r="BA187" s="60"/>
      <c r="BB187" s="60"/>
      <c r="BC187" s="60"/>
      <c r="BD187" s="60"/>
      <c r="BE187" s="60"/>
      <c r="BF187" s="60"/>
      <c r="BG187" s="60"/>
      <c r="BH187" s="60"/>
      <c r="BI187" s="60"/>
    </row>
    <row r="188" spans="1:61" s="68" customFormat="1" ht="34.950000000000003" customHeight="1" x14ac:dyDescent="0.25">
      <c r="A188" s="308" t="s">
        <v>752</v>
      </c>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c r="AH188" s="308"/>
      <c r="AI188" s="308"/>
      <c r="AJ188" s="308"/>
      <c r="AK188" s="308"/>
      <c r="AL188" s="308"/>
      <c r="AM188" s="101"/>
      <c r="AN188" s="109"/>
      <c r="AO188" s="109"/>
      <c r="AP188" s="109"/>
      <c r="AQ188" s="109"/>
      <c r="AR188" s="109"/>
      <c r="AS188" s="109"/>
      <c r="AT188" s="109"/>
      <c r="AU188" s="109"/>
      <c r="AV188" s="109"/>
      <c r="AW188" s="109"/>
      <c r="AX188" s="109"/>
      <c r="AY188" s="109"/>
      <c r="AZ188" s="109"/>
      <c r="BA188" s="60"/>
      <c r="BB188" s="60"/>
      <c r="BC188" s="60"/>
      <c r="BD188" s="60"/>
      <c r="BE188" s="60"/>
      <c r="BF188" s="60"/>
      <c r="BG188" s="60"/>
      <c r="BH188" s="60"/>
      <c r="BI188" s="60"/>
    </row>
    <row r="189" spans="1:61" s="68" customFormat="1" ht="60" customHeight="1" x14ac:dyDescent="0.25">
      <c r="A189" s="308" t="s">
        <v>979</v>
      </c>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c r="AD189" s="308"/>
      <c r="AE189" s="308"/>
      <c r="AF189" s="308"/>
      <c r="AG189" s="308"/>
      <c r="AH189" s="308"/>
      <c r="AI189" s="308"/>
      <c r="AJ189" s="308"/>
      <c r="AK189" s="308"/>
      <c r="AL189" s="308"/>
      <c r="AM189" s="101"/>
      <c r="AN189" s="109"/>
      <c r="AO189" s="109"/>
      <c r="AP189" s="109"/>
      <c r="AQ189" s="109"/>
      <c r="AR189" s="109"/>
      <c r="AS189" s="109"/>
      <c r="AT189" s="109"/>
      <c r="AU189" s="109"/>
      <c r="AV189" s="109"/>
      <c r="AW189" s="109"/>
      <c r="AX189" s="109"/>
      <c r="AY189" s="109"/>
      <c r="AZ189" s="109"/>
      <c r="BA189" s="60"/>
      <c r="BB189" s="60"/>
      <c r="BC189" s="60"/>
      <c r="BD189" s="60"/>
      <c r="BE189" s="60"/>
      <c r="BF189" s="60"/>
      <c r="BG189" s="60"/>
      <c r="BH189" s="60"/>
      <c r="BI189" s="60"/>
    </row>
    <row r="190" spans="1:61" s="68" customFormat="1" ht="30.45" customHeight="1" x14ac:dyDescent="0.25">
      <c r="A190" s="308" t="s">
        <v>1024</v>
      </c>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c r="AJ190" s="308"/>
      <c r="AK190" s="308"/>
      <c r="AL190" s="308"/>
      <c r="AM190" s="101"/>
      <c r="AN190" s="109"/>
      <c r="AO190" s="109"/>
      <c r="AP190" s="109"/>
      <c r="AQ190" s="109"/>
      <c r="AR190" s="109"/>
      <c r="AS190" s="109"/>
      <c r="AT190" s="109"/>
      <c r="AU190" s="109"/>
      <c r="AV190" s="109"/>
      <c r="AW190" s="109"/>
      <c r="AX190" s="109"/>
      <c r="AY190" s="109"/>
      <c r="AZ190" s="109"/>
      <c r="BA190" s="60"/>
      <c r="BB190" s="60"/>
      <c r="BC190" s="60"/>
      <c r="BD190" s="60"/>
      <c r="BE190" s="60"/>
      <c r="BF190" s="60"/>
      <c r="BG190" s="60"/>
      <c r="BH190" s="60"/>
      <c r="BI190" s="60"/>
    </row>
    <row r="191" spans="1:61" s="68" customFormat="1" ht="81" customHeight="1" x14ac:dyDescent="0.25">
      <c r="A191" s="308" t="s">
        <v>1153</v>
      </c>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c r="AH191" s="308"/>
      <c r="AI191" s="308"/>
      <c r="AJ191" s="308"/>
      <c r="AK191" s="308"/>
      <c r="AL191" s="308"/>
      <c r="AM191" s="101"/>
      <c r="AN191" s="109"/>
      <c r="AO191" s="109"/>
      <c r="AP191" s="109"/>
      <c r="AQ191" s="109"/>
      <c r="AR191" s="109"/>
      <c r="AS191" s="109"/>
      <c r="AT191" s="109"/>
      <c r="AU191" s="109"/>
      <c r="AV191" s="109"/>
      <c r="AW191" s="109"/>
      <c r="AX191" s="109"/>
      <c r="AY191" s="109"/>
      <c r="AZ191" s="109"/>
      <c r="BA191" s="60"/>
      <c r="BB191" s="60"/>
      <c r="BC191" s="60"/>
      <c r="BD191" s="60"/>
      <c r="BE191" s="60"/>
      <c r="BF191" s="60"/>
      <c r="BG191" s="60"/>
      <c r="BH191" s="60"/>
      <c r="BI191" s="60"/>
    </row>
    <row r="192" spans="1:61" s="68" customFormat="1" ht="70.95" customHeight="1" x14ac:dyDescent="0.25">
      <c r="A192" s="308" t="s">
        <v>1002</v>
      </c>
      <c r="B192" s="328"/>
      <c r="C192" s="328"/>
      <c r="D192" s="328"/>
      <c r="E192" s="328"/>
      <c r="F192" s="328"/>
      <c r="G192" s="328"/>
      <c r="H192" s="328"/>
      <c r="I192" s="328"/>
      <c r="J192" s="328"/>
      <c r="K192" s="328"/>
      <c r="L192" s="328"/>
      <c r="M192" s="328"/>
      <c r="N192" s="328"/>
      <c r="O192" s="328"/>
      <c r="P192" s="328"/>
      <c r="Q192" s="328"/>
      <c r="R192" s="328"/>
      <c r="S192" s="328"/>
      <c r="T192" s="328"/>
      <c r="U192" s="328"/>
      <c r="V192" s="328"/>
      <c r="W192" s="328"/>
      <c r="X192" s="328"/>
      <c r="Y192" s="328"/>
      <c r="Z192" s="328"/>
      <c r="AA192" s="328"/>
      <c r="AB192" s="328"/>
      <c r="AC192" s="328"/>
      <c r="AD192" s="328"/>
      <c r="AE192" s="328"/>
      <c r="AF192" s="328"/>
      <c r="AG192" s="328"/>
      <c r="AH192" s="328"/>
      <c r="AI192" s="328"/>
      <c r="AJ192" s="328"/>
      <c r="AK192" s="328"/>
      <c r="AL192" s="328"/>
      <c r="AM192" s="101"/>
      <c r="AN192" s="109"/>
      <c r="AO192" s="109"/>
      <c r="AP192" s="109"/>
      <c r="AQ192" s="109"/>
      <c r="AR192" s="109"/>
      <c r="AS192" s="109"/>
      <c r="AT192" s="109"/>
      <c r="AU192" s="109"/>
      <c r="AV192" s="109"/>
      <c r="AW192" s="109"/>
      <c r="AX192" s="109"/>
      <c r="AY192" s="109"/>
      <c r="AZ192" s="109"/>
      <c r="BA192" s="60"/>
      <c r="BB192" s="60"/>
      <c r="BC192" s="60"/>
      <c r="BD192" s="60"/>
      <c r="BE192" s="60"/>
      <c r="BF192" s="60"/>
      <c r="BG192" s="60"/>
      <c r="BH192" s="60"/>
      <c r="BI192" s="60"/>
    </row>
    <row r="193" spans="1:61" s="68" customFormat="1" ht="22.2" customHeight="1" x14ac:dyDescent="0.25">
      <c r="A193" s="308" t="s">
        <v>1051</v>
      </c>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308"/>
      <c r="AH193" s="308"/>
      <c r="AI193" s="308"/>
      <c r="AJ193" s="308"/>
      <c r="AK193" s="308"/>
      <c r="AL193" s="308"/>
      <c r="AM193" s="101"/>
      <c r="AN193" s="109"/>
      <c r="AO193" s="109"/>
      <c r="AP193" s="109"/>
      <c r="AQ193" s="109"/>
      <c r="AR193" s="109"/>
      <c r="AS193" s="109"/>
      <c r="AT193" s="109"/>
      <c r="AU193" s="109"/>
      <c r="AV193" s="109"/>
      <c r="AW193" s="109"/>
      <c r="AX193" s="109"/>
      <c r="AY193" s="109"/>
      <c r="AZ193" s="109"/>
      <c r="BA193" s="60"/>
      <c r="BB193" s="60"/>
      <c r="BC193" s="60"/>
      <c r="BD193" s="60"/>
      <c r="BE193" s="60"/>
      <c r="BF193" s="60"/>
      <c r="BG193" s="60"/>
      <c r="BH193" s="60"/>
      <c r="BI193" s="60"/>
    </row>
    <row r="194" spans="1:61" s="68" customFormat="1" ht="43.5" customHeight="1" x14ac:dyDescent="0.25">
      <c r="A194" s="505" t="str">
        <f>IF(B17="Gmina","1)  w przypadku gminy - wójta (burmistrza, prezydenta miasta)",IF(B17="Związek międzygminny","2)  w przypadku związku międzygminnego - zarząd związku",IF(B17="Organizacja pozarządowa","4)  w przypadku organizacji pożytku publicznego - osobę lub osoby uprawnione do składania oświadczeń woli w imieniu organizacji (należy dołączyć aktualny dokument potwierdzający uprawnienia)",IF(B17="Jednoosobowa spółka gminna","4)  w przypadku jednoosobowej spółki gminnej - osobę lub osoby uprawnione do składania oświadczeń woli w imieniu spółki (należy dołączyć aktualny dokument potwierdzający uprawnienia)",IF(B17="Podmioty, o których mowa w art. 3 ust. 3 ustawy  o działalności pożytku publicznego i wolontariacie","4)  w przypadku podmiotów - osobę lub osoby uprawnione do składania oświadczeń woli w imieniu organizacji (należy dołączyć aktualny dokument potwierdzający uprawnienia)",IF(B17="",""))))))</f>
        <v/>
      </c>
      <c r="B194" s="505"/>
      <c r="C194" s="505"/>
      <c r="D194" s="505"/>
      <c r="E194" s="505"/>
      <c r="F194" s="505"/>
      <c r="G194" s="505"/>
      <c r="H194" s="505"/>
      <c r="I194" s="505"/>
      <c r="J194" s="505"/>
      <c r="K194" s="505"/>
      <c r="L194" s="505"/>
      <c r="M194" s="505"/>
      <c r="N194" s="505"/>
      <c r="O194" s="505"/>
      <c r="P194" s="505"/>
      <c r="Q194" s="505"/>
      <c r="R194" s="505"/>
      <c r="S194" s="505"/>
      <c r="T194" s="505"/>
      <c r="U194" s="505"/>
      <c r="V194" s="505"/>
      <c r="W194" s="505"/>
      <c r="X194" s="505"/>
      <c r="Y194" s="505"/>
      <c r="Z194" s="505"/>
      <c r="AA194" s="505"/>
      <c r="AB194" s="505"/>
      <c r="AC194" s="505"/>
      <c r="AD194" s="505"/>
      <c r="AE194" s="505"/>
      <c r="AF194" s="505"/>
      <c r="AG194" s="505"/>
      <c r="AH194" s="505"/>
      <c r="AI194" s="505"/>
      <c r="AJ194" s="505"/>
      <c r="AK194" s="505"/>
      <c r="AL194" s="505"/>
      <c r="AM194" s="454" t="s">
        <v>974</v>
      </c>
      <c r="AN194" s="109"/>
      <c r="AO194" s="109"/>
      <c r="AP194" s="109"/>
      <c r="AQ194" s="109"/>
      <c r="AR194" s="109"/>
      <c r="AS194" s="109"/>
      <c r="AT194" s="109"/>
      <c r="AU194" s="109"/>
      <c r="AV194" s="109"/>
      <c r="AW194" s="109"/>
      <c r="AX194" s="109"/>
      <c r="AY194" s="109"/>
      <c r="AZ194" s="109"/>
      <c r="BA194" s="60"/>
      <c r="BB194" s="60"/>
      <c r="BC194" s="60"/>
      <c r="BD194" s="60"/>
      <c r="BE194" s="60"/>
      <c r="BF194" s="60"/>
      <c r="BG194" s="60"/>
      <c r="BH194" s="60"/>
      <c r="BI194" s="60"/>
    </row>
    <row r="195" spans="1:61" s="86" customFormat="1" ht="45" customHeight="1" x14ac:dyDescent="0.3">
      <c r="A195" s="460" t="s">
        <v>753</v>
      </c>
      <c r="B195" s="460"/>
      <c r="C195" s="460"/>
      <c r="D195" s="460"/>
      <c r="E195" s="460"/>
      <c r="F195" s="460"/>
      <c r="G195" s="460"/>
      <c r="H195" s="460"/>
      <c r="I195" s="460"/>
      <c r="J195" s="460"/>
      <c r="K195" s="460"/>
      <c r="L195" s="460"/>
      <c r="M195" s="460"/>
      <c r="N195" s="460"/>
      <c r="O195" s="460"/>
      <c r="P195" s="460"/>
      <c r="Q195" s="460"/>
      <c r="R195" s="460"/>
      <c r="S195" s="460"/>
      <c r="T195" s="460"/>
      <c r="U195" s="460"/>
      <c r="V195" s="460"/>
      <c r="W195" s="460"/>
      <c r="X195" s="460"/>
      <c r="Y195" s="460"/>
      <c r="Z195" s="460"/>
      <c r="AA195" s="460"/>
      <c r="AB195" s="460"/>
      <c r="AC195" s="460"/>
      <c r="AD195" s="460"/>
      <c r="AE195" s="460"/>
      <c r="AF195" s="460"/>
      <c r="AG195" s="460"/>
      <c r="AH195" s="460"/>
      <c r="AI195" s="460"/>
      <c r="AJ195" s="460"/>
      <c r="AK195" s="460"/>
      <c r="AL195" s="460"/>
      <c r="AM195" s="455"/>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row>
    <row r="196" spans="1:61" ht="13.95" customHeight="1" x14ac:dyDescent="0.25">
      <c r="A196" s="449" t="s">
        <v>1148</v>
      </c>
      <c r="B196" s="449"/>
      <c r="C196" s="449"/>
      <c r="D196" s="449"/>
      <c r="E196" s="449"/>
      <c r="F196" s="449"/>
      <c r="G196" s="449"/>
      <c r="H196" s="449"/>
      <c r="I196" s="449"/>
      <c r="J196" s="449"/>
      <c r="K196" s="449"/>
      <c r="L196" s="449"/>
      <c r="M196" s="449"/>
      <c r="N196" s="449"/>
      <c r="O196" s="449"/>
      <c r="P196" s="449"/>
      <c r="Q196" s="449"/>
      <c r="R196" s="449"/>
      <c r="S196" s="449"/>
      <c r="T196" s="449"/>
      <c r="U196" s="449"/>
      <c r="V196" s="449"/>
      <c r="W196" s="449"/>
      <c r="X196" s="449"/>
      <c r="Y196" s="449"/>
      <c r="Z196" s="449"/>
      <c r="AA196" s="449"/>
      <c r="AB196" s="449"/>
      <c r="AC196" s="449"/>
      <c r="AD196" s="449"/>
      <c r="AE196" s="449"/>
      <c r="AF196" s="449"/>
      <c r="AG196" s="449"/>
      <c r="AH196" s="449"/>
      <c r="AI196" s="449"/>
      <c r="AJ196" s="449"/>
      <c r="AK196" s="449"/>
      <c r="AL196" s="449"/>
    </row>
    <row r="197" spans="1:61" ht="13.95" customHeight="1" x14ac:dyDescent="0.25">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c r="W197" s="450"/>
      <c r="X197" s="450"/>
      <c r="Y197" s="450"/>
      <c r="Z197" s="450"/>
      <c r="AA197" s="450"/>
      <c r="AB197" s="450"/>
      <c r="AC197" s="450"/>
      <c r="AD197" s="450"/>
      <c r="AE197" s="450"/>
      <c r="AF197" s="450"/>
      <c r="AG197" s="450"/>
      <c r="AH197" s="450"/>
      <c r="AI197" s="450"/>
      <c r="AJ197" s="450"/>
      <c r="AK197" s="450"/>
      <c r="AL197" s="450"/>
    </row>
    <row r="198" spans="1:61" ht="13.95" customHeight="1" x14ac:dyDescent="0.25">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c r="W198" s="450"/>
      <c r="X198" s="450"/>
      <c r="Y198" s="450"/>
      <c r="Z198" s="450"/>
      <c r="AA198" s="450"/>
      <c r="AB198" s="450"/>
      <c r="AC198" s="450"/>
      <c r="AD198" s="450"/>
      <c r="AE198" s="450"/>
      <c r="AF198" s="450"/>
      <c r="AG198" s="450"/>
      <c r="AH198" s="450"/>
      <c r="AI198" s="450"/>
      <c r="AJ198" s="450"/>
      <c r="AK198" s="450"/>
      <c r="AL198" s="450"/>
    </row>
    <row r="199" spans="1:61" ht="13.95" customHeight="1" x14ac:dyDescent="0.3">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c r="W199" s="450"/>
      <c r="X199" s="450"/>
      <c r="Y199" s="450"/>
      <c r="Z199" s="450"/>
      <c r="AA199" s="450"/>
      <c r="AB199" s="450"/>
      <c r="AC199" s="450"/>
      <c r="AD199" s="450"/>
      <c r="AE199" s="450"/>
      <c r="AF199" s="450"/>
      <c r="AG199" s="450"/>
      <c r="AH199" s="450"/>
      <c r="AI199" s="450"/>
      <c r="AJ199" s="450"/>
      <c r="AK199" s="450"/>
      <c r="AL199" s="450"/>
      <c r="AM199" s="256" t="s">
        <v>1155</v>
      </c>
    </row>
    <row r="200" spans="1:61" ht="148.5" customHeight="1" x14ac:dyDescent="0.25">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c r="W200" s="450"/>
      <c r="X200" s="450"/>
      <c r="Y200" s="450"/>
      <c r="Z200" s="450"/>
      <c r="AA200" s="450"/>
      <c r="AB200" s="450"/>
      <c r="AC200" s="450"/>
      <c r="AD200" s="450"/>
      <c r="AE200" s="450"/>
      <c r="AF200" s="450"/>
      <c r="AG200" s="450"/>
      <c r="AH200" s="450"/>
      <c r="AI200" s="450"/>
      <c r="AJ200" s="450"/>
      <c r="AK200" s="450"/>
      <c r="AL200" s="450"/>
      <c r="AM200" s="255" t="s">
        <v>1156</v>
      </c>
    </row>
  </sheetData>
  <sheetProtection algorithmName="SHA-512" hashValue="u65bYmRdGQkyphDN0tGnJDkchQR3W84a4yj5bTYUYuPuGOs+Kgo+IIbYR0KhHNzSkitmBZtpvoubdHGc4SRijg==" saltValue="tN57XIDQBWNPvOm/RDhCWw==" spinCount="100000" sheet="1" formatCells="0" formatRows="0" insertRows="0"/>
  <mergeCells count="436">
    <mergeCell ref="A1:AL1"/>
    <mergeCell ref="A193:AL193"/>
    <mergeCell ref="AM194:AM195"/>
    <mergeCell ref="B20:AL20"/>
    <mergeCell ref="B43:AL43"/>
    <mergeCell ref="B45:AL45"/>
    <mergeCell ref="A52:A64"/>
    <mergeCell ref="A97:AL97"/>
    <mergeCell ref="B58:R58"/>
    <mergeCell ref="S58:AL58"/>
    <mergeCell ref="B64:R64"/>
    <mergeCell ref="S64:AL64"/>
    <mergeCell ref="A81:AL81"/>
    <mergeCell ref="A82:AL82"/>
    <mergeCell ref="A83:AL83"/>
    <mergeCell ref="B25:V25"/>
    <mergeCell ref="W25:AL25"/>
    <mergeCell ref="B39:AL39"/>
    <mergeCell ref="B28:AL28"/>
    <mergeCell ref="B24:V24"/>
    <mergeCell ref="A186:AL186"/>
    <mergeCell ref="A187:AL187"/>
    <mergeCell ref="AA163:AG163"/>
    <mergeCell ref="AH163:AJ163"/>
    <mergeCell ref="A196:AL200"/>
    <mergeCell ref="B47:Y47"/>
    <mergeCell ref="B48:Y48"/>
    <mergeCell ref="B49:Y49"/>
    <mergeCell ref="B50:Y50"/>
    <mergeCell ref="B51:Y51"/>
    <mergeCell ref="B161:F161"/>
    <mergeCell ref="G161:K161"/>
    <mergeCell ref="L161:O161"/>
    <mergeCell ref="B162:F162"/>
    <mergeCell ref="G162:K162"/>
    <mergeCell ref="L162:O162"/>
    <mergeCell ref="B163:F163"/>
    <mergeCell ref="G163:K163"/>
    <mergeCell ref="L163:O163"/>
    <mergeCell ref="B156:F156"/>
    <mergeCell ref="G156:K156"/>
    <mergeCell ref="L156:O156"/>
    <mergeCell ref="P163:S163"/>
    <mergeCell ref="P161:S161"/>
    <mergeCell ref="T161:Z161"/>
    <mergeCell ref="A190:AL190"/>
    <mergeCell ref="A173:AL173"/>
    <mergeCell ref="A178:AL178"/>
    <mergeCell ref="AH164:AJ164"/>
    <mergeCell ref="AK164:AL164"/>
    <mergeCell ref="T163:Z163"/>
    <mergeCell ref="AK163:AL163"/>
    <mergeCell ref="AK159:AL159"/>
    <mergeCell ref="AK160:AL160"/>
    <mergeCell ref="AK161:AL161"/>
    <mergeCell ref="AK162:AL162"/>
    <mergeCell ref="B149:F149"/>
    <mergeCell ref="G149:K149"/>
    <mergeCell ref="B158:F158"/>
    <mergeCell ref="G158:K158"/>
    <mergeCell ref="B152:F152"/>
    <mergeCell ref="B157:F157"/>
    <mergeCell ref="G157:K157"/>
    <mergeCell ref="L157:O157"/>
    <mergeCell ref="AH157:AJ157"/>
    <mergeCell ref="AK157:AL157"/>
    <mergeCell ref="AA162:AG162"/>
    <mergeCell ref="AH162:AJ162"/>
    <mergeCell ref="AH154:AJ154"/>
    <mergeCell ref="T156:Z156"/>
    <mergeCell ref="AA156:AG156"/>
    <mergeCell ref="AH156:AJ156"/>
    <mergeCell ref="B151:F151"/>
    <mergeCell ref="G151:K151"/>
    <mergeCell ref="L151:O151"/>
    <mergeCell ref="B68:AA68"/>
    <mergeCell ref="B155:F155"/>
    <mergeCell ref="G155:K155"/>
    <mergeCell ref="L155:O155"/>
    <mergeCell ref="G152:K152"/>
    <mergeCell ref="L152:O152"/>
    <mergeCell ref="P152:S152"/>
    <mergeCell ref="B146:F146"/>
    <mergeCell ref="G146:K146"/>
    <mergeCell ref="L146:O146"/>
    <mergeCell ref="B147:F147"/>
    <mergeCell ref="G147:K147"/>
    <mergeCell ref="L147:O147"/>
    <mergeCell ref="B148:F148"/>
    <mergeCell ref="G148:K148"/>
    <mergeCell ref="L148:O148"/>
    <mergeCell ref="A141:AL141"/>
    <mergeCell ref="P142:S142"/>
    <mergeCell ref="T142:Z142"/>
    <mergeCell ref="AA142:AG142"/>
    <mergeCell ref="AJ130:AL130"/>
    <mergeCell ref="A188:AL188"/>
    <mergeCell ref="AH151:AJ151"/>
    <mergeCell ref="T152:Z152"/>
    <mergeCell ref="AA152:AG152"/>
    <mergeCell ref="AH152:AJ152"/>
    <mergeCell ref="AK152:AL152"/>
    <mergeCell ref="L153:O153"/>
    <mergeCell ref="AK151:AL151"/>
    <mergeCell ref="A118:AL118"/>
    <mergeCell ref="A179:AL179"/>
    <mergeCell ref="A180:AL180"/>
    <mergeCell ref="B150:F150"/>
    <mergeCell ref="G150:K150"/>
    <mergeCell ref="A181:AL181"/>
    <mergeCell ref="A184:AL184"/>
    <mergeCell ref="A185:AL185"/>
    <mergeCell ref="A183:AL183"/>
    <mergeCell ref="AH165:AJ165"/>
    <mergeCell ref="AK165:AL165"/>
    <mergeCell ref="B144:F144"/>
    <mergeCell ref="G144:K144"/>
    <mergeCell ref="L144:O144"/>
    <mergeCell ref="B145:F145"/>
    <mergeCell ref="G145:K145"/>
    <mergeCell ref="A176:AL176"/>
    <mergeCell ref="A177:AL177"/>
    <mergeCell ref="P154:S154"/>
    <mergeCell ref="T154:Z154"/>
    <mergeCell ref="AA154:AG154"/>
    <mergeCell ref="B154:F154"/>
    <mergeCell ref="A175:AL175"/>
    <mergeCell ref="A174:AL174"/>
    <mergeCell ref="A171:AL171"/>
    <mergeCell ref="AA161:AG161"/>
    <mergeCell ref="AH161:AJ161"/>
    <mergeCell ref="T162:Z162"/>
    <mergeCell ref="P159:S159"/>
    <mergeCell ref="L160:O160"/>
    <mergeCell ref="AH159:AJ159"/>
    <mergeCell ref="AH160:AJ160"/>
    <mergeCell ref="P162:S162"/>
    <mergeCell ref="T159:Z159"/>
    <mergeCell ref="AA159:AG159"/>
    <mergeCell ref="P160:S160"/>
    <mergeCell ref="L158:O158"/>
    <mergeCell ref="P164:S164"/>
    <mergeCell ref="T164:Z164"/>
    <mergeCell ref="AA164:AG164"/>
    <mergeCell ref="A182:AL182"/>
    <mergeCell ref="P148:S148"/>
    <mergeCell ref="T148:Z148"/>
    <mergeCell ref="AA148:AG148"/>
    <mergeCell ref="AH148:AJ148"/>
    <mergeCell ref="AK149:AL149"/>
    <mergeCell ref="P144:S144"/>
    <mergeCell ref="T144:Z144"/>
    <mergeCell ref="AA144:AG144"/>
    <mergeCell ref="AH144:AJ144"/>
    <mergeCell ref="AK144:AL144"/>
    <mergeCell ref="P145:S145"/>
    <mergeCell ref="P146:S146"/>
    <mergeCell ref="T146:Z146"/>
    <mergeCell ref="T145:Z145"/>
    <mergeCell ref="AA145:AG145"/>
    <mergeCell ref="AA146:AG146"/>
    <mergeCell ref="AH146:AJ146"/>
    <mergeCell ref="L150:O150"/>
    <mergeCell ref="G164:K164"/>
    <mergeCell ref="L164:O164"/>
    <mergeCell ref="AK148:AL148"/>
    <mergeCell ref="AK146:AL146"/>
    <mergeCell ref="P147:S147"/>
    <mergeCell ref="A194:AL194"/>
    <mergeCell ref="A195:AL195"/>
    <mergeCell ref="P149:S149"/>
    <mergeCell ref="T149:Z149"/>
    <mergeCell ref="AA149:AG149"/>
    <mergeCell ref="AH149:AJ149"/>
    <mergeCell ref="A172:AL172"/>
    <mergeCell ref="P155:S155"/>
    <mergeCell ref="T155:Z155"/>
    <mergeCell ref="AA155:AG155"/>
    <mergeCell ref="AH155:AJ155"/>
    <mergeCell ref="AK155:AL155"/>
    <mergeCell ref="P153:S153"/>
    <mergeCell ref="T153:Z153"/>
    <mergeCell ref="AA153:AG153"/>
    <mergeCell ref="B153:F153"/>
    <mergeCell ref="G153:K153"/>
    <mergeCell ref="P151:S151"/>
    <mergeCell ref="T151:Z151"/>
    <mergeCell ref="AA151:AG151"/>
    <mergeCell ref="P150:S150"/>
    <mergeCell ref="A189:AL189"/>
    <mergeCell ref="A192:AL192"/>
    <mergeCell ref="B164:F164"/>
    <mergeCell ref="AM89:AV89"/>
    <mergeCell ref="A90:AL90"/>
    <mergeCell ref="AM90:AU91"/>
    <mergeCell ref="A91:AL91"/>
    <mergeCell ref="A92:AL92"/>
    <mergeCell ref="A104:AL104"/>
    <mergeCell ref="A93:AL93"/>
    <mergeCell ref="A94:AL94"/>
    <mergeCell ref="A95:AL95"/>
    <mergeCell ref="A96:AL96"/>
    <mergeCell ref="A98:AL98"/>
    <mergeCell ref="A89:AL89"/>
    <mergeCell ref="A99:AL99"/>
    <mergeCell ref="A100:AL100"/>
    <mergeCell ref="A101:AL101"/>
    <mergeCell ref="A102:AL102"/>
    <mergeCell ref="A103:AL103"/>
    <mergeCell ref="AM83:AT83"/>
    <mergeCell ref="A72:AL72"/>
    <mergeCell ref="A84:AL84"/>
    <mergeCell ref="A85:AL85"/>
    <mergeCell ref="A86:AL86"/>
    <mergeCell ref="A87:AL87"/>
    <mergeCell ref="B78:AL78"/>
    <mergeCell ref="B73:AL73"/>
    <mergeCell ref="A75:AL75"/>
    <mergeCell ref="AM87:AV87"/>
    <mergeCell ref="AM78:AU79"/>
    <mergeCell ref="A74:AL74"/>
    <mergeCell ref="AK47:AL47"/>
    <mergeCell ref="Z48:AJ48"/>
    <mergeCell ref="Z51:AJ51"/>
    <mergeCell ref="AK50:AL50"/>
    <mergeCell ref="AK51:AL51"/>
    <mergeCell ref="AH142:AJ142"/>
    <mergeCell ref="T143:Z143"/>
    <mergeCell ref="B143:F143"/>
    <mergeCell ref="G143:K143"/>
    <mergeCell ref="AB68:AL68"/>
    <mergeCell ref="A134:Z135"/>
    <mergeCell ref="AA134:AI134"/>
    <mergeCell ref="AJ134:AL134"/>
    <mergeCell ref="AA135:AI135"/>
    <mergeCell ref="A125:AL125"/>
    <mergeCell ref="A120:AL120"/>
    <mergeCell ref="A119:AL119"/>
    <mergeCell ref="B67:AA67"/>
    <mergeCell ref="B69:AA69"/>
    <mergeCell ref="AB69:AL69"/>
    <mergeCell ref="M116:AL116"/>
    <mergeCell ref="A107:AL107"/>
    <mergeCell ref="AJ129:AL129"/>
    <mergeCell ref="AA130:AI130"/>
    <mergeCell ref="A20:A23"/>
    <mergeCell ref="A44:A45"/>
    <mergeCell ref="B44:AL44"/>
    <mergeCell ref="A46:A51"/>
    <mergeCell ref="B46:AL46"/>
    <mergeCell ref="AK48:AL48"/>
    <mergeCell ref="A28:A36"/>
    <mergeCell ref="A40:A41"/>
    <mergeCell ref="A42:A43"/>
    <mergeCell ref="B21:AL21"/>
    <mergeCell ref="B29:AL29"/>
    <mergeCell ref="AK49:AL49"/>
    <mergeCell ref="B36:AL36"/>
    <mergeCell ref="A37:A38"/>
    <mergeCell ref="B37:AL37"/>
    <mergeCell ref="B32:AL32"/>
    <mergeCell ref="W24:AL24"/>
    <mergeCell ref="Z49:AJ49"/>
    <mergeCell ref="Z50:AJ50"/>
    <mergeCell ref="B30:AL30"/>
    <mergeCell ref="B31:AL31"/>
    <mergeCell ref="B34:AL34"/>
    <mergeCell ref="Z47:AJ47"/>
    <mergeCell ref="B33:AL33"/>
    <mergeCell ref="A4:F4"/>
    <mergeCell ref="H4:L4"/>
    <mergeCell ref="A5:F5"/>
    <mergeCell ref="H5:L5"/>
    <mergeCell ref="A18:A19"/>
    <mergeCell ref="B18:AL18"/>
    <mergeCell ref="B19:AL19"/>
    <mergeCell ref="A11:AL11"/>
    <mergeCell ref="A12:AL12"/>
    <mergeCell ref="A13:AL13"/>
    <mergeCell ref="A15:AK15"/>
    <mergeCell ref="A16:A17"/>
    <mergeCell ref="B16:AL16"/>
    <mergeCell ref="B17:AL17"/>
    <mergeCell ref="A7:F7"/>
    <mergeCell ref="G7:L7"/>
    <mergeCell ref="N7:P7"/>
    <mergeCell ref="Q7:AA7"/>
    <mergeCell ref="AB7:AE7"/>
    <mergeCell ref="A8:P8"/>
    <mergeCell ref="Q8:AL8"/>
    <mergeCell ref="A9:AL9"/>
    <mergeCell ref="B26:AL26"/>
    <mergeCell ref="B27:AL27"/>
    <mergeCell ref="A76:AL76"/>
    <mergeCell ref="A77:AL77"/>
    <mergeCell ref="B70:AL70"/>
    <mergeCell ref="A71:AL71"/>
    <mergeCell ref="A24:A27"/>
    <mergeCell ref="B65:AL65"/>
    <mergeCell ref="B60:R60"/>
    <mergeCell ref="S60:AL60"/>
    <mergeCell ref="B61:R61"/>
    <mergeCell ref="S61:AL61"/>
    <mergeCell ref="B66:AA66"/>
    <mergeCell ref="AB66:AL66"/>
    <mergeCell ref="B62:R62"/>
    <mergeCell ref="S62:AL62"/>
    <mergeCell ref="B63:R63"/>
    <mergeCell ref="S63:AL63"/>
    <mergeCell ref="B35:AL35"/>
    <mergeCell ref="B40:AL40"/>
    <mergeCell ref="B41:AL41"/>
    <mergeCell ref="B42:AL42"/>
    <mergeCell ref="B38:S38"/>
    <mergeCell ref="T38:AL38"/>
    <mergeCell ref="A88:AL88"/>
    <mergeCell ref="A79:AL79"/>
    <mergeCell ref="A80:AL80"/>
    <mergeCell ref="A65:A69"/>
    <mergeCell ref="AB67:AL67"/>
    <mergeCell ref="A115:AL115"/>
    <mergeCell ref="A116:L116"/>
    <mergeCell ref="A111:AL111"/>
    <mergeCell ref="AA132:AI132"/>
    <mergeCell ref="AJ132:AL132"/>
    <mergeCell ref="A129:Z130"/>
    <mergeCell ref="AA129:AI129"/>
    <mergeCell ref="A126:AL126"/>
    <mergeCell ref="A106:AL106"/>
    <mergeCell ref="A108:AL108"/>
    <mergeCell ref="A105:AL105"/>
    <mergeCell ref="A110:L110"/>
    <mergeCell ref="M110:AL110"/>
    <mergeCell ref="A109:AL109"/>
    <mergeCell ref="AA133:AI133"/>
    <mergeCell ref="AJ133:AL133"/>
    <mergeCell ref="A132:Z133"/>
    <mergeCell ref="AK142:AL142"/>
    <mergeCell ref="A112:AL112"/>
    <mergeCell ref="A117:AL117"/>
    <mergeCell ref="A113:AL113"/>
    <mergeCell ref="A114:AL114"/>
    <mergeCell ref="A121:AL121"/>
    <mergeCell ref="A122:AL122"/>
    <mergeCell ref="AJ135:AL135"/>
    <mergeCell ref="A124:AL124"/>
    <mergeCell ref="A136:AL136"/>
    <mergeCell ref="A137:AI137"/>
    <mergeCell ref="AJ137:AL137"/>
    <mergeCell ref="A140:AL140"/>
    <mergeCell ref="A123:AL123"/>
    <mergeCell ref="A127:Z127"/>
    <mergeCell ref="AA127:AL127"/>
    <mergeCell ref="AK150:AL150"/>
    <mergeCell ref="L143:O143"/>
    <mergeCell ref="L145:O145"/>
    <mergeCell ref="T147:Z147"/>
    <mergeCell ref="AA147:AG147"/>
    <mergeCell ref="AH147:AJ147"/>
    <mergeCell ref="AK147:AL147"/>
    <mergeCell ref="B142:F142"/>
    <mergeCell ref="G142:K142"/>
    <mergeCell ref="L142:O142"/>
    <mergeCell ref="AA143:AG143"/>
    <mergeCell ref="B159:F159"/>
    <mergeCell ref="G159:K159"/>
    <mergeCell ref="L159:O159"/>
    <mergeCell ref="B160:F160"/>
    <mergeCell ref="G160:K160"/>
    <mergeCell ref="A131:Z131"/>
    <mergeCell ref="AA131:AL131"/>
    <mergeCell ref="T160:Z160"/>
    <mergeCell ref="AA160:AG160"/>
    <mergeCell ref="AK153:AL153"/>
    <mergeCell ref="P158:S158"/>
    <mergeCell ref="T158:Z158"/>
    <mergeCell ref="AA158:AG158"/>
    <mergeCell ref="AH158:AJ158"/>
    <mergeCell ref="AK158:AL158"/>
    <mergeCell ref="P157:S157"/>
    <mergeCell ref="T157:Z157"/>
    <mergeCell ref="AA157:AG157"/>
    <mergeCell ref="P156:S156"/>
    <mergeCell ref="L154:O154"/>
    <mergeCell ref="AH153:AJ153"/>
    <mergeCell ref="AK143:AL143"/>
    <mergeCell ref="T150:Z150"/>
    <mergeCell ref="AA150:AG150"/>
    <mergeCell ref="B53:AL53"/>
    <mergeCell ref="G154:K154"/>
    <mergeCell ref="AK156:AL156"/>
    <mergeCell ref="AH145:AJ145"/>
    <mergeCell ref="AK145:AL145"/>
    <mergeCell ref="P143:S143"/>
    <mergeCell ref="B54:R54"/>
    <mergeCell ref="S54:AL54"/>
    <mergeCell ref="B55:R55"/>
    <mergeCell ref="S55:AL55"/>
    <mergeCell ref="B56:R56"/>
    <mergeCell ref="S56:AL56"/>
    <mergeCell ref="B57:R57"/>
    <mergeCell ref="S57:AL57"/>
    <mergeCell ref="B59:AL59"/>
    <mergeCell ref="A138:AI138"/>
    <mergeCell ref="AJ138:AL138"/>
    <mergeCell ref="A139:AL139"/>
    <mergeCell ref="A128:Z128"/>
    <mergeCell ref="AA128:AL128"/>
    <mergeCell ref="AH150:AJ150"/>
    <mergeCell ref="L149:O149"/>
    <mergeCell ref="AK154:AL154"/>
    <mergeCell ref="AH143:AJ143"/>
    <mergeCell ref="A191:AL191"/>
    <mergeCell ref="B22:AL22"/>
    <mergeCell ref="B23:AL23"/>
    <mergeCell ref="B165:F165"/>
    <mergeCell ref="B170:S170"/>
    <mergeCell ref="T170:AJ170"/>
    <mergeCell ref="B169:S169"/>
    <mergeCell ref="T169:AJ169"/>
    <mergeCell ref="P166:S166"/>
    <mergeCell ref="T166:Z166"/>
    <mergeCell ref="AA166:AG166"/>
    <mergeCell ref="AH166:AJ166"/>
    <mergeCell ref="G165:K165"/>
    <mergeCell ref="L165:O165"/>
    <mergeCell ref="P165:S165"/>
    <mergeCell ref="T165:Z165"/>
    <mergeCell ref="AA165:AG165"/>
    <mergeCell ref="AK166:AL166"/>
    <mergeCell ref="B168:S168"/>
    <mergeCell ref="T168:AJ168"/>
    <mergeCell ref="B166:K166"/>
    <mergeCell ref="L166:O166"/>
    <mergeCell ref="A167:AL167"/>
    <mergeCell ref="B52:AL52"/>
  </mergeCells>
  <conditionalFormatting sqref="A4 H4 A71:A72 A74:A77 A79 A82 A84 A86 A88 A90 A92 AJ132:AJ135">
    <cfRule type="expression" dxfId="189" priority="367">
      <formula>IF(A4="",1,0)</formula>
    </cfRule>
  </conditionalFormatting>
  <conditionalFormatting sqref="A95">
    <cfRule type="expression" dxfId="188" priority="339">
      <formula>IF(A95="",1,0)</formula>
    </cfRule>
  </conditionalFormatting>
  <conditionalFormatting sqref="A97 A99 A101 A105">
    <cfRule type="expression" dxfId="187" priority="65">
      <formula>IF(A97="",1,0)</formula>
    </cfRule>
  </conditionalFormatting>
  <conditionalFormatting sqref="A103">
    <cfRule type="expression" dxfId="186" priority="64">
      <formula>IF(A103="",1,0)</formula>
    </cfRule>
  </conditionalFormatting>
  <conditionalFormatting sqref="A108">
    <cfRule type="expression" dxfId="185" priority="327">
      <formula>IF(A108="",1,0)</formula>
    </cfRule>
  </conditionalFormatting>
  <conditionalFormatting sqref="A110">
    <cfRule type="expression" dxfId="184" priority="61">
      <formula>IF(A110="",1,0)</formula>
    </cfRule>
  </conditionalFormatting>
  <conditionalFormatting sqref="A112 A114 A116 A118">
    <cfRule type="expression" dxfId="183" priority="63">
      <formula>IF(A112="",1,0)</formula>
    </cfRule>
  </conditionalFormatting>
  <conditionalFormatting sqref="A120">
    <cfRule type="expression" dxfId="182" priority="316">
      <formula>IF(A120="",1,0)</formula>
    </cfRule>
  </conditionalFormatting>
  <conditionalFormatting sqref="A123">
    <cfRule type="expression" dxfId="181" priority="193">
      <formula>IF(A123="",1,0)</formula>
    </cfRule>
  </conditionalFormatting>
  <conditionalFormatting sqref="A125:A129">
    <cfRule type="expression" dxfId="180" priority="2">
      <formula>IF(A125="",1,0)</formula>
    </cfRule>
  </conditionalFormatting>
  <conditionalFormatting sqref="A131:A132">
    <cfRule type="expression" dxfId="179" priority="5">
      <formula>IF(A131="",1,0)</formula>
    </cfRule>
  </conditionalFormatting>
  <conditionalFormatting sqref="A134">
    <cfRule type="expression" dxfId="178" priority="25">
      <formula>IF(A134="",1,0)</formula>
    </cfRule>
  </conditionalFormatting>
  <conditionalFormatting sqref="A137:A140">
    <cfRule type="expression" dxfId="177" priority="17">
      <formula>IF(A137="",1,0)</formula>
    </cfRule>
  </conditionalFormatting>
  <conditionalFormatting sqref="A171:A179">
    <cfRule type="expression" dxfId="176" priority="7">
      <formula>IF(A171="",1,0)</formula>
    </cfRule>
  </conditionalFormatting>
  <conditionalFormatting sqref="A181:A187">
    <cfRule type="expression" dxfId="175" priority="3">
      <formula>IF(A181="",1,0)</formula>
    </cfRule>
  </conditionalFormatting>
  <conditionalFormatting sqref="A189:A191">
    <cfRule type="expression" dxfId="174" priority="1">
      <formula>IF(A189="",1,0)</formula>
    </cfRule>
  </conditionalFormatting>
  <conditionalFormatting sqref="A194:A195">
    <cfRule type="expression" dxfId="173" priority="290">
      <formula>IF(A194="",1,0)</formula>
    </cfRule>
  </conditionalFormatting>
  <conditionalFormatting sqref="B19">
    <cfRule type="expression" dxfId="167" priority="263">
      <formula>IF(B19="",1,0)</formula>
    </cfRule>
  </conditionalFormatting>
  <conditionalFormatting sqref="B21">
    <cfRule type="expression" dxfId="166" priority="38">
      <formula>IF(B21="",1,0)</formula>
    </cfRule>
  </conditionalFormatting>
  <conditionalFormatting sqref="B23">
    <cfRule type="expression" dxfId="165" priority="15">
      <formula>IF(B23="",1,0)</formula>
    </cfRule>
  </conditionalFormatting>
  <conditionalFormatting sqref="B30">
    <cfRule type="expression" dxfId="164" priority="99">
      <formula>IF(B30="",1,0)</formula>
    </cfRule>
  </conditionalFormatting>
  <conditionalFormatting sqref="B32">
    <cfRule type="expression" dxfId="163" priority="97">
      <formula>IF(B32="",1,0)</formula>
    </cfRule>
  </conditionalFormatting>
  <conditionalFormatting sqref="B34">
    <cfRule type="expression" dxfId="162" priority="98">
      <formula>IF(B34="",1,0)</formula>
    </cfRule>
  </conditionalFormatting>
  <conditionalFormatting sqref="B36">
    <cfRule type="expression" dxfId="161" priority="96">
      <formula>IF(B36="",1,0)</formula>
    </cfRule>
  </conditionalFormatting>
  <conditionalFormatting sqref="B38">
    <cfRule type="expression" dxfId="160" priority="16">
      <formula>IF(B38="",1,0)</formula>
    </cfRule>
  </conditionalFormatting>
  <conditionalFormatting sqref="B41:B43">
    <cfRule type="expression" dxfId="159" priority="88">
      <formula>IF(B41="",1,0)</formula>
    </cfRule>
  </conditionalFormatting>
  <conditionalFormatting sqref="B45">
    <cfRule type="expression" dxfId="158" priority="87">
      <formula>IF(B45="",1,0)</formula>
    </cfRule>
  </conditionalFormatting>
  <conditionalFormatting sqref="B53:B69">
    <cfRule type="expression" dxfId="157" priority="11">
      <formula>IF(B53="",1,0)</formula>
    </cfRule>
  </conditionalFormatting>
  <conditionalFormatting sqref="B144:B165">
    <cfRule type="expression" dxfId="156" priority="108">
      <formula>IF(B144="",1,0)</formula>
    </cfRule>
  </conditionalFormatting>
  <conditionalFormatting sqref="B17:AL17">
    <cfRule type="expression" dxfId="155" priority="221">
      <formula>IF(B17="",1,0)</formula>
    </cfRule>
  </conditionalFormatting>
  <conditionalFormatting sqref="G144:G165">
    <cfRule type="expression" dxfId="154" priority="120">
      <formula>IF(G144="",1,0)</formula>
    </cfRule>
  </conditionalFormatting>
  <conditionalFormatting sqref="L144:L165">
    <cfRule type="expression" dxfId="153" priority="119">
      <formula>IF(L144="",1,0)</formula>
    </cfRule>
  </conditionalFormatting>
  <conditionalFormatting sqref="M110">
    <cfRule type="expression" dxfId="152" priority="60">
      <formula>IF(M110="",1,0)</formula>
    </cfRule>
  </conditionalFormatting>
  <conditionalFormatting sqref="M116">
    <cfRule type="expression" dxfId="151" priority="62">
      <formula>IF(M116="",1,0)</formula>
    </cfRule>
  </conditionalFormatting>
  <conditionalFormatting sqref="N7">
    <cfRule type="expression" dxfId="150" priority="41">
      <formula>IF(N7="",1,0)</formula>
    </cfRule>
  </conditionalFormatting>
  <conditionalFormatting sqref="P144:P165">
    <cfRule type="expression" dxfId="149" priority="117">
      <formula>IF(P144="",1,0)</formula>
    </cfRule>
  </conditionalFormatting>
  <conditionalFormatting sqref="Q8:AL8">
    <cfRule type="expression" dxfId="148" priority="39">
      <formula>IF(Q8="",1,0)</formula>
    </cfRule>
  </conditionalFormatting>
  <conditionalFormatting sqref="S54:S58">
    <cfRule type="expression" dxfId="147" priority="81">
      <formula>IF(S54="",1,0)</formula>
    </cfRule>
  </conditionalFormatting>
  <conditionalFormatting sqref="S60:S64">
    <cfRule type="expression" dxfId="146" priority="74">
      <formula>IF(S60="",1,0)</formula>
    </cfRule>
  </conditionalFormatting>
  <conditionalFormatting sqref="T168:T169">
    <cfRule type="expression" dxfId="145" priority="189">
      <formula>IF(T168="",1,0)</formula>
    </cfRule>
  </conditionalFormatting>
  <conditionalFormatting sqref="W25 B25:B27">
    <cfRule type="expression" dxfId="144" priority="100">
      <formula>IF(B25="",1,0)</formula>
    </cfRule>
  </conditionalFormatting>
  <conditionalFormatting sqref="Z48">
    <cfRule type="expression" dxfId="143" priority="217">
      <formula>IF(Z48="",1,0)</formula>
    </cfRule>
  </conditionalFormatting>
  <conditionalFormatting sqref="Z50">
    <cfRule type="expression" dxfId="142" priority="216">
      <formula>IF(Z50="",1,0)</formula>
    </cfRule>
  </conditionalFormatting>
  <conditionalFormatting sqref="Z51">
    <cfRule type="expression" dxfId="141" priority="7394">
      <formula>IF($Z$51&lt;&gt;$AK$166,1,0)</formula>
    </cfRule>
  </conditionalFormatting>
  <conditionalFormatting sqref="AA127:AA128 AA131">
    <cfRule type="expression" dxfId="140" priority="24">
      <formula>IF(AA127="",1,0)</formula>
    </cfRule>
  </conditionalFormatting>
  <conditionalFormatting sqref="AB7">
    <cfRule type="expression" dxfId="139" priority="40">
      <formula>IF(AB7="",1,0)</formula>
    </cfRule>
  </conditionalFormatting>
  <conditionalFormatting sqref="AB66:AB69">
    <cfRule type="expression" dxfId="138" priority="67">
      <formula>IF(AB66="",1,0)</formula>
    </cfRule>
  </conditionalFormatting>
  <conditionalFormatting sqref="AH144:AH165">
    <cfRule type="expression" dxfId="137" priority="125">
      <formula>IF(AH144="",1,0)</formula>
    </cfRule>
  </conditionalFormatting>
  <conditionalFormatting sqref="AJ129:AJ130">
    <cfRule type="expression" dxfId="136" priority="22">
      <formula>IF(AJ129="",1,0)</formula>
    </cfRule>
  </conditionalFormatting>
  <conditionalFormatting sqref="AJ137:AJ138">
    <cfRule type="expression" dxfId="135" priority="27">
      <formula>IF(AJ137="",1,0)</formula>
    </cfRule>
  </conditionalFormatting>
  <dataValidations count="50">
    <dataValidation allowBlank="1" showInputMessage="1" sqref="AM174 AN173:XFD193 A175" xr:uid="{00000000-0002-0000-0E00-000000000000}"/>
    <dataValidation type="whole" allowBlank="1" showInputMessage="1" showErrorMessage="1" promptTitle="Wprowadź" prompt="wielkość" sqref="A92:AL92" xr:uid="{00000000-0002-0000-0E00-000001000000}">
      <formula1>0</formula1>
      <formula2>1E+127</formula2>
    </dataValidation>
    <dataValidation type="decimal" allowBlank="1" showInputMessage="1" showErrorMessage="1" promptTitle="Wprowadź" prompt="wielkość" sqref="A90:AL90" xr:uid="{00000000-0002-0000-0E00-000002000000}">
      <formula1>0</formula1>
      <formula2>1E+81</formula2>
    </dataValidation>
    <dataValidation type="whole" allowBlank="1" showInputMessage="1" showErrorMessage="1" promptTitle="Wprowadź " prompt="wielkość" sqref="A88:AL88" xr:uid="{00000000-0002-0000-0E00-000003000000}">
      <formula1>0</formula1>
      <formula2>1E+98</formula2>
    </dataValidation>
    <dataValidation type="decimal" allowBlank="1" showInputMessage="1" showErrorMessage="1" promptTitle="Wprowadź" prompt="wielkość" sqref="A86:AL86" xr:uid="{00000000-0002-0000-0E00-000004000000}">
      <formula1>0</formula1>
      <formula2>1E+95</formula2>
    </dataValidation>
    <dataValidation type="decimal" allowBlank="1" showInputMessage="1" showErrorMessage="1" promptTitle="Wprowadź" prompt="wielkość" sqref="A84:AL84" xr:uid="{00000000-0002-0000-0E00-000005000000}">
      <formula1>0</formula1>
      <formula2>1E+78</formula2>
    </dataValidation>
    <dataValidation type="decimal" allowBlank="1" showErrorMessage="1" promptTitle="Wprowadź" prompt="kwotę" sqref="B41:AL41" xr:uid="{00000000-0002-0000-0E00-000006000000}">
      <formula1>0</formula1>
      <formula2>1E+83</formula2>
    </dataValidation>
    <dataValidation allowBlank="1" showInputMessage="1" showErrorMessage="1" promptTitle="Wprowadź" prompt="właściwe" sqref="A120:AL120" xr:uid="{00000000-0002-0000-0E00-000007000000}"/>
    <dataValidation allowBlank="1" showInputMessage="1" showErrorMessage="1" promptTitle="Wybierz" prompt="właściwy rodzaj" sqref="A80:AL80 A93:AL93 A106:AL106" xr:uid="{00000000-0002-0000-0E00-000008000000}"/>
    <dataValidation allowBlank="1" showInputMessage="1" showErrorMessage="1" promptTitle="Wprowadź" prompt="adres beneficjenta" sqref="B21" xr:uid="{00000000-0002-0000-0E00-000009000000}"/>
    <dataValidation allowBlank="1" showInputMessage="1" showErrorMessage="1" promptTitle="Wprowadź" prompt="dane" sqref="B32:AL32 B30:AL30 AJ132:AL135 AJ129:AL130 AJ137:AL138" xr:uid="{00000000-0002-0000-0E00-00000A000000}"/>
    <dataValidation allowBlank="1" showInputMessage="1" showErrorMessage="1" promptTitle="Wprowadź " prompt="ilość" sqref="A75" xr:uid="{00000000-0002-0000-0E00-00000B000000}"/>
    <dataValidation allowBlank="1" showInputMessage="1" showErrorMessage="1" promptTitle="Wprowadź" prompt="opcjonalni ilość" sqref="A77" xr:uid="{00000000-0002-0000-0E00-00000C000000}"/>
    <dataValidation allowBlank="1" showInputMessage="1" showErrorMessage="1" promptTitle="Wprowadź" prompt="adres przedsięwzięcia" sqref="A82 A95 A108" xr:uid="{00000000-0002-0000-0E00-00000D000000}"/>
    <dataValidation type="textLength" operator="equal" allowBlank="1" showInputMessage="1" showErrorMessage="1" errorTitle="REGON" error="REGON to ciąg dziewięciu cyfr np. 571961124" promptTitle="Wprowadź" prompt="nr REGON" sqref="W25:AL25" xr:uid="{00000000-0002-0000-0E00-00000E000000}">
      <formula1>9</formula1>
    </dataValidation>
    <dataValidation allowBlank="1" showInputMessage="1" showErrorMessage="1" promptTitle="Wybierz" sqref="A74:AL74" xr:uid="{00000000-0002-0000-0E00-000010000000}"/>
    <dataValidation type="textLength" operator="equal" allowBlank="1" showInputMessage="1" showErrorMessage="1" errorTitle="NIP" error="NIP to ciąg dziesięciu cyfr np. 5719611245" promptTitle="Wprowadź" prompt="NIP" sqref="B25:V25" xr:uid="{00000000-0002-0000-0E00-000011000000}">
      <formula1>10</formula1>
    </dataValidation>
    <dataValidation type="decimal" allowBlank="1" showInputMessage="1" showErrorMessage="1" promptTitle="Wprowadź" prompt="powierzchnię noclegowni" sqref="A103" xr:uid="{00000000-0002-0000-0E00-000012000000}">
      <formula1>0</formula1>
      <formula2>1E+155</formula2>
    </dataValidation>
    <dataValidation type="whole" allowBlank="1" showInputMessage="1" showErrorMessage="1" promptTitle="Wprowadź " prompt="wielkość" sqref="A101:AL101" xr:uid="{00000000-0002-0000-0E00-000013000000}">
      <formula1>0</formula1>
      <formula2>1E+143</formula2>
    </dataValidation>
    <dataValidation type="decimal" allowBlank="1" showInputMessage="1" showErrorMessage="1" promptTitle="Wprowadź" prompt="wielkość" sqref="A99:AL99" xr:uid="{00000000-0002-0000-0E00-000014000000}">
      <formula1>0</formula1>
      <formula2>1E+72</formula2>
    </dataValidation>
    <dataValidation type="decimal" allowBlank="1" showInputMessage="1" showErrorMessage="1" promptTitle="Wprowadź" prompt="powierzchnię noclegowni" sqref="A97" xr:uid="{00000000-0002-0000-0E00-000015000000}">
      <formula1>0</formula1>
      <formula2>1E+119</formula2>
    </dataValidation>
    <dataValidation type="whole" allowBlank="1" showInputMessage="1" showErrorMessage="1" promptTitle="Wprowadź " prompt="wielkość" sqref="A114:AL114" xr:uid="{00000000-0002-0000-0E00-000016000000}">
      <formula1>0</formula1>
      <formula2>1.1E+36</formula2>
    </dataValidation>
    <dataValidation type="decimal" allowBlank="1" showInputMessage="1" showErrorMessage="1" promptTitle="Wprowadź" prompt="wielkość powierzchni mieszkalnej" sqref="M116" xr:uid="{00000000-0002-0000-0E00-000017000000}">
      <formula1>0</formula1>
      <formula2>1E+73</formula2>
    </dataValidation>
    <dataValidation type="decimal" allowBlank="1" showInputMessage="1" showErrorMessage="1" promptTitle="Wprowadź" prompt="wielkość schroniska" sqref="A116:L116" xr:uid="{00000000-0002-0000-0E00-000018000000}">
      <formula1>0</formula1>
      <formula2>1E+66</formula2>
    </dataValidation>
    <dataValidation allowBlank="1" showInputMessage="1" showErrorMessage="1" promptTitle="Wprowadź" prompt="wielkość" sqref="A112" xr:uid="{00000000-0002-0000-0E00-000019000000}"/>
    <dataValidation type="decimal" allowBlank="1" showInputMessage="1" showErrorMessage="1" sqref="AH144:AJ165" xr:uid="{00000000-0002-0000-0E00-00001A000000}">
      <formula1>0</formula1>
      <formula2>1</formula2>
    </dataValidation>
    <dataValidation allowBlank="1" showInputMessage="1" showErrorMessage="1" promptTitle="Wprowadź" prompt="nr księgi wieczystej - nr działki ewidencyjnej" sqref="A181:AL181" xr:uid="{00000000-0002-0000-0E00-00001B000000}"/>
    <dataValidation allowBlank="1" showInputMessage="1" showErrorMessage="1" promptTitle="Wybierz" prompt="właściwe" sqref="A177:AL177" xr:uid="{00000000-0002-0000-0E00-00001C000000}"/>
    <dataValidation allowBlank="1" showInputMessage="1" showErrorMessage="1" promptTitle="Wprowadź" prompt="adres ePUAP beneficjenta" sqref="B22" xr:uid="{6388BAA2-E9E6-4BC4-9A01-543ADDA4B619}"/>
    <dataValidation type="textLength" operator="equal" allowBlank="1" showInputMessage="1" errorTitle="KRS" promptTitle="Wprowadź" prompt="numer KRS" sqref="B27:AL27" xr:uid="{00000000-0002-0000-0E00-00001F000000}">
      <formula1>10</formula1>
    </dataValidation>
    <dataValidation type="textLength" operator="greaterThan" allowBlank="1" showInputMessage="1" showErrorMessage="1" promptTitle="Wprowadź" prompt="nazwę beneficjenta" sqref="B19:AL19" xr:uid="{00000000-0002-0000-0E00-000020000000}">
      <formula1>3</formula1>
    </dataValidation>
    <dataValidation type="decimal" allowBlank="1" showInputMessage="1" showErrorMessage="1" promptTitle="Wprowadź" prompt="kwotę" sqref="Z49" xr:uid="{00000000-0002-0000-0E00-000021000000}">
      <formula1>0</formula1>
      <formula2>100000000000000000</formula2>
    </dataValidation>
    <dataValidation type="decimal" allowBlank="1" showInputMessage="1" showErrorMessage="1" promptTitle="Wprowadź" prompt="kwotę" sqref="Z50" xr:uid="{00000000-0002-0000-0E00-000022000000}">
      <formula1>0</formula1>
      <formula2>10000000000000000000</formula2>
    </dataValidation>
    <dataValidation allowBlank="1" showInputMessage="1" showErrorMessage="1" promptTitle="Wprowadź" prompt="wartość_x000a_" sqref="S64 T54:AL57 S54:S58 S60:AL63 AB68" xr:uid="{00000000-0002-0000-0E00-000023000000}"/>
    <dataValidation allowBlank="1" promptTitle="Wprowadź" prompt="numer rachunku bankowego" sqref="C60:R63 C54:R57 B54:B69" xr:uid="{00000000-0002-0000-0E00-000024000000}"/>
    <dataValidation allowBlank="1" promptTitle="Wprowadź" sqref="B53:AL53" xr:uid="{32C0B5F7-0184-4D82-AF71-81FF6A12CE80}"/>
    <dataValidation allowBlank="1" showErrorMessage="1" promptTitle="Wybierz" prompt="właściwe" sqref="A179:AL179" xr:uid="{C6A9BF7F-01E0-4F7A-944A-A66537BE1AF6}"/>
    <dataValidation allowBlank="1" showErrorMessage="1" promptTitle="Wprowadź" prompt="nr księgi wieczystej - nr działki ewidencyjnej" sqref="A182:AL182 A189:AL189 A190:A191" xr:uid="{00000000-0002-0000-0E00-000027000000}"/>
    <dataValidation allowBlank="1" showErrorMessage="1" promptTitle="Wybierz" prompt="właściwe oświadczenie" sqref="A171:AL171 A173:AL173" xr:uid="{00000000-0002-0000-0E00-000028000000}"/>
    <dataValidation type="decimal" allowBlank="1" showInputMessage="1" promptTitle="Wybierz" prompt="właściwą wysokość wsparcia lub wpiszmniejszą wartość" sqref="T168:AJ168" xr:uid="{00000000-0002-0000-0E00-000029000000}">
      <formula1>0</formula1>
      <formula2>0.8</formula2>
    </dataValidation>
    <dataValidation allowBlank="1" showInputMessage="1" showErrorMessage="1" promptTitle="Wprowadź" prompt="Adres do doręczeń elektronicznych" sqref="B23:AL23" xr:uid="{1597BC09-24FC-4DAE-9492-AF7DAD3C6F2F}"/>
    <dataValidation operator="greaterThanOrEqual" allowBlank="1" showInputMessage="1" showErrorMessage="1" promptTitle="Wprowadź" prompt="datę w formacie rrrr-mm-dd_x000a_" sqref="B45:AL45" xr:uid="{00000000-0002-0000-0E00-00002F000000}"/>
    <dataValidation type="whole" allowBlank="1" showInputMessage="1" showErrorMessage="1" promptTitle="Wprowadź" prompt="ilość miejsc " sqref="A105:AL105" xr:uid="{00000000-0002-0000-0E00-000030000000}">
      <formula1>0</formula1>
      <formula2>1E+83</formula2>
    </dataValidation>
    <dataValidation type="whole" allowBlank="1" showInputMessage="1" showErrorMessage="1" promptTitle="Wprowadź" prompt="ilość miejsc w pomieszczeniach mieszkalnych" sqref="A118:AL118" xr:uid="{00000000-0002-0000-0E00-000031000000}">
      <formula1>0</formula1>
      <formula2>1E+56</formula2>
    </dataValidation>
    <dataValidation allowBlank="1" showInputMessage="1" showErrorMessage="1" promptTitle="Wprowadź" prompt="wielkość powierzchni mieszkalnej" sqref="M110" xr:uid="{00000000-0002-0000-0E00-000032000000}"/>
    <dataValidation allowBlank="1" showInputMessage="1" showErrorMessage="1" promptTitle="Wprowadź" prompt="wielkość schroniska" sqref="A110:L110" xr:uid="{00000000-0002-0000-0E00-000033000000}"/>
    <dataValidation type="textLength" operator="equal" allowBlank="1" showInputMessage="1" promptTitle="Wprowadź" prompt="numer rachunku bankowego" sqref="T38:AL38" xr:uid="{2F83BE1B-16B0-4ED4-A2C3-7467902DE58B}">
      <formula1>26</formula1>
    </dataValidation>
    <dataValidation type="whole" errorStyle="warning" allowBlank="1" showInputMessage="1" showErrorMessage="1" errorTitle="Uwaga" error="Prawidłowa wartość to liczba całkowita, zweryfikuj wprowadzane modyfikacje." promptTitle="Wprowadź" prompt="wartość" sqref="AA128:AL128" xr:uid="{E3A9155D-A7D6-42C8-A640-6C51DD399D61}">
      <formula1>1</formula1>
      <formula2>1.11111111111111E+21</formula2>
    </dataValidation>
    <dataValidation errorStyle="information" allowBlank="1" showInputMessage="1" showErrorMessage="1" promptTitle="Wprowadź" prompt="wartość" sqref="AA127:AL127" xr:uid="{41B4231C-1F3C-4A80-8F69-2A01DAFDC84E}"/>
    <dataValidation type="textLength" operator="equal" showInputMessage="1" promptTitle="Wprowadź" prompt="numer rachunku bankowego tj. 26 cyfr" sqref="B38:S38" xr:uid="{B8C74421-52BD-4A4B-855B-335C300745E6}">
      <formula1>26</formula1>
    </dataValidation>
  </dataValidations>
  <hyperlinks>
    <hyperlink ref="AM41" location="Budowa_Ogrzewalni_mieszane!B127" display="Kliknij &quot;tutaj&quot; i przejdź do wypełnienia zestawienia kosztów" xr:uid="{00000000-0004-0000-0E00-000000000000}"/>
    <hyperlink ref="B41:AL41" location="Budowa_Ogrzewalni_mieszane!B127" display="Budowa_Ogrzewalni_mieszane!B127" xr:uid="{00000000-0004-0000-0E00-000001000000}"/>
    <hyperlink ref="AM169" location="Budowa_Ogrzewalni_mieszane!B42" display="Wróć do wypełniania wniosku" xr:uid="{00000000-0004-0000-0E00-000002000000}"/>
    <hyperlink ref="AM20" r:id="rId1" display="Weryfikocji można dokonać na stronie internetowej -&gt; https://eteryt.stat.gov.pl/eTeryt/rejestr_teryt/udostepnianie_danych/baza_teryt/uzytkownicy_indywidualni/wyszukiwanie/wyszukiwanie.aspx?contrast=default" xr:uid="{00000000-0004-0000-0E00-000003000000}"/>
    <hyperlink ref="AM22" r:id="rId2" xr:uid="{00000000-0004-0000-0E00-000004000000}"/>
    <hyperlink ref="AM18" r:id="rId3" xr:uid="{00000000-0004-0000-0E00-000005000000}"/>
    <hyperlink ref="AM24" r:id="rId4" xr:uid="{00000000-0004-0000-0E00-000006000000}"/>
    <hyperlink ref="AM26" r:id="rId5" xr:uid="{00000000-0004-0000-0E00-000007000000}"/>
    <hyperlink ref="AM200" r:id="rId6" xr:uid="{C58DC19F-5620-46AF-BD40-D031C85454E1}"/>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372" id="{A463F74C-FA2B-47B7-BACE-00D272740037}">
            <xm:f>IF($A$76=Słowniki!#REF!,1,0)</xm:f>
            <x14:dxf>
              <fill>
                <patternFill>
                  <bgColor theme="0"/>
                </patternFill>
              </fill>
            </x14:dxf>
          </x14:cfRule>
          <xm:sqref>A77:AL77</xm:sqref>
        </x14:conditionalFormatting>
        <x14:conditionalFormatting xmlns:xm="http://schemas.microsoft.com/office/excel/2006/main">
          <x14:cfRule type="expression" priority="192" id="{59B18A8A-4FFB-4C12-954D-432971C6E4A2}">
            <xm:f>IF($A$101=Słowniki!$P$2,1,0)</xm:f>
            <x14:dxf>
              <font>
                <b/>
                <i val="0"/>
                <strike/>
                <color theme="1"/>
              </font>
            </x14:dxf>
          </x14:cfRule>
          <xm:sqref>A122:AL122</xm:sqref>
        </x14:conditionalFormatting>
        <x14:conditionalFormatting xmlns:xm="http://schemas.microsoft.com/office/excel/2006/main">
          <x14:cfRule type="expression" priority="10" id="{05E648EC-79DC-4D3D-A41D-D7EEF8CE8674}">
            <xm:f>IF($A$107=Słowniki!$P$2,1,0)</xm:f>
            <x14:dxf>
              <font>
                <strike/>
              </font>
            </x14:dxf>
          </x14:cfRule>
          <xm:sqref>A124:AL124</xm:sqref>
        </x14:conditionalFormatting>
        <x14:conditionalFormatting xmlns:xm="http://schemas.microsoft.com/office/excel/2006/main">
          <x14:cfRule type="expression" priority="35" id="{C533F7CE-7926-464A-B5FB-44F347C1314B}">
            <xm:f>IF('Wniosek art 5 budowa'!$A$151=Słowniki!$P$2,1,0)</xm:f>
            <x14:dxf>
              <font>
                <strike/>
              </font>
            </x14:dxf>
          </x14:cfRule>
          <xm:sqref>A136:AL136</xm:sqref>
        </x14:conditionalFormatting>
        <x14:conditionalFormatting xmlns:xm="http://schemas.microsoft.com/office/excel/2006/main">
          <x14:cfRule type="expression" priority="198" id="{7F64418F-08A1-4E57-B2DE-510FFD79BB21}">
            <xm:f>IF(#REF!=Słowniki!$Q$2,1,0)</xm:f>
            <x14:dxf>
              <font>
                <strike/>
              </font>
            </x14:dxf>
          </x14:cfRule>
          <xm:sqref>A177:AL177</xm:sqref>
        </x14:conditionalFormatting>
        <x14:conditionalFormatting xmlns:xm="http://schemas.microsoft.com/office/excel/2006/main">
          <x14:cfRule type="expression" priority="4342" id="{435F28D5-6DEB-42F1-99EC-2C62D842C8C6}">
            <xm:f>IF(AB66=Słowniki!C1048575,Słowniki!C1,0)</xm:f>
            <x14:dxf/>
          </x14:cfRule>
          <xm:sqref>AB68:AL68</xm:sqref>
        </x14:conditionalFormatting>
      </x14:conditionalFormattings>
    </ext>
    <ext xmlns:x14="http://schemas.microsoft.com/office/spreadsheetml/2009/9/main" uri="{CCE6A557-97BC-4b89-ADB6-D9C93CAAB3DF}">
      <x14:dataValidations xmlns:xm="http://schemas.microsoft.com/office/excel/2006/main" count="24">
        <x14:dataValidation type="list" allowBlank="1" showInputMessage="1" showErrorMessage="1" promptTitle="Wybierz" prompt="właściwe" xr:uid="{00000000-0002-0000-0E00-000035000000}">
          <x14:formula1>
            <xm:f>Słowniki!$P$1:$P$2</xm:f>
          </x14:formula1>
          <xm:sqref>AN123:XFD123</xm:sqref>
        </x14:dataValidation>
        <x14:dataValidation type="list" allowBlank="1" showInputMessage="1" showErrorMessage="1" promptTitle="Wybierz" prompt="właściwy rodzaj" xr:uid="{00000000-0002-0000-0E00-000036000000}">
          <x14:formula1>
            <xm:f>Słowniki!$J$6:$J$7</xm:f>
          </x14:formula1>
          <xm:sqref>A79:AL79</xm:sqref>
        </x14:dataValidation>
        <x14:dataValidation type="list" allowBlank="1" showInputMessage="1" promptTitle="Wybierz" prompt="właściwe" xr:uid="{00000000-0002-0000-0E00-000037000000}">
          <x14:formula1>
            <xm:f>Słowniki!$O$2:$O$5</xm:f>
          </x14:formula1>
          <xm:sqref>A194</xm:sqref>
        </x14:dataValidation>
        <x14:dataValidation type="list" allowBlank="1" showInputMessage="1" promptTitle="Wybierz" prompt="i modyfikuj" xr:uid="{00000000-0002-0000-0E00-000038000000}">
          <x14:formula1>
            <xm:f>Słowniki!$C$7:$C$10</xm:f>
          </x14:formula1>
          <xm:sqref>A72:AL72</xm:sqref>
        </x14:dataValidation>
        <x14:dataValidation type="list" allowBlank="1" showInputMessage="1" promptTitle="Wprowadź" prompt="dane lub wybierz nie dotyczy" xr:uid="{00000000-0002-0000-0E00-00003B000000}">
          <x14:formula1>
            <xm:f>Słowniki!$F$26</xm:f>
          </x14:formula1>
          <xm:sqref>B34:AL34 B36:AL36</xm:sqref>
        </x14:dataValidation>
        <x14:dataValidation type="list" allowBlank="1" showInputMessage="1" showErrorMessage="1" promptTitle="Wybierz" prompt="beneficjenta" xr:uid="{00000000-0002-0000-0E00-00003C000000}">
          <x14:formula1>
            <xm:f>'Słownik N_S_O'!$F$2:$F$6</xm:f>
          </x14:formula1>
          <xm:sqref>B17:AL17</xm:sqref>
        </x14:dataValidation>
        <x14:dataValidation type="list" allowBlank="1" showInputMessage="1" showErrorMessage="1" promptTitle="Wybierz" prompt="właściwe" xr:uid="{00000000-0002-0000-0E00-00003D000000}">
          <x14:formula1>
            <xm:f>Słowniki!$C$3:$C$4</xm:f>
          </x14:formula1>
          <xm:sqref>AB66:AL67 AB7:AE7 N7:P7</xm:sqref>
        </x14:dataValidation>
        <x14:dataValidation type="list" allowBlank="1" showInputMessage="1" showErrorMessage="1" promptTitle="Wybierz" prompt="właściwe" xr:uid="{00000000-0002-0000-0E00-00003E000000}">
          <x14:formula1>
            <xm:f>'Słownik N_S_O'!$Q$2:$Q$5</xm:f>
          </x14:formula1>
          <xm:sqref>A183:AL183</xm:sqref>
        </x14:dataValidation>
        <x14:dataValidation type="list" allowBlank="1" showInputMessage="1" showErrorMessage="1" promptTitle="Wybierz" prompt="właściwe" xr:uid="{00000000-0002-0000-0E00-00003F000000}">
          <x14:formula1>
            <xm:f>Słowniki!$Z$3:$Z$4</xm:f>
          </x14:formula1>
          <xm:sqref>A178:AL178</xm:sqref>
        </x14:dataValidation>
        <x14:dataValidation type="list" allowBlank="1" showInputMessage="1" showErrorMessage="1" promptTitle="Wybierz" prompt="właściwe" xr:uid="{00000000-0002-0000-0E00-000040000000}">
          <x14:formula1>
            <xm:f>'Słownik N_S_O'!$O$1:$O$2</xm:f>
          </x14:formula1>
          <xm:sqref>A176:AL176</xm:sqref>
        </x14:dataValidation>
        <x14:dataValidation type="list" allowBlank="1" showInputMessage="1" showErrorMessage="1" promptTitle="Wybierz" prompt="właściwe" xr:uid="{00000000-0002-0000-0E00-000041000000}">
          <x14:formula1>
            <xm:f>Słowniki!$W$1:$W$2</xm:f>
          </x14:formula1>
          <xm:sqref>A172:AL172</xm:sqref>
        </x14:dataValidation>
        <x14:dataValidation type="list" allowBlank="1" showInputMessage="1" showErrorMessage="1" promptTitle="Wybierz" prompt="właściwe" xr:uid="{00000000-0002-0000-0E00-000042000000}">
          <x14:formula1>
            <xm:f>Słowniki!$W$3:$W$4</xm:f>
          </x14:formula1>
          <xm:sqref>A174:AL174</xm:sqref>
        </x14:dataValidation>
        <x14:dataValidation type="list" allowBlank="1" showInputMessage="1" showErrorMessage="1" promptTitle="Wybierz" prompt="właściwe" xr:uid="{00000000-0002-0000-0E00-000043000000}">
          <x14:formula1>
            <xm:f>Słowniki!$E$169:$E$170</xm:f>
          </x14:formula1>
          <xm:sqref>T169:AJ169</xm:sqref>
        </x14:dataValidation>
        <x14:dataValidation type="list" allowBlank="1" showInputMessage="1" showErrorMessage="1" promptTitle="Wybierz" prompt="właściwe" xr:uid="{00000000-0002-0000-0E00-000044000000}">
          <x14:formula1>
            <xm:f>Słowniki!$U$5:$U$6</xm:f>
          </x14:formula1>
          <xm:sqref>A125:AL125</xm:sqref>
        </x14:dataValidation>
        <x14:dataValidation type="list" allowBlank="1" showInputMessage="1" showErrorMessage="1" promptTitle="Wybierz" prompt="właściwe" xr:uid="{00000000-0002-0000-0E00-000045000000}">
          <x14:formula1>
            <xm:f>Słowniki!$U$1:$U$2</xm:f>
          </x14:formula1>
          <xm:sqref>A123:AL123</xm:sqref>
        </x14:dataValidation>
        <x14:dataValidation type="list" errorStyle="information" allowBlank="1" showInputMessage="1" showErrorMessage="1" xr:uid="{00000000-0002-0000-0E00-000046000000}">
          <x14:formula1>
            <xm:f>Słowniki!$A$34:$A$39</xm:f>
          </x14:formula1>
          <xm:sqref>G144:K165</xm:sqref>
        </x14:dataValidation>
        <x14:dataValidation type="list" allowBlank="1" showInputMessage="1" showErrorMessage="1" promptTitle="Wybierz" prompt="właściwe" xr:uid="{00000000-0002-0000-0E00-000049000000}">
          <x14:formula1>
            <xm:f>Słowniki!$AO$1:$AO$2</xm:f>
          </x14:formula1>
          <xm:sqref>B42:AL42</xm:sqref>
        </x14:dataValidation>
        <x14:dataValidation type="list" allowBlank="1" showInputMessage="1" promptTitle="Wybierz" prompt="i modyfikuj" xr:uid="{00000000-0002-0000-0E00-00004A000000}">
          <x14:formula1>
            <xm:f>Słowniki!$D$2:$D$5</xm:f>
          </x14:formula1>
          <xm:sqref>A71:AL71</xm:sqref>
        </x14:dataValidation>
        <x14:dataValidation type="list" allowBlank="1" showInputMessage="1" showErrorMessage="1" promptTitle="Wprowadź" prompt="opcjonalnie dla przedsięwźięć mieszanych" xr:uid="{00000000-0002-0000-0E00-00004B000000}">
          <x14:formula1>
            <xm:f>Słowniki!$F$12:$F$14</xm:f>
          </x14:formula1>
          <xm:sqref>A76:AL76</xm:sqref>
        </x14:dataValidation>
        <x14:dataValidation type="list" allowBlank="1" showInputMessage="1" showErrorMessage="1" promptTitle="Wybierz" prompt="właściwe" xr:uid="{00000000-0002-0000-0E00-00004C000000}">
          <x14:formula1>
            <xm:f>Słowniki!$W$12:$W$14</xm:f>
          </x14:formula1>
          <xm:sqref>A185:AL185</xm:sqref>
        </x14:dataValidation>
        <x14:dataValidation type="list" errorStyle="information" allowBlank="1" showInputMessage="1" showErrorMessage="1" promptTitle="Wprowadź" prompt="dane" xr:uid="{5C0E9B80-465A-4826-91BD-28281F77D267}">
          <x14:formula1>
            <xm:f>Słowniki!$A$41:$A$43</xm:f>
          </x14:formula1>
          <xm:sqref>AA131:AL131</xm:sqref>
        </x14:dataValidation>
        <x14:dataValidation type="list" errorStyle="information" allowBlank="1" showInputMessage="1" showErrorMessage="1" promptTitle="Wybierz" prompt="właściwe" xr:uid="{D4649425-EECC-4A25-BB18-A87716D022F3}">
          <x14:formula1>
            <xm:f>Słowniki!$A$46:$A$57</xm:f>
          </x14:formula1>
          <xm:sqref>B144:F165</xm:sqref>
        </x14:dataValidation>
        <x14:dataValidation type="list" allowBlank="1" showInputMessage="1" showErrorMessage="1" xr:uid="{008DB0E9-B312-4CE3-9B9C-29B41659F624}">
          <x14:formula1>
            <xm:f>Słowniki!$Y$9:$Y$10</xm:f>
          </x14:formula1>
          <xm:sqref>A187:AL187</xm:sqref>
        </x14:dataValidation>
        <x14:dataValidation type="date" operator="greaterThan" allowBlank="1" showInputMessage="1" showErrorMessage="1" promptTitle="Wprowadź" prompt="datę w formacie rrrr-mm-dd_x000a_" xr:uid="{00000000-0002-0000-0E00-00004D000000}">
          <x14:formula1>
            <xm:f>Słowniki!AQ1</xm:f>
          </x14:formula1>
          <xm:sqref>B43:AL43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E205"/>
  <sheetViews>
    <sheetView showGridLines="0" topLeftCell="A170" zoomScale="90" zoomScaleNormal="90" workbookViewId="0">
      <selection activeCell="AM182" sqref="AM182"/>
    </sheetView>
  </sheetViews>
  <sheetFormatPr defaultColWidth="9.33203125" defaultRowHeight="14.4" x14ac:dyDescent="0.3"/>
  <cols>
    <col min="1" max="1" width="3.33203125" style="88" customWidth="1"/>
    <col min="2" max="2" width="4" style="88" customWidth="1"/>
    <col min="3" max="3" width="2.33203125" style="88" customWidth="1"/>
    <col min="4" max="4" width="2.5546875" style="88" customWidth="1"/>
    <col min="5" max="5" width="2" style="88" customWidth="1"/>
    <col min="6" max="6" width="1.6640625" style="88" customWidth="1"/>
    <col min="7" max="7" width="1.44140625" style="88" customWidth="1"/>
    <col min="8" max="8" width="2.33203125" style="88" customWidth="1"/>
    <col min="9" max="9" width="2.44140625" style="88" customWidth="1"/>
    <col min="10" max="10" width="1.5546875" style="88" customWidth="1"/>
    <col min="11" max="11" width="1.6640625" style="88" customWidth="1"/>
    <col min="12" max="12" width="5.33203125" style="88" customWidth="1"/>
    <col min="13" max="13" width="0.6640625" style="88" customWidth="1"/>
    <col min="14" max="14" width="3.44140625" style="88" customWidth="1"/>
    <col min="15" max="15" width="2.5546875" style="88" customWidth="1"/>
    <col min="16" max="17" width="1.5546875" style="88" customWidth="1"/>
    <col min="18" max="18" width="1.33203125" style="88" customWidth="1"/>
    <col min="19" max="19" width="2.33203125" style="88" customWidth="1"/>
    <col min="20" max="20" width="1.33203125" style="88" customWidth="1"/>
    <col min="21" max="21" width="1" style="88" customWidth="1"/>
    <col min="22" max="22" width="0.6640625" style="88" customWidth="1"/>
    <col min="23" max="23" width="3" style="88" customWidth="1"/>
    <col min="24" max="24" width="1.33203125" style="88" customWidth="1"/>
    <col min="25" max="25" width="1.44140625" style="88" customWidth="1"/>
    <col min="26" max="27" width="1.33203125" style="88" customWidth="1"/>
    <col min="28" max="28" width="2" style="88" customWidth="1"/>
    <col min="29" max="29" width="1" style="88" customWidth="1"/>
    <col min="30" max="31" width="1.6640625" style="88" customWidth="1"/>
    <col min="32" max="32" width="1.33203125" style="88" customWidth="1"/>
    <col min="33" max="33" width="1.6640625" style="88" customWidth="1"/>
    <col min="34" max="34" width="2.33203125" style="88" customWidth="1"/>
    <col min="35" max="35" width="1.44140625" style="88" customWidth="1"/>
    <col min="36" max="36" width="4" style="88" customWidth="1"/>
    <col min="37" max="37" width="9.33203125" style="88" customWidth="1"/>
    <col min="38" max="38" width="5.6640625" style="88" customWidth="1"/>
    <col min="39" max="39" width="179.33203125" style="101" customWidth="1"/>
    <col min="40" max="16384" width="9.33203125" style="60"/>
  </cols>
  <sheetData>
    <row r="1" spans="1:54" ht="31.9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105"/>
      <c r="AN2" s="70"/>
      <c r="AO2" s="70"/>
      <c r="AP2" s="70"/>
      <c r="AQ2" s="70"/>
      <c r="AR2" s="70"/>
      <c r="AS2" s="70"/>
      <c r="AT2" s="70"/>
      <c r="AU2" s="70"/>
      <c r="AV2" s="70"/>
      <c r="AW2" s="70"/>
      <c r="AX2" s="70"/>
      <c r="AY2" s="70"/>
      <c r="AZ2" s="70"/>
      <c r="BA2" s="70"/>
      <c r="BB2" s="70"/>
    </row>
    <row r="3" spans="1:54" x14ac:dyDescent="0.3">
      <c r="N3"/>
      <c r="O3"/>
      <c r="P3"/>
      <c r="Q3"/>
      <c r="R3"/>
      <c r="S3"/>
      <c r="T3"/>
      <c r="U3"/>
      <c r="V3"/>
      <c r="W3"/>
      <c r="X3"/>
      <c r="Y3"/>
      <c r="Z3"/>
      <c r="AA3"/>
      <c r="AB3"/>
      <c r="AM3" s="102" t="s">
        <v>160</v>
      </c>
    </row>
    <row r="4" spans="1:54" x14ac:dyDescent="0.3">
      <c r="A4" s="597"/>
      <c r="B4" s="513"/>
      <c r="C4" s="513"/>
      <c r="D4" s="513"/>
      <c r="E4" s="513"/>
      <c r="F4" s="513"/>
      <c r="G4" s="89"/>
      <c r="H4" s="514">
        <f ca="1">TODAY()</f>
        <v>46184</v>
      </c>
      <c r="I4" s="513"/>
      <c r="J4" s="513"/>
      <c r="K4" s="513"/>
      <c r="L4" s="513"/>
      <c r="N4"/>
      <c r="O4"/>
      <c r="P4"/>
      <c r="Q4"/>
      <c r="R4"/>
      <c r="S4"/>
      <c r="T4"/>
      <c r="U4"/>
      <c r="V4"/>
      <c r="W4"/>
      <c r="X4"/>
      <c r="Y4"/>
      <c r="Z4"/>
      <c r="AA4"/>
      <c r="AB4"/>
    </row>
    <row r="5" spans="1:54" ht="15" customHeight="1" x14ac:dyDescent="0.3">
      <c r="A5" s="515" t="s">
        <v>125</v>
      </c>
      <c r="B5" s="515"/>
      <c r="C5" s="515"/>
      <c r="D5" s="515"/>
      <c r="E5" s="515"/>
      <c r="F5" s="515"/>
      <c r="G5" s="151"/>
      <c r="H5" s="515" t="s">
        <v>124</v>
      </c>
      <c r="I5" s="515"/>
      <c r="J5" s="515"/>
      <c r="K5" s="515"/>
      <c r="L5" s="515"/>
      <c r="M5" s="148"/>
      <c r="N5"/>
      <c r="O5"/>
      <c r="P5"/>
      <c r="Q5"/>
      <c r="R5"/>
      <c r="S5"/>
      <c r="T5"/>
      <c r="U5"/>
      <c r="V5"/>
      <c r="W5"/>
      <c r="X5"/>
      <c r="Y5"/>
      <c r="Z5"/>
      <c r="AA5"/>
      <c r="AB5"/>
      <c r="AC5" s="148"/>
      <c r="AD5" s="148"/>
      <c r="AE5" s="148"/>
      <c r="AF5" s="148"/>
      <c r="AG5" s="148"/>
      <c r="AH5" s="148"/>
      <c r="AI5" s="148"/>
      <c r="AJ5" s="148"/>
      <c r="AK5" s="148"/>
      <c r="AL5" s="148"/>
    </row>
    <row r="6" spans="1:54" x14ac:dyDescent="0.3">
      <c r="A6" s="153"/>
      <c r="B6" s="153"/>
      <c r="C6" s="153"/>
      <c r="D6" s="153"/>
      <c r="E6" s="153"/>
      <c r="F6" s="153"/>
      <c r="G6" s="151"/>
      <c r="H6" s="148"/>
      <c r="I6" s="148"/>
      <c r="J6" s="148"/>
      <c r="K6" s="148"/>
      <c r="L6" s="148"/>
      <c r="M6" s="148"/>
      <c r="N6"/>
      <c r="O6"/>
      <c r="P6"/>
      <c r="Q6"/>
      <c r="R6"/>
      <c r="S6"/>
      <c r="T6"/>
      <c r="U6"/>
      <c r="V6"/>
      <c r="W6"/>
      <c r="X6"/>
      <c r="Y6"/>
      <c r="Z6"/>
      <c r="AA6"/>
      <c r="AB6"/>
      <c r="AC6" s="148"/>
      <c r="AD6" s="148"/>
      <c r="AE6" s="148"/>
      <c r="AF6" s="148"/>
      <c r="AG6" s="148"/>
      <c r="AH6" s="148"/>
      <c r="AI6" s="148"/>
      <c r="AJ6" s="148"/>
      <c r="AK6" s="148"/>
      <c r="AL6" s="148"/>
    </row>
    <row r="7" spans="1:54"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ht="26.7"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ht="114"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x14ac:dyDescent="0.3">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row>
    <row r="15" spans="1:5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x14ac:dyDescent="0.25">
      <c r="A17" s="326"/>
      <c r="B17" s="443" t="s">
        <v>75</v>
      </c>
      <c r="C17" s="443"/>
      <c r="D17" s="443"/>
      <c r="E17" s="443"/>
      <c r="F17" s="443"/>
      <c r="G17" s="443"/>
      <c r="H17" s="443"/>
      <c r="I17" s="443"/>
      <c r="J17" s="443"/>
      <c r="K17" s="443"/>
      <c r="L17" s="443"/>
      <c r="M17" s="443"/>
      <c r="N17" s="443"/>
      <c r="O17" s="443"/>
      <c r="P17" s="443"/>
      <c r="Q17" s="443"/>
      <c r="R17" s="443"/>
      <c r="S17" s="443"/>
      <c r="T17" s="443"/>
      <c r="U17" s="443"/>
      <c r="V17" s="443"/>
      <c r="W17" s="443"/>
      <c r="X17" s="443"/>
      <c r="Y17" s="443"/>
      <c r="Z17" s="443"/>
      <c r="AA17" s="443"/>
      <c r="AB17" s="443"/>
      <c r="AC17" s="443"/>
      <c r="AD17" s="443"/>
      <c r="AE17" s="443"/>
      <c r="AF17" s="443"/>
      <c r="AG17" s="443"/>
      <c r="AH17" s="443"/>
      <c r="AI17" s="443"/>
      <c r="AJ17" s="443"/>
      <c r="AK17" s="443"/>
      <c r="AL17" s="443"/>
    </row>
    <row r="18" spans="1:39"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x14ac:dyDescent="0.25">
      <c r="A19" s="326"/>
      <c r="B19" s="591"/>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92"/>
      <c r="AK19" s="592"/>
      <c r="AL19" s="592"/>
    </row>
    <row r="20" spans="1:39" ht="28.9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x14ac:dyDescent="0.25">
      <c r="A21" s="326"/>
      <c r="B21" s="368"/>
      <c r="C21" s="605"/>
      <c r="D21" s="605"/>
      <c r="E21" s="605"/>
      <c r="F21" s="605"/>
      <c r="G21" s="605"/>
      <c r="H21" s="605"/>
      <c r="I21" s="605"/>
      <c r="J21" s="605"/>
      <c r="K21" s="605"/>
      <c r="L21" s="605"/>
      <c r="M21" s="605"/>
      <c r="N21" s="605"/>
      <c r="O21" s="605"/>
      <c r="P21" s="605"/>
      <c r="Q21" s="605"/>
      <c r="R21" s="605"/>
      <c r="S21" s="605"/>
      <c r="T21" s="605"/>
      <c r="U21" s="605"/>
      <c r="V21" s="605"/>
      <c r="W21" s="605"/>
      <c r="X21" s="605"/>
      <c r="Y21" s="368"/>
      <c r="Z21" s="605"/>
      <c r="AA21" s="605"/>
      <c r="AB21" s="605"/>
      <c r="AC21" s="605"/>
      <c r="AD21" s="605"/>
      <c r="AE21" s="605"/>
      <c r="AF21" s="605"/>
      <c r="AG21" s="605"/>
      <c r="AH21" s="605"/>
      <c r="AI21" s="605"/>
      <c r="AJ21" s="605"/>
      <c r="AK21" s="605"/>
      <c r="AL21" s="605"/>
    </row>
    <row r="22" spans="1:39" ht="45.45"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x14ac:dyDescent="0.3">
      <c r="A25" s="326"/>
      <c r="B25" s="600"/>
      <c r="C25" s="600"/>
      <c r="D25" s="600"/>
      <c r="E25" s="600"/>
      <c r="F25" s="600"/>
      <c r="G25" s="600"/>
      <c r="H25" s="600"/>
      <c r="I25" s="600"/>
      <c r="J25" s="600"/>
      <c r="K25" s="600"/>
      <c r="L25" s="600"/>
      <c r="M25" s="600"/>
      <c r="N25" s="600"/>
      <c r="O25" s="600"/>
      <c r="P25" s="600"/>
      <c r="Q25" s="600"/>
      <c r="R25" s="600"/>
      <c r="S25" s="600"/>
      <c r="T25" s="600"/>
      <c r="U25" s="600"/>
      <c r="V25" s="600"/>
      <c r="W25" s="352"/>
      <c r="X25" s="352"/>
      <c r="Y25" s="352"/>
      <c r="Z25" s="352"/>
      <c r="AA25" s="352"/>
      <c r="AB25" s="352"/>
      <c r="AC25" s="352"/>
      <c r="AD25" s="352"/>
      <c r="AE25" s="352"/>
      <c r="AF25" s="352"/>
      <c r="AG25" s="352"/>
      <c r="AH25" s="352"/>
      <c r="AI25" s="352"/>
      <c r="AJ25" s="352"/>
      <c r="AK25" s="352"/>
      <c r="AL25" s="352"/>
    </row>
    <row r="26" spans="1:39" x14ac:dyDescent="0.25">
      <c r="A26" s="337" t="s">
        <v>9</v>
      </c>
      <c r="B26" s="344" t="s">
        <v>66</v>
      </c>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row>
    <row r="27" spans="1:39" x14ac:dyDescent="0.25">
      <c r="A27" s="326"/>
      <c r="B27" s="344" t="s">
        <v>170</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606"/>
    </row>
    <row r="28" spans="1:39" x14ac:dyDescent="0.25">
      <c r="A28" s="326"/>
      <c r="B28" s="593"/>
      <c r="C28" s="594"/>
      <c r="D28" s="594"/>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5"/>
    </row>
    <row r="29" spans="1:39" x14ac:dyDescent="0.25">
      <c r="A29" s="326"/>
      <c r="B29" s="587" t="s">
        <v>211</v>
      </c>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9"/>
    </row>
    <row r="30" spans="1:39" x14ac:dyDescent="0.25">
      <c r="A30" s="326"/>
      <c r="B30" s="593"/>
      <c r="C30" s="594"/>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5"/>
    </row>
    <row r="31" spans="1:39" x14ac:dyDescent="0.25">
      <c r="A31" s="326"/>
      <c r="B31" s="588" t="s">
        <v>171</v>
      </c>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9"/>
    </row>
    <row r="32" spans="1:39" x14ac:dyDescent="0.25">
      <c r="A32" s="326"/>
      <c r="B32" s="593"/>
      <c r="C32" s="594"/>
      <c r="D32" s="594"/>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5"/>
      <c r="AM32" s="101" t="s">
        <v>174</v>
      </c>
    </row>
    <row r="33" spans="1:39" x14ac:dyDescent="0.25">
      <c r="A33" s="326"/>
      <c r="B33" s="587" t="s">
        <v>212</v>
      </c>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row>
    <row r="34" spans="1:39" x14ac:dyDescent="0.25">
      <c r="A34" s="326"/>
      <c r="B34" s="593"/>
      <c r="C34" s="594"/>
      <c r="D34" s="594"/>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5"/>
      <c r="AM34" s="101" t="s">
        <v>174</v>
      </c>
    </row>
    <row r="35" spans="1:39" ht="14.7" customHeight="1" x14ac:dyDescent="0.25">
      <c r="A35" s="337" t="s">
        <v>882</v>
      </c>
      <c r="B35" s="614" t="s">
        <v>676</v>
      </c>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row>
    <row r="36" spans="1:39" x14ac:dyDescent="0.25">
      <c r="A36" s="326"/>
      <c r="B36" s="615"/>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row>
    <row r="37" spans="1:39" ht="55.95" customHeight="1" x14ac:dyDescent="0.25">
      <c r="A37" s="326"/>
      <c r="B37" s="599" t="s">
        <v>677</v>
      </c>
      <c r="C37" s="601"/>
      <c r="D37" s="601"/>
      <c r="E37" s="601"/>
      <c r="F37" s="601"/>
      <c r="G37" s="601"/>
      <c r="H37" s="601"/>
      <c r="I37" s="601"/>
      <c r="J37" s="601"/>
      <c r="K37" s="601"/>
      <c r="L37" s="601"/>
      <c r="M37" s="601"/>
      <c r="N37" s="601"/>
      <c r="O37" s="601"/>
      <c r="P37" s="601"/>
      <c r="Q37" s="601"/>
      <c r="R37" s="601"/>
      <c r="S37" s="601"/>
      <c r="T37" s="601"/>
      <c r="U37" s="601"/>
      <c r="V37" s="601"/>
      <c r="W37" s="601"/>
      <c r="X37" s="601"/>
      <c r="Y37" s="602" t="s">
        <v>1068</v>
      </c>
      <c r="Z37" s="603"/>
      <c r="AA37" s="603"/>
      <c r="AB37" s="603"/>
      <c r="AC37" s="603"/>
      <c r="AD37" s="603"/>
      <c r="AE37" s="603"/>
      <c r="AF37" s="603"/>
      <c r="AG37" s="603"/>
      <c r="AH37" s="603"/>
      <c r="AI37" s="603"/>
      <c r="AJ37" s="603"/>
      <c r="AK37" s="603"/>
      <c r="AL37" s="603"/>
    </row>
    <row r="38" spans="1:39" x14ac:dyDescent="0.25">
      <c r="A38" s="326"/>
      <c r="B38" s="604"/>
      <c r="C38" s="605"/>
      <c r="D38" s="605"/>
      <c r="E38" s="605"/>
      <c r="F38" s="605"/>
      <c r="G38" s="605"/>
      <c r="H38" s="605"/>
      <c r="I38" s="605"/>
      <c r="J38" s="605"/>
      <c r="K38" s="605"/>
      <c r="L38" s="605"/>
      <c r="M38" s="605"/>
      <c r="N38" s="605"/>
      <c r="O38" s="605"/>
      <c r="P38" s="605"/>
      <c r="Q38" s="605"/>
      <c r="R38" s="605"/>
      <c r="S38" s="605"/>
      <c r="T38" s="605"/>
      <c r="U38" s="605"/>
      <c r="V38" s="605"/>
      <c r="W38" s="605"/>
      <c r="X38" s="605"/>
      <c r="Y38" s="598"/>
      <c r="Z38" s="598"/>
      <c r="AA38" s="598"/>
      <c r="AB38" s="598"/>
      <c r="AC38" s="598"/>
      <c r="AD38" s="598"/>
      <c r="AE38" s="598"/>
      <c r="AF38" s="598"/>
      <c r="AG38" s="598"/>
      <c r="AH38" s="598"/>
      <c r="AI38" s="598"/>
      <c r="AJ38" s="598"/>
      <c r="AK38" s="598"/>
      <c r="AL38" s="598"/>
    </row>
    <row r="39" spans="1:39" x14ac:dyDescent="0.25">
      <c r="A39" s="326"/>
      <c r="B39" s="599" t="s">
        <v>678</v>
      </c>
      <c r="C39" s="344"/>
      <c r="D39" s="344"/>
      <c r="E39" s="344"/>
      <c r="F39" s="344"/>
      <c r="G39" s="344"/>
      <c r="H39" s="344"/>
      <c r="I39" s="344"/>
      <c r="J39" s="344"/>
      <c r="K39" s="344"/>
      <c r="L39" s="344"/>
      <c r="M39" s="344"/>
      <c r="N39" s="344"/>
      <c r="O39" s="344"/>
      <c r="P39" s="344"/>
      <c r="Q39" s="344"/>
      <c r="R39" s="344"/>
      <c r="S39" s="344"/>
      <c r="T39" s="344"/>
      <c r="U39" s="344"/>
      <c r="V39" s="344"/>
      <c r="W39" s="599" t="s">
        <v>679</v>
      </c>
      <c r="X39" s="344"/>
      <c r="Y39" s="344"/>
      <c r="Z39" s="344"/>
      <c r="AA39" s="344"/>
      <c r="AB39" s="344"/>
      <c r="AC39" s="344"/>
      <c r="AD39" s="344"/>
      <c r="AE39" s="344"/>
      <c r="AF39" s="344"/>
      <c r="AG39" s="344"/>
      <c r="AH39" s="344"/>
      <c r="AI39" s="344"/>
      <c r="AJ39" s="344"/>
      <c r="AK39" s="344"/>
      <c r="AL39" s="344"/>
    </row>
    <row r="40" spans="1:39" x14ac:dyDescent="0.3">
      <c r="A40" s="326"/>
      <c r="B40" s="350"/>
      <c r="C40" s="350"/>
      <c r="D40" s="350"/>
      <c r="E40" s="350"/>
      <c r="F40" s="350"/>
      <c r="G40" s="350"/>
      <c r="H40" s="350"/>
      <c r="I40" s="350"/>
      <c r="J40" s="350"/>
      <c r="K40" s="350"/>
      <c r="L40" s="350"/>
      <c r="M40" s="350"/>
      <c r="N40" s="350"/>
      <c r="O40" s="350"/>
      <c r="P40" s="350"/>
      <c r="Q40" s="350"/>
      <c r="R40" s="350"/>
      <c r="S40" s="350"/>
      <c r="T40" s="350"/>
      <c r="U40" s="350"/>
      <c r="V40" s="350"/>
      <c r="W40" s="327"/>
      <c r="X40" s="327"/>
      <c r="Y40" s="327"/>
      <c r="Z40" s="327"/>
      <c r="AA40" s="327"/>
      <c r="AB40" s="327"/>
      <c r="AC40" s="327"/>
      <c r="AD40" s="327"/>
      <c r="AE40" s="327"/>
      <c r="AF40" s="327"/>
      <c r="AG40" s="327"/>
      <c r="AH40" s="327"/>
      <c r="AI40" s="327"/>
      <c r="AJ40" s="327"/>
      <c r="AK40" s="327"/>
      <c r="AL40" s="327"/>
    </row>
    <row r="41" spans="1:39" x14ac:dyDescent="0.3">
      <c r="A41" s="326"/>
      <c r="B41" s="338" t="s">
        <v>680</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100" t="s">
        <v>971</v>
      </c>
    </row>
    <row r="42" spans="1:39" x14ac:dyDescent="0.3">
      <c r="A42" s="326"/>
      <c r="B42" s="327"/>
      <c r="C42" s="327"/>
      <c r="D42" s="327"/>
      <c r="E42" s="327"/>
      <c r="F42" s="327"/>
      <c r="G42" s="327"/>
      <c r="H42" s="327"/>
      <c r="I42" s="327"/>
      <c r="J42" s="327"/>
      <c r="K42" s="327"/>
      <c r="L42" s="327"/>
      <c r="M42" s="327"/>
      <c r="N42" s="327"/>
      <c r="O42" s="327"/>
      <c r="P42" s="327"/>
      <c r="Q42" s="327"/>
      <c r="R42" s="327"/>
      <c r="S42" s="327"/>
      <c r="T42" s="327"/>
      <c r="U42" s="327"/>
      <c r="V42" s="327"/>
      <c r="W42" s="327"/>
      <c r="X42" s="327"/>
      <c r="Y42" s="327"/>
      <c r="Z42" s="327"/>
      <c r="AA42" s="327"/>
      <c r="AB42" s="327"/>
      <c r="AC42" s="327"/>
      <c r="AD42" s="327"/>
      <c r="AE42" s="327"/>
      <c r="AF42" s="327"/>
      <c r="AG42" s="327"/>
      <c r="AH42" s="327"/>
      <c r="AI42" s="327"/>
      <c r="AJ42" s="327"/>
      <c r="AK42" s="327"/>
      <c r="AL42" s="327"/>
    </row>
    <row r="43" spans="1:39" ht="41.7" customHeight="1" x14ac:dyDescent="0.25">
      <c r="A43" s="337" t="s">
        <v>640</v>
      </c>
      <c r="B43" s="342" t="s">
        <v>754</v>
      </c>
      <c r="C43" s="342"/>
      <c r="D43" s="342"/>
      <c r="E43" s="342"/>
      <c r="F43" s="342"/>
      <c r="G43" s="342"/>
      <c r="H43" s="342"/>
      <c r="I43" s="342"/>
      <c r="J43" s="342"/>
      <c r="K43" s="342"/>
      <c r="L43" s="342"/>
      <c r="M43" s="342"/>
      <c r="N43" s="342"/>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row>
    <row r="44" spans="1:39" x14ac:dyDescent="0.3">
      <c r="A44" s="326"/>
      <c r="B44" s="352"/>
      <c r="C44" s="352"/>
      <c r="D44" s="352"/>
      <c r="E44" s="352"/>
      <c r="F44" s="352"/>
      <c r="G44" s="352"/>
      <c r="H44" s="352"/>
      <c r="I44" s="352"/>
      <c r="J44" s="352"/>
      <c r="K44" s="352"/>
      <c r="L44" s="352"/>
      <c r="M44" s="352"/>
      <c r="N44" s="352"/>
      <c r="O44" s="352"/>
      <c r="P44" s="352"/>
      <c r="Q44" s="352"/>
      <c r="R44" s="352"/>
      <c r="S44" s="352"/>
      <c r="T44" s="348" t="str" cm="1">
        <f t="array" ref="T44">LEFT(B44,2)&amp;" "&amp;_xlfn.TEXTJOIN(" ",,MID(B44,{3,7,11,15,19,23},4))</f>
        <v xml:space="preserve"> </v>
      </c>
      <c r="U44" s="348"/>
      <c r="V44" s="348"/>
      <c r="W44" s="348"/>
      <c r="X44" s="348"/>
      <c r="Y44" s="348"/>
      <c r="Z44" s="348"/>
      <c r="AA44" s="348"/>
      <c r="AB44" s="348"/>
      <c r="AC44" s="348"/>
      <c r="AD44" s="348"/>
      <c r="AE44" s="348"/>
      <c r="AF44" s="348"/>
      <c r="AG44" s="348"/>
      <c r="AH44" s="348"/>
      <c r="AI44" s="348"/>
      <c r="AJ44" s="348"/>
      <c r="AK44" s="348"/>
      <c r="AL44" s="348"/>
    </row>
    <row r="45" spans="1:39" x14ac:dyDescent="0.25">
      <c r="A45" s="149" t="s">
        <v>67</v>
      </c>
      <c r="B45" s="351" t="s">
        <v>68</v>
      </c>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row>
    <row r="46" spans="1:39" x14ac:dyDescent="0.25">
      <c r="A46" s="326" t="s">
        <v>1</v>
      </c>
      <c r="B46" s="743" t="s">
        <v>85</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x14ac:dyDescent="0.3">
      <c r="A47" s="326"/>
      <c r="B47" s="655">
        <f>IF(AJ94&gt;(ROUNDDOWN(AK147*T149*T150,2)),(ROUNDDOWN(AK147*T149*T150,2)),AJ94)</f>
        <v>0</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c r="AL47" s="655"/>
      <c r="AM47" s="118" t="s">
        <v>213</v>
      </c>
    </row>
    <row r="48" spans="1:39" x14ac:dyDescent="0.25">
      <c r="A48" s="184"/>
      <c r="B48" s="743" t="s">
        <v>661</v>
      </c>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s="344"/>
      <c r="AJ48" s="344"/>
      <c r="AK48" s="344"/>
      <c r="AL48" s="344"/>
      <c r="AM48" s="118"/>
    </row>
    <row r="49" spans="1:41" ht="32.700000000000003" customHeight="1" x14ac:dyDescent="0.3">
      <c r="A49" s="184"/>
      <c r="B49" s="740" t="s">
        <v>688</v>
      </c>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741"/>
      <c r="AK49" s="742"/>
      <c r="AL49" s="742"/>
      <c r="AM49" s="118"/>
    </row>
    <row r="50" spans="1:41" ht="70.95" customHeight="1" x14ac:dyDescent="0.3">
      <c r="A50" s="184"/>
      <c r="B50" s="740" t="s">
        <v>689</v>
      </c>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741"/>
      <c r="AK50" s="742"/>
      <c r="AL50" s="742"/>
      <c r="AM50" s="118"/>
    </row>
    <row r="51" spans="1:41" ht="33.6" customHeight="1" x14ac:dyDescent="0.3">
      <c r="A51" s="184"/>
      <c r="B51" s="740" t="s">
        <v>690</v>
      </c>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c r="AJ51" s="741"/>
      <c r="AK51" s="742"/>
      <c r="AL51" s="742"/>
      <c r="AM51" s="118"/>
    </row>
    <row r="52" spans="1:41" ht="33.6" customHeight="1" x14ac:dyDescent="0.3">
      <c r="A52" s="184"/>
      <c r="B52" s="740" t="s">
        <v>691</v>
      </c>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c r="AJ52" s="741"/>
      <c r="AK52" s="742"/>
      <c r="AL52" s="742"/>
      <c r="AM52" s="118"/>
    </row>
    <row r="53" spans="1:41" ht="34.200000000000003" customHeight="1" x14ac:dyDescent="0.3">
      <c r="A53" s="184"/>
      <c r="B53" s="740" t="s">
        <v>692</v>
      </c>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89"/>
      <c r="AH53" s="289"/>
      <c r="AI53" s="289"/>
      <c r="AJ53" s="741"/>
      <c r="AK53" s="742"/>
      <c r="AL53" s="742"/>
      <c r="AM53" s="118"/>
    </row>
    <row r="54" spans="1:41" ht="30" customHeight="1" x14ac:dyDescent="0.3">
      <c r="A54" s="184"/>
      <c r="B54" s="740" t="s">
        <v>693</v>
      </c>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89"/>
      <c r="AH54" s="289"/>
      <c r="AI54" s="289"/>
      <c r="AJ54" s="741"/>
      <c r="AK54" s="742"/>
      <c r="AL54" s="742"/>
      <c r="AM54" s="118"/>
    </row>
    <row r="55" spans="1:41" ht="43.2" customHeight="1" x14ac:dyDescent="0.3">
      <c r="A55" s="184"/>
      <c r="B55" s="740" t="s">
        <v>694</v>
      </c>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741"/>
      <c r="AK55" s="742"/>
      <c r="AL55" s="742"/>
      <c r="AM55" s="118"/>
    </row>
    <row r="56" spans="1:41" ht="28.5" customHeight="1" x14ac:dyDescent="0.25">
      <c r="A56" s="744" t="s">
        <v>6</v>
      </c>
      <c r="B56" s="445" t="s">
        <v>1023</v>
      </c>
      <c r="C56" s="445"/>
      <c r="D56" s="445"/>
      <c r="E56" s="445"/>
      <c r="F56" s="445"/>
      <c r="G56" s="445"/>
      <c r="H56" s="445"/>
      <c r="I56" s="445"/>
      <c r="J56" s="445"/>
      <c r="K56" s="445"/>
      <c r="L56" s="445"/>
      <c r="M56" s="445"/>
      <c r="N56" s="445"/>
      <c r="O56" s="445"/>
      <c r="P56" s="445"/>
      <c r="Q56" s="445"/>
      <c r="R56" s="445"/>
      <c r="S56" s="445"/>
      <c r="T56" s="445"/>
      <c r="U56" s="445"/>
      <c r="V56" s="445"/>
      <c r="W56" s="445"/>
      <c r="X56" s="445"/>
      <c r="Y56" s="445"/>
      <c r="Z56" s="445"/>
      <c r="AA56" s="445"/>
      <c r="AB56" s="445"/>
      <c r="AC56" s="445"/>
      <c r="AD56" s="445"/>
      <c r="AE56" s="445"/>
      <c r="AF56" s="445"/>
      <c r="AG56" s="445"/>
      <c r="AH56" s="445"/>
      <c r="AI56" s="445"/>
      <c r="AJ56" s="445"/>
      <c r="AK56" s="445"/>
      <c r="AL56" s="445"/>
    </row>
    <row r="57" spans="1:41" x14ac:dyDescent="0.25">
      <c r="A57" s="326"/>
      <c r="B57" s="347"/>
      <c r="C57" s="347"/>
      <c r="D57" s="347"/>
      <c r="E57" s="347"/>
      <c r="F57" s="347"/>
      <c r="G57" s="347"/>
      <c r="H57" s="347"/>
      <c r="I57" s="347"/>
      <c r="J57" s="347"/>
      <c r="K57" s="347"/>
      <c r="L57" s="347"/>
      <c r="M57" s="347"/>
      <c r="N57" s="347"/>
      <c r="O57" s="347"/>
      <c r="P57" s="347"/>
      <c r="Q57" s="347"/>
      <c r="R57" s="347"/>
      <c r="S57" s="347"/>
      <c r="T57" s="347"/>
      <c r="U57" s="347"/>
      <c r="V57" s="347"/>
      <c r="W57" s="347"/>
      <c r="X57" s="347"/>
      <c r="Y57" s="347"/>
      <c r="Z57" s="347"/>
      <c r="AA57" s="347"/>
      <c r="AB57" s="347"/>
      <c r="AC57" s="347"/>
      <c r="AD57" s="347"/>
      <c r="AE57" s="347"/>
      <c r="AF57" s="347"/>
      <c r="AG57" s="347"/>
      <c r="AH57" s="347"/>
      <c r="AI57" s="347"/>
      <c r="AJ57" s="347"/>
      <c r="AK57" s="347"/>
      <c r="AL57" s="347"/>
    </row>
    <row r="58" spans="1:41" x14ac:dyDescent="0.25">
      <c r="A58" s="744" t="s">
        <v>7</v>
      </c>
      <c r="B58" s="444" t="s">
        <v>885</v>
      </c>
      <c r="C58" s="444"/>
      <c r="D58" s="444"/>
      <c r="E58" s="444"/>
      <c r="F58" s="444"/>
      <c r="G58" s="444"/>
      <c r="H58" s="444"/>
      <c r="I58" s="444"/>
      <c r="J58" s="444"/>
      <c r="K58" s="444"/>
      <c r="L58" s="444"/>
      <c r="M58" s="444"/>
      <c r="N58" s="444"/>
      <c r="O58" s="444"/>
      <c r="P58" s="444"/>
      <c r="Q58" s="444"/>
      <c r="R58" s="444"/>
      <c r="S58" s="444"/>
      <c r="T58" s="444"/>
      <c r="U58" s="444"/>
      <c r="V58" s="444"/>
      <c r="W58" s="444"/>
      <c r="X58" s="444"/>
      <c r="Y58" s="444"/>
      <c r="Z58" s="444"/>
      <c r="AA58" s="444"/>
      <c r="AB58" s="444"/>
      <c r="AC58" s="444"/>
      <c r="AD58" s="444"/>
      <c r="AE58" s="444"/>
      <c r="AF58" s="444"/>
      <c r="AG58" s="444"/>
      <c r="AH58" s="444"/>
      <c r="AI58" s="444"/>
      <c r="AJ58" s="444"/>
      <c r="AK58" s="444"/>
      <c r="AL58" s="444"/>
    </row>
    <row r="59" spans="1:41" x14ac:dyDescent="0.25">
      <c r="A59" s="326"/>
      <c r="B59" s="347"/>
      <c r="C59" s="347"/>
      <c r="D59" s="347"/>
      <c r="E59" s="347"/>
      <c r="F59" s="347"/>
      <c r="G59" s="347"/>
      <c r="H59" s="347"/>
      <c r="I59" s="347"/>
      <c r="J59" s="347"/>
      <c r="K59" s="347"/>
      <c r="L59" s="347"/>
      <c r="M59" s="347"/>
      <c r="N59" s="347"/>
      <c r="O59" s="347"/>
      <c r="P59" s="347"/>
      <c r="Q59" s="347"/>
      <c r="R59" s="347"/>
      <c r="S59" s="347"/>
      <c r="T59" s="347"/>
      <c r="U59" s="347"/>
      <c r="V59" s="347"/>
      <c r="W59" s="347"/>
      <c r="X59" s="347"/>
      <c r="Y59" s="347"/>
      <c r="Z59" s="347"/>
      <c r="AA59" s="347"/>
      <c r="AB59" s="347"/>
      <c r="AC59" s="347"/>
      <c r="AD59" s="347"/>
      <c r="AE59" s="347"/>
      <c r="AF59" s="347"/>
      <c r="AG59" s="347"/>
      <c r="AH59" s="347"/>
      <c r="AI59" s="347"/>
      <c r="AJ59" s="347"/>
      <c r="AK59" s="347"/>
      <c r="AL59" s="347"/>
    </row>
    <row r="60" spans="1:41" x14ac:dyDescent="0.25">
      <c r="A60" s="345" t="s">
        <v>9</v>
      </c>
      <c r="B60" s="419" t="s">
        <v>223</v>
      </c>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s="344"/>
      <c r="AH60" s="344"/>
      <c r="AI60" s="344"/>
      <c r="AJ60" s="344"/>
      <c r="AK60" s="344"/>
      <c r="AL60" s="344"/>
      <c r="AM60" s="590"/>
      <c r="AN60" s="590"/>
      <c r="AO60" s="590"/>
    </row>
    <row r="61" spans="1:41" ht="14.7" customHeight="1" x14ac:dyDescent="0.25">
      <c r="A61" s="344"/>
      <c r="B61" s="763" t="s">
        <v>700</v>
      </c>
      <c r="C61" s="763"/>
      <c r="D61" s="763"/>
      <c r="E61" s="763"/>
      <c r="F61" s="763"/>
      <c r="G61" s="763"/>
      <c r="H61" s="763"/>
      <c r="I61" s="763"/>
      <c r="J61" s="763"/>
      <c r="K61" s="763"/>
      <c r="L61" s="763"/>
      <c r="M61" s="763"/>
      <c r="N61" s="763"/>
      <c r="O61" s="763"/>
      <c r="P61" s="763"/>
      <c r="Q61" s="763"/>
      <c r="R61" s="763"/>
      <c r="S61" s="763"/>
      <c r="T61" s="763"/>
      <c r="U61" s="763"/>
      <c r="V61" s="763"/>
      <c r="W61" s="763"/>
      <c r="X61" s="763"/>
      <c r="Y61" s="764"/>
      <c r="Z61" s="426" t="s">
        <v>702</v>
      </c>
      <c r="AA61" s="427"/>
      <c r="AB61" s="427"/>
      <c r="AC61" s="427"/>
      <c r="AD61" s="427"/>
      <c r="AE61" s="427"/>
      <c r="AF61" s="427"/>
      <c r="AG61" s="427"/>
      <c r="AH61" s="427"/>
      <c r="AI61" s="427"/>
      <c r="AJ61" s="427"/>
      <c r="AK61" s="426" t="s">
        <v>701</v>
      </c>
      <c r="AL61" s="427"/>
    </row>
    <row r="62" spans="1:41" ht="18.45" customHeight="1" x14ac:dyDescent="0.3">
      <c r="A62" s="344"/>
      <c r="B62" s="763" t="s">
        <v>222</v>
      </c>
      <c r="C62" s="763"/>
      <c r="D62" s="763"/>
      <c r="E62" s="763"/>
      <c r="F62" s="763"/>
      <c r="G62" s="763"/>
      <c r="H62" s="763"/>
      <c r="I62" s="763"/>
      <c r="J62" s="763"/>
      <c r="K62" s="763"/>
      <c r="L62" s="763"/>
      <c r="M62" s="763"/>
      <c r="N62" s="763"/>
      <c r="O62" s="763"/>
      <c r="P62" s="763"/>
      <c r="Q62" s="763"/>
      <c r="R62" s="763"/>
      <c r="S62" s="763"/>
      <c r="T62" s="763"/>
      <c r="U62" s="763"/>
      <c r="V62" s="763"/>
      <c r="W62" s="763"/>
      <c r="X62" s="763"/>
      <c r="Y62" s="764"/>
      <c r="Z62" s="403"/>
      <c r="AA62" s="403"/>
      <c r="AB62" s="403"/>
      <c r="AC62" s="403"/>
      <c r="AD62" s="403"/>
      <c r="AE62" s="403"/>
      <c r="AF62" s="403"/>
      <c r="AG62" s="403"/>
      <c r="AH62" s="403"/>
      <c r="AI62" s="403"/>
      <c r="AJ62" s="403"/>
      <c r="AK62" s="341" t="e">
        <f>ROUND(Z62/Z$66,5)</f>
        <v>#DIV/0!</v>
      </c>
      <c r="AL62" s="341"/>
    </row>
    <row r="63" spans="1:41" ht="14.7" customHeight="1" x14ac:dyDescent="0.3">
      <c r="A63" s="344"/>
      <c r="B63" s="763" t="s">
        <v>226</v>
      </c>
      <c r="C63" s="763"/>
      <c r="D63" s="763"/>
      <c r="E63" s="763"/>
      <c r="F63" s="763"/>
      <c r="G63" s="763"/>
      <c r="H63" s="763"/>
      <c r="I63" s="763"/>
      <c r="J63" s="763"/>
      <c r="K63" s="763"/>
      <c r="L63" s="763"/>
      <c r="M63" s="763"/>
      <c r="N63" s="763"/>
      <c r="O63" s="763"/>
      <c r="P63" s="763"/>
      <c r="Q63" s="763"/>
      <c r="R63" s="763"/>
      <c r="S63" s="763"/>
      <c r="T63" s="763"/>
      <c r="U63" s="763"/>
      <c r="V63" s="763"/>
      <c r="W63" s="763"/>
      <c r="X63" s="763"/>
      <c r="Y63" s="764"/>
      <c r="Z63" s="745"/>
      <c r="AA63" s="746"/>
      <c r="AB63" s="746"/>
      <c r="AC63" s="746"/>
      <c r="AD63" s="746"/>
      <c r="AE63" s="746"/>
      <c r="AF63" s="746"/>
      <c r="AG63" s="746"/>
      <c r="AH63" s="746"/>
      <c r="AI63" s="746"/>
      <c r="AJ63" s="747"/>
      <c r="AK63" s="341" t="e">
        <f>ROUND(Z63/Z$66,5)</f>
        <v>#DIV/0!</v>
      </c>
      <c r="AL63" s="341"/>
    </row>
    <row r="64" spans="1:41" ht="19.5" customHeight="1" x14ac:dyDescent="0.3">
      <c r="A64" s="344"/>
      <c r="B64" s="763" t="s">
        <v>88</v>
      </c>
      <c r="C64" s="763"/>
      <c r="D64" s="763"/>
      <c r="E64" s="763"/>
      <c r="F64" s="763"/>
      <c r="G64" s="763"/>
      <c r="H64" s="763"/>
      <c r="I64" s="763"/>
      <c r="J64" s="763"/>
      <c r="K64" s="763"/>
      <c r="L64" s="763"/>
      <c r="M64" s="763"/>
      <c r="N64" s="763"/>
      <c r="O64" s="763"/>
      <c r="P64" s="763"/>
      <c r="Q64" s="763"/>
      <c r="R64" s="763"/>
      <c r="S64" s="763"/>
      <c r="T64" s="763"/>
      <c r="U64" s="763"/>
      <c r="V64" s="763"/>
      <c r="W64" s="763"/>
      <c r="X64" s="763"/>
      <c r="Y64" s="764"/>
      <c r="Z64" s="432">
        <f>B47</f>
        <v>0</v>
      </c>
      <c r="AA64" s="341"/>
      <c r="AB64" s="341"/>
      <c r="AC64" s="341"/>
      <c r="AD64" s="341"/>
      <c r="AE64" s="341"/>
      <c r="AF64" s="341"/>
      <c r="AG64" s="341"/>
      <c r="AH64" s="341"/>
      <c r="AI64" s="341"/>
      <c r="AJ64" s="341"/>
      <c r="AK64" s="341" t="e">
        <f>ROUND(Z64/Z$66,5)</f>
        <v>#DIV/0!</v>
      </c>
      <c r="AL64" s="341"/>
      <c r="AM64" s="76"/>
    </row>
    <row r="65" spans="1:39" ht="14.7" customHeight="1" x14ac:dyDescent="0.3">
      <c r="A65" s="344"/>
      <c r="B65" s="763" t="s">
        <v>92</v>
      </c>
      <c r="C65" s="763"/>
      <c r="D65" s="763"/>
      <c r="E65" s="763"/>
      <c r="F65" s="763"/>
      <c r="G65" s="763"/>
      <c r="H65" s="763"/>
      <c r="I65" s="763"/>
      <c r="J65" s="763"/>
      <c r="K65" s="763"/>
      <c r="L65" s="763"/>
      <c r="M65" s="763"/>
      <c r="N65" s="763"/>
      <c r="O65" s="763"/>
      <c r="P65" s="763"/>
      <c r="Q65" s="763"/>
      <c r="R65" s="763"/>
      <c r="S65" s="763"/>
      <c r="T65" s="763"/>
      <c r="U65" s="763"/>
      <c r="V65" s="763"/>
      <c r="W65" s="763"/>
      <c r="X65" s="763"/>
      <c r="Y65" s="764"/>
      <c r="Z65" s="403"/>
      <c r="AA65" s="403"/>
      <c r="AB65" s="403"/>
      <c r="AC65" s="403"/>
      <c r="AD65" s="403"/>
      <c r="AE65" s="403"/>
      <c r="AF65" s="403"/>
      <c r="AG65" s="403"/>
      <c r="AH65" s="403"/>
      <c r="AI65" s="403"/>
      <c r="AJ65" s="403"/>
      <c r="AK65" s="341" t="e">
        <f>ROUND(Z65/Z$66,5)</f>
        <v>#DIV/0!</v>
      </c>
      <c r="AL65" s="341"/>
      <c r="AM65" s="60"/>
    </row>
    <row r="66" spans="1:39" ht="14.7" customHeight="1" x14ac:dyDescent="0.3">
      <c r="A66" s="344"/>
      <c r="B66" s="763" t="s">
        <v>89</v>
      </c>
      <c r="C66" s="763"/>
      <c r="D66" s="763"/>
      <c r="E66" s="763"/>
      <c r="F66" s="763"/>
      <c r="G66" s="763"/>
      <c r="H66" s="763"/>
      <c r="I66" s="763"/>
      <c r="J66" s="763"/>
      <c r="K66" s="763"/>
      <c r="L66" s="763"/>
      <c r="M66" s="763"/>
      <c r="N66" s="763"/>
      <c r="O66" s="763"/>
      <c r="P66" s="763"/>
      <c r="Q66" s="763"/>
      <c r="R66" s="763"/>
      <c r="S66" s="763"/>
      <c r="T66" s="763"/>
      <c r="U66" s="763"/>
      <c r="V66" s="763"/>
      <c r="W66" s="763"/>
      <c r="X66" s="763"/>
      <c r="Y66" s="764"/>
      <c r="Z66" s="422">
        <f>SUM(Z62:AJ65)</f>
        <v>0</v>
      </c>
      <c r="AA66" s="422"/>
      <c r="AB66" s="422"/>
      <c r="AC66" s="422"/>
      <c r="AD66" s="422"/>
      <c r="AE66" s="422"/>
      <c r="AF66" s="422"/>
      <c r="AG66" s="422"/>
      <c r="AH66" s="422"/>
      <c r="AI66" s="422"/>
      <c r="AJ66" s="422"/>
      <c r="AK66" s="341" t="e">
        <f>SUM(AK62:AL65)</f>
        <v>#DIV/0!</v>
      </c>
      <c r="AL66" s="341"/>
      <c r="AM66" s="77" t="s">
        <v>1150</v>
      </c>
    </row>
    <row r="67" spans="1:39" ht="46.5" customHeight="1" x14ac:dyDescent="0.25">
      <c r="A67" s="343" t="s">
        <v>11</v>
      </c>
      <c r="B67" s="374" t="s">
        <v>1070</v>
      </c>
      <c r="C67" s="374"/>
      <c r="D67" s="374"/>
      <c r="E67" s="374"/>
      <c r="F67" s="374"/>
      <c r="G67" s="374"/>
      <c r="H67" s="374"/>
      <c r="I67" s="374"/>
      <c r="J67" s="374"/>
      <c r="K67" s="374"/>
      <c r="L67" s="374"/>
      <c r="M67" s="374"/>
      <c r="N67" s="374"/>
      <c r="O67" s="374"/>
      <c r="P67" s="374"/>
      <c r="Q67" s="374"/>
      <c r="R67" s="374"/>
      <c r="S67" s="374"/>
      <c r="T67" s="374"/>
      <c r="U67" s="374"/>
      <c r="V67" s="374"/>
      <c r="W67" s="374"/>
      <c r="X67" s="374"/>
      <c r="Y67" s="374"/>
      <c r="Z67" s="374"/>
      <c r="AA67" s="374"/>
      <c r="AB67" s="374"/>
      <c r="AC67" s="374"/>
      <c r="AD67" s="374"/>
      <c r="AE67" s="374"/>
      <c r="AF67" s="374"/>
      <c r="AG67" s="374"/>
      <c r="AH67" s="374"/>
      <c r="AI67" s="374"/>
      <c r="AJ67" s="374"/>
      <c r="AK67" s="374"/>
      <c r="AL67" s="374"/>
    </row>
    <row r="68" spans="1:39" ht="56.7" customHeight="1" x14ac:dyDescent="0.3">
      <c r="A68" s="343"/>
      <c r="B68" s="388" t="s">
        <v>1072</v>
      </c>
      <c r="C68" s="389"/>
      <c r="D68" s="389"/>
      <c r="E68" s="389"/>
      <c r="F68" s="389"/>
      <c r="G68" s="389"/>
      <c r="H68" s="389"/>
      <c r="I68" s="389"/>
      <c r="J68" s="389"/>
      <c r="K68" s="389"/>
      <c r="L68" s="389"/>
      <c r="M68" s="389"/>
      <c r="N68" s="389"/>
      <c r="O68" s="389"/>
      <c r="P68" s="389"/>
      <c r="Q68" s="389"/>
      <c r="R68" s="389"/>
      <c r="S68" s="389"/>
      <c r="T68" s="389"/>
      <c r="U68" s="389"/>
      <c r="V68" s="389"/>
      <c r="W68" s="389"/>
      <c r="X68" s="389"/>
      <c r="Y68" s="389"/>
      <c r="Z68" s="389"/>
      <c r="AA68" s="389"/>
      <c r="AB68" s="389"/>
      <c r="AC68" s="389"/>
      <c r="AD68" s="389"/>
      <c r="AE68" s="389"/>
      <c r="AF68" s="389"/>
      <c r="AG68" s="389"/>
      <c r="AH68" s="389"/>
      <c r="AI68" s="389"/>
      <c r="AJ68" s="389"/>
      <c r="AK68" s="389"/>
      <c r="AL68" s="389"/>
    </row>
    <row r="69" spans="1:39" ht="14.7" customHeight="1" x14ac:dyDescent="0.3">
      <c r="A69" s="343"/>
      <c r="B69" s="390" t="s">
        <v>703</v>
      </c>
      <c r="C69" s="390"/>
      <c r="D69" s="390"/>
      <c r="E69" s="390"/>
      <c r="F69" s="390"/>
      <c r="G69" s="390"/>
      <c r="H69" s="390"/>
      <c r="I69" s="390"/>
      <c r="J69" s="390"/>
      <c r="K69" s="390"/>
      <c r="L69" s="390"/>
      <c r="M69" s="390"/>
      <c r="N69" s="390"/>
      <c r="O69" s="390"/>
      <c r="P69" s="390"/>
      <c r="Q69" s="390"/>
      <c r="R69" s="390"/>
      <c r="S69" s="386"/>
      <c r="T69" s="387"/>
      <c r="U69" s="387"/>
      <c r="V69" s="387"/>
      <c r="W69" s="387"/>
      <c r="X69" s="387"/>
      <c r="Y69" s="387"/>
      <c r="Z69" s="387"/>
      <c r="AA69" s="387"/>
      <c r="AB69" s="387"/>
      <c r="AC69" s="387"/>
      <c r="AD69" s="387"/>
      <c r="AE69" s="387"/>
      <c r="AF69" s="387"/>
      <c r="AG69" s="387"/>
      <c r="AH69" s="387"/>
      <c r="AI69" s="387"/>
      <c r="AJ69" s="387"/>
      <c r="AK69" s="387"/>
      <c r="AL69" s="387"/>
    </row>
    <row r="70" spans="1:39" ht="14.7" customHeight="1" x14ac:dyDescent="0.3">
      <c r="A70" s="343"/>
      <c r="B70" s="390" t="s">
        <v>704</v>
      </c>
      <c r="C70" s="390"/>
      <c r="D70" s="390"/>
      <c r="E70" s="390"/>
      <c r="F70" s="390"/>
      <c r="G70" s="390"/>
      <c r="H70" s="390"/>
      <c r="I70" s="390"/>
      <c r="J70" s="390"/>
      <c r="K70" s="390"/>
      <c r="L70" s="390"/>
      <c r="M70" s="390"/>
      <c r="N70" s="390"/>
      <c r="O70" s="390"/>
      <c r="P70" s="390"/>
      <c r="Q70" s="390"/>
      <c r="R70" s="390"/>
      <c r="S70" s="386"/>
      <c r="T70" s="387"/>
      <c r="U70" s="387"/>
      <c r="V70" s="387"/>
      <c r="W70" s="387"/>
      <c r="X70" s="387"/>
      <c r="Y70" s="387"/>
      <c r="Z70" s="387"/>
      <c r="AA70" s="387"/>
      <c r="AB70" s="387"/>
      <c r="AC70" s="387"/>
      <c r="AD70" s="387"/>
      <c r="AE70" s="387"/>
      <c r="AF70" s="387"/>
      <c r="AG70" s="387"/>
      <c r="AH70" s="387"/>
      <c r="AI70" s="387"/>
      <c r="AJ70" s="387"/>
      <c r="AK70" s="387"/>
      <c r="AL70" s="387"/>
    </row>
    <row r="71" spans="1:39" ht="14.7" customHeight="1" x14ac:dyDescent="0.3">
      <c r="A71" s="343"/>
      <c r="B71" s="390" t="s">
        <v>705</v>
      </c>
      <c r="C71" s="390"/>
      <c r="D71" s="390"/>
      <c r="E71" s="390"/>
      <c r="F71" s="390"/>
      <c r="G71" s="390"/>
      <c r="H71" s="390"/>
      <c r="I71" s="390"/>
      <c r="J71" s="390"/>
      <c r="K71" s="390"/>
      <c r="L71" s="390"/>
      <c r="M71" s="390"/>
      <c r="N71" s="390"/>
      <c r="O71" s="390"/>
      <c r="P71" s="390"/>
      <c r="Q71" s="390"/>
      <c r="R71" s="390"/>
      <c r="S71" s="386"/>
      <c r="T71" s="387"/>
      <c r="U71" s="387"/>
      <c r="V71" s="387"/>
      <c r="W71" s="387"/>
      <c r="X71" s="387"/>
      <c r="Y71" s="387"/>
      <c r="Z71" s="387"/>
      <c r="AA71" s="387"/>
      <c r="AB71" s="387"/>
      <c r="AC71" s="387"/>
      <c r="AD71" s="387"/>
      <c r="AE71" s="387"/>
      <c r="AF71" s="387"/>
      <c r="AG71" s="387"/>
      <c r="AH71" s="387"/>
      <c r="AI71" s="387"/>
      <c r="AJ71" s="387"/>
      <c r="AK71" s="387"/>
      <c r="AL71" s="387"/>
    </row>
    <row r="72" spans="1:39" ht="28.5" customHeight="1" x14ac:dyDescent="0.3">
      <c r="A72" s="343"/>
      <c r="B72" s="389" t="s">
        <v>706</v>
      </c>
      <c r="C72" s="389"/>
      <c r="D72" s="389"/>
      <c r="E72" s="389"/>
      <c r="F72" s="389"/>
      <c r="G72" s="389"/>
      <c r="H72" s="389"/>
      <c r="I72" s="389"/>
      <c r="J72" s="389"/>
      <c r="K72" s="389"/>
      <c r="L72" s="389"/>
      <c r="M72" s="389"/>
      <c r="N72" s="389"/>
      <c r="O72" s="389"/>
      <c r="P72" s="389"/>
      <c r="Q72" s="389"/>
      <c r="R72" s="389"/>
      <c r="S72" s="386"/>
      <c r="T72" s="387"/>
      <c r="U72" s="387"/>
      <c r="V72" s="387"/>
      <c r="W72" s="387"/>
      <c r="X72" s="387"/>
      <c r="Y72" s="387"/>
      <c r="Z72" s="387"/>
      <c r="AA72" s="387"/>
      <c r="AB72" s="387"/>
      <c r="AC72" s="387"/>
      <c r="AD72" s="387"/>
      <c r="AE72" s="387"/>
      <c r="AF72" s="387"/>
      <c r="AG72" s="387"/>
      <c r="AH72" s="387"/>
      <c r="AI72" s="387"/>
      <c r="AJ72" s="387"/>
      <c r="AK72" s="387"/>
      <c r="AL72" s="387"/>
    </row>
    <row r="73" spans="1:39" ht="28.5" customHeight="1" x14ac:dyDescent="0.3">
      <c r="A73" s="343"/>
      <c r="B73" s="436" t="s">
        <v>887</v>
      </c>
      <c r="C73" s="437"/>
      <c r="D73" s="437"/>
      <c r="E73" s="437"/>
      <c r="F73" s="437"/>
      <c r="G73" s="437"/>
      <c r="H73" s="437"/>
      <c r="I73" s="437"/>
      <c r="J73" s="437"/>
      <c r="K73" s="437"/>
      <c r="L73" s="437"/>
      <c r="M73" s="437"/>
      <c r="N73" s="437"/>
      <c r="O73" s="437"/>
      <c r="P73" s="437"/>
      <c r="Q73" s="437"/>
      <c r="R73" s="438"/>
      <c r="S73" s="428"/>
      <c r="T73" s="429"/>
      <c r="U73" s="429"/>
      <c r="V73" s="429"/>
      <c r="W73" s="429"/>
      <c r="X73" s="429"/>
      <c r="Y73" s="429"/>
      <c r="Z73" s="429"/>
      <c r="AA73" s="429"/>
      <c r="AB73" s="429"/>
      <c r="AC73" s="429"/>
      <c r="AD73" s="429"/>
      <c r="AE73" s="429"/>
      <c r="AF73" s="429"/>
      <c r="AG73" s="429"/>
      <c r="AH73" s="429"/>
      <c r="AI73" s="429"/>
      <c r="AJ73" s="429"/>
      <c r="AK73" s="429"/>
      <c r="AL73" s="430"/>
    </row>
    <row r="74" spans="1:39" ht="114" customHeight="1" x14ac:dyDescent="0.3">
      <c r="A74" s="343"/>
      <c r="B74" s="388" t="s">
        <v>1071</v>
      </c>
      <c r="C74" s="389"/>
      <c r="D74" s="389"/>
      <c r="E74" s="389"/>
      <c r="F74" s="389"/>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c r="AH74" s="389"/>
      <c r="AI74" s="389"/>
      <c r="AJ74" s="389"/>
      <c r="AK74" s="389"/>
      <c r="AL74" s="389"/>
    </row>
    <row r="75" spans="1:39" ht="14.7" customHeight="1" x14ac:dyDescent="0.3">
      <c r="A75" s="343"/>
      <c r="B75" s="390" t="s">
        <v>707</v>
      </c>
      <c r="C75" s="390"/>
      <c r="D75" s="390"/>
      <c r="E75" s="390"/>
      <c r="F75" s="390"/>
      <c r="G75" s="390"/>
      <c r="H75" s="390"/>
      <c r="I75" s="390"/>
      <c r="J75" s="390"/>
      <c r="K75" s="390"/>
      <c r="L75" s="390"/>
      <c r="M75" s="390"/>
      <c r="N75" s="390"/>
      <c r="O75" s="390"/>
      <c r="P75" s="390"/>
      <c r="Q75" s="390"/>
      <c r="R75" s="390"/>
      <c r="S75" s="386"/>
      <c r="T75" s="387"/>
      <c r="U75" s="387"/>
      <c r="V75" s="387"/>
      <c r="W75" s="387"/>
      <c r="X75" s="387"/>
      <c r="Y75" s="387"/>
      <c r="Z75" s="387"/>
      <c r="AA75" s="387"/>
      <c r="AB75" s="387"/>
      <c r="AC75" s="387"/>
      <c r="AD75" s="387"/>
      <c r="AE75" s="387"/>
      <c r="AF75" s="387"/>
      <c r="AG75" s="387"/>
      <c r="AH75" s="387"/>
      <c r="AI75" s="387"/>
      <c r="AJ75" s="387"/>
      <c r="AK75" s="387"/>
      <c r="AL75" s="387"/>
    </row>
    <row r="76" spans="1:39" ht="43.5" customHeight="1" x14ac:dyDescent="0.3">
      <c r="A76" s="343"/>
      <c r="B76" s="390" t="s">
        <v>710</v>
      </c>
      <c r="C76" s="390"/>
      <c r="D76" s="390"/>
      <c r="E76" s="390"/>
      <c r="F76" s="390"/>
      <c r="G76" s="390"/>
      <c r="H76" s="390"/>
      <c r="I76" s="390"/>
      <c r="J76" s="390"/>
      <c r="K76" s="390"/>
      <c r="L76" s="390"/>
      <c r="M76" s="390"/>
      <c r="N76" s="390"/>
      <c r="O76" s="390"/>
      <c r="P76" s="390"/>
      <c r="Q76" s="390"/>
      <c r="R76" s="390"/>
      <c r="S76" s="386"/>
      <c r="T76" s="387"/>
      <c r="U76" s="387"/>
      <c r="V76" s="387"/>
      <c r="W76" s="387"/>
      <c r="X76" s="387"/>
      <c r="Y76" s="387"/>
      <c r="Z76" s="387"/>
      <c r="AA76" s="387"/>
      <c r="AB76" s="387"/>
      <c r="AC76" s="387"/>
      <c r="AD76" s="387"/>
      <c r="AE76" s="387"/>
      <c r="AF76" s="387"/>
      <c r="AG76" s="387"/>
      <c r="AH76" s="387"/>
      <c r="AI76" s="387"/>
      <c r="AJ76" s="387"/>
      <c r="AK76" s="387"/>
      <c r="AL76" s="387"/>
    </row>
    <row r="77" spans="1:39" ht="59.7" customHeight="1" x14ac:dyDescent="0.3">
      <c r="A77" s="343"/>
      <c r="B77" s="390" t="s">
        <v>709</v>
      </c>
      <c r="C77" s="390"/>
      <c r="D77" s="390"/>
      <c r="E77" s="390"/>
      <c r="F77" s="390"/>
      <c r="G77" s="390"/>
      <c r="H77" s="390"/>
      <c r="I77" s="390"/>
      <c r="J77" s="390"/>
      <c r="K77" s="390"/>
      <c r="L77" s="390"/>
      <c r="M77" s="390"/>
      <c r="N77" s="390"/>
      <c r="O77" s="390"/>
      <c r="P77" s="390"/>
      <c r="Q77" s="390"/>
      <c r="R77" s="390"/>
      <c r="S77" s="386"/>
      <c r="T77" s="387"/>
      <c r="U77" s="387"/>
      <c r="V77" s="387"/>
      <c r="W77" s="387"/>
      <c r="X77" s="387"/>
      <c r="Y77" s="387"/>
      <c r="Z77" s="387"/>
      <c r="AA77" s="387"/>
      <c r="AB77" s="387"/>
      <c r="AC77" s="387"/>
      <c r="AD77" s="387"/>
      <c r="AE77" s="387"/>
      <c r="AF77" s="387"/>
      <c r="AG77" s="387"/>
      <c r="AH77" s="387"/>
      <c r="AI77" s="387"/>
      <c r="AJ77" s="387"/>
      <c r="AK77" s="387"/>
      <c r="AL77" s="387"/>
    </row>
    <row r="78" spans="1:39" ht="17.7" customHeight="1" x14ac:dyDescent="0.3">
      <c r="A78" s="343"/>
      <c r="B78" s="390" t="s">
        <v>708</v>
      </c>
      <c r="C78" s="390"/>
      <c r="D78" s="390"/>
      <c r="E78" s="390"/>
      <c r="F78" s="390"/>
      <c r="G78" s="390"/>
      <c r="H78" s="390"/>
      <c r="I78" s="390"/>
      <c r="J78" s="390"/>
      <c r="K78" s="390"/>
      <c r="L78" s="390"/>
      <c r="M78" s="390"/>
      <c r="N78" s="390"/>
      <c r="O78" s="390"/>
      <c r="P78" s="390"/>
      <c r="Q78" s="390"/>
      <c r="R78" s="390"/>
      <c r="S78" s="386"/>
      <c r="T78" s="387"/>
      <c r="U78" s="387"/>
      <c r="V78" s="387"/>
      <c r="W78" s="387"/>
      <c r="X78" s="387"/>
      <c r="Y78" s="387"/>
      <c r="Z78" s="387"/>
      <c r="AA78" s="387"/>
      <c r="AB78" s="387"/>
      <c r="AC78" s="387"/>
      <c r="AD78" s="387"/>
      <c r="AE78" s="387"/>
      <c r="AF78" s="387"/>
      <c r="AG78" s="387"/>
      <c r="AH78" s="387"/>
      <c r="AI78" s="387"/>
      <c r="AJ78" s="387"/>
      <c r="AK78" s="387"/>
      <c r="AL78" s="387"/>
    </row>
    <row r="79" spans="1:39" ht="28.5" customHeight="1" x14ac:dyDescent="0.3">
      <c r="A79" s="343"/>
      <c r="B79" s="436" t="s">
        <v>888</v>
      </c>
      <c r="C79" s="437"/>
      <c r="D79" s="437"/>
      <c r="E79" s="437"/>
      <c r="F79" s="437"/>
      <c r="G79" s="437"/>
      <c r="H79" s="437"/>
      <c r="I79" s="437"/>
      <c r="J79" s="437"/>
      <c r="K79" s="437"/>
      <c r="L79" s="437"/>
      <c r="M79" s="437"/>
      <c r="N79" s="437"/>
      <c r="O79" s="437"/>
      <c r="P79" s="437"/>
      <c r="Q79" s="437"/>
      <c r="R79" s="438"/>
      <c r="S79" s="428"/>
      <c r="T79" s="429"/>
      <c r="U79" s="429"/>
      <c r="V79" s="429"/>
      <c r="W79" s="429"/>
      <c r="X79" s="429"/>
      <c r="Y79" s="429"/>
      <c r="Z79" s="429"/>
      <c r="AA79" s="429"/>
      <c r="AB79" s="429"/>
      <c r="AC79" s="429"/>
      <c r="AD79" s="429"/>
      <c r="AE79" s="429"/>
      <c r="AF79" s="429"/>
      <c r="AG79" s="429"/>
      <c r="AH79" s="429"/>
      <c r="AI79" s="429"/>
      <c r="AJ79" s="429"/>
      <c r="AK79" s="429"/>
      <c r="AL79" s="430"/>
    </row>
    <row r="80" spans="1:39" ht="71.7" customHeight="1" x14ac:dyDescent="0.3">
      <c r="A80" s="343" t="s">
        <v>640</v>
      </c>
      <c r="B80" s="388" t="s">
        <v>1073</v>
      </c>
      <c r="C80" s="389"/>
      <c r="D80" s="389"/>
      <c r="E80" s="389"/>
      <c r="F80" s="389"/>
      <c r="G80" s="389"/>
      <c r="H80" s="389"/>
      <c r="I80" s="389"/>
      <c r="J80" s="389"/>
      <c r="K80" s="389"/>
      <c r="L80" s="389"/>
      <c r="M80" s="389"/>
      <c r="N80" s="389"/>
      <c r="O80" s="389"/>
      <c r="P80" s="389"/>
      <c r="Q80" s="389"/>
      <c r="R80" s="389"/>
      <c r="S80" s="389"/>
      <c r="T80" s="389"/>
      <c r="U80" s="389"/>
      <c r="V80" s="389"/>
      <c r="W80" s="389"/>
      <c r="X80" s="389"/>
      <c r="Y80" s="389"/>
      <c r="Z80" s="389"/>
      <c r="AA80" s="389"/>
      <c r="AB80" s="389"/>
      <c r="AC80" s="389"/>
      <c r="AD80" s="389"/>
      <c r="AE80" s="389"/>
      <c r="AF80" s="389"/>
      <c r="AG80" s="389"/>
      <c r="AH80" s="389"/>
      <c r="AI80" s="389"/>
      <c r="AJ80" s="389"/>
      <c r="AK80" s="389"/>
      <c r="AL80" s="389"/>
    </row>
    <row r="81" spans="1:39" ht="14.7" customHeight="1" x14ac:dyDescent="0.3">
      <c r="A81" s="343"/>
      <c r="B81" s="389" t="s">
        <v>711</v>
      </c>
      <c r="C81" s="389"/>
      <c r="D81" s="389"/>
      <c r="E81" s="389"/>
      <c r="F81" s="389"/>
      <c r="G81" s="389"/>
      <c r="H81" s="389"/>
      <c r="I81" s="389"/>
      <c r="J81" s="389"/>
      <c r="K81" s="389"/>
      <c r="L81" s="389"/>
      <c r="M81" s="389"/>
      <c r="N81" s="389"/>
      <c r="O81" s="389"/>
      <c r="P81" s="389"/>
      <c r="Q81" s="389"/>
      <c r="R81" s="389"/>
      <c r="S81" s="389"/>
      <c r="T81" s="389"/>
      <c r="U81" s="389"/>
      <c r="V81" s="389"/>
      <c r="W81" s="389"/>
      <c r="X81" s="389"/>
      <c r="Y81" s="389"/>
      <c r="Z81" s="389"/>
      <c r="AA81" s="389"/>
      <c r="AB81" s="414"/>
      <c r="AC81" s="414"/>
      <c r="AD81" s="414"/>
      <c r="AE81" s="414"/>
      <c r="AF81" s="414"/>
      <c r="AG81" s="414"/>
      <c r="AH81" s="414"/>
      <c r="AI81" s="414"/>
      <c r="AJ81" s="414"/>
      <c r="AK81" s="414"/>
      <c r="AL81" s="414"/>
    </row>
    <row r="82" spans="1:39" ht="26.7" customHeight="1" x14ac:dyDescent="0.3">
      <c r="A82" s="343"/>
      <c r="B82" s="389" t="s">
        <v>712</v>
      </c>
      <c r="C82" s="389"/>
      <c r="D82" s="389"/>
      <c r="E82" s="389"/>
      <c r="F82" s="389"/>
      <c r="G82" s="389"/>
      <c r="H82" s="389"/>
      <c r="I82" s="389"/>
      <c r="J82" s="389"/>
      <c r="K82" s="389"/>
      <c r="L82" s="389"/>
      <c r="M82" s="389"/>
      <c r="N82" s="389"/>
      <c r="O82" s="389"/>
      <c r="P82" s="389"/>
      <c r="Q82" s="389"/>
      <c r="R82" s="389"/>
      <c r="S82" s="389"/>
      <c r="T82" s="389"/>
      <c r="U82" s="389"/>
      <c r="V82" s="389"/>
      <c r="W82" s="389"/>
      <c r="X82" s="389"/>
      <c r="Y82" s="389"/>
      <c r="Z82" s="389"/>
      <c r="AA82" s="389"/>
      <c r="AB82" s="414" t="s">
        <v>131</v>
      </c>
      <c r="AC82" s="414"/>
      <c r="AD82" s="414"/>
      <c r="AE82" s="414"/>
      <c r="AF82" s="414"/>
      <c r="AG82" s="414"/>
      <c r="AH82" s="414"/>
      <c r="AI82" s="414"/>
      <c r="AJ82" s="414"/>
      <c r="AK82" s="414"/>
      <c r="AL82" s="414"/>
    </row>
    <row r="83" spans="1:39" ht="27.45" customHeight="1" x14ac:dyDescent="0.3">
      <c r="A83" s="343"/>
      <c r="B83" s="389" t="s">
        <v>713</v>
      </c>
      <c r="C83" s="389"/>
      <c r="D83" s="389"/>
      <c r="E83" s="389"/>
      <c r="F83" s="389"/>
      <c r="G83" s="389"/>
      <c r="H83" s="389"/>
      <c r="I83" s="389"/>
      <c r="J83" s="389"/>
      <c r="K83" s="389"/>
      <c r="L83" s="389"/>
      <c r="M83" s="389"/>
      <c r="N83" s="389"/>
      <c r="O83" s="389"/>
      <c r="P83" s="389"/>
      <c r="Q83" s="389"/>
      <c r="R83" s="389"/>
      <c r="S83" s="389"/>
      <c r="T83" s="389"/>
      <c r="U83" s="389"/>
      <c r="V83" s="389"/>
      <c r="W83" s="389"/>
      <c r="X83" s="389"/>
      <c r="Y83" s="389"/>
      <c r="Z83" s="389"/>
      <c r="AA83" s="389"/>
      <c r="AB83" s="393"/>
      <c r="AC83" s="394"/>
      <c r="AD83" s="394"/>
      <c r="AE83" s="394"/>
      <c r="AF83" s="394"/>
      <c r="AG83" s="394"/>
      <c r="AH83" s="394"/>
      <c r="AI83" s="394"/>
      <c r="AJ83" s="394"/>
      <c r="AK83" s="394"/>
      <c r="AL83" s="394"/>
    </row>
    <row r="84" spans="1:39" ht="28.2" customHeight="1" x14ac:dyDescent="0.3">
      <c r="A84" s="343"/>
      <c r="B84" s="389" t="s">
        <v>714</v>
      </c>
      <c r="C84" s="389"/>
      <c r="D84" s="389"/>
      <c r="E84" s="389"/>
      <c r="F84" s="389"/>
      <c r="G84" s="389"/>
      <c r="H84" s="389"/>
      <c r="I84" s="389"/>
      <c r="J84" s="389"/>
      <c r="K84" s="389"/>
      <c r="L84" s="389"/>
      <c r="M84" s="389"/>
      <c r="N84" s="389"/>
      <c r="O84" s="389"/>
      <c r="P84" s="389"/>
      <c r="Q84" s="389"/>
      <c r="R84" s="389"/>
      <c r="S84" s="389"/>
      <c r="T84" s="389"/>
      <c r="U84" s="389"/>
      <c r="V84" s="389"/>
      <c r="W84" s="389"/>
      <c r="X84" s="389"/>
      <c r="Y84" s="389"/>
      <c r="Z84" s="389"/>
      <c r="AA84" s="389"/>
      <c r="AB84" s="393"/>
      <c r="AC84" s="394"/>
      <c r="AD84" s="394"/>
      <c r="AE84" s="394"/>
      <c r="AF84" s="394"/>
      <c r="AG84" s="394"/>
      <c r="AH84" s="394"/>
      <c r="AI84" s="394"/>
      <c r="AJ84" s="394"/>
      <c r="AK84" s="394"/>
      <c r="AL84" s="394"/>
    </row>
    <row r="85" spans="1:39" ht="43.95" customHeight="1" x14ac:dyDescent="0.25">
      <c r="A85" s="744" t="s">
        <v>802</v>
      </c>
      <c r="B85" s="332" t="s">
        <v>862</v>
      </c>
      <c r="C85" s="332"/>
      <c r="D85" s="332"/>
      <c r="E85" s="332"/>
      <c r="F85" s="332"/>
      <c r="G85" s="332"/>
      <c r="H85" s="332"/>
      <c r="I85" s="332"/>
      <c r="J85" s="332"/>
      <c r="K85" s="332"/>
      <c r="L85" s="332"/>
      <c r="M85" s="332"/>
      <c r="N85" s="332"/>
      <c r="O85" s="332"/>
      <c r="P85" s="332"/>
      <c r="Q85" s="332"/>
      <c r="R85" s="332"/>
      <c r="S85" s="332"/>
      <c r="T85" s="332"/>
      <c r="U85" s="332"/>
      <c r="V85" s="332"/>
      <c r="W85" s="332"/>
      <c r="X85" s="332"/>
      <c r="Y85" s="332"/>
      <c r="Z85" s="332"/>
      <c r="AA85" s="332"/>
      <c r="AB85" s="332"/>
      <c r="AC85" s="332"/>
      <c r="AD85" s="332"/>
      <c r="AE85" s="332"/>
      <c r="AF85" s="332"/>
      <c r="AG85" s="332"/>
      <c r="AH85" s="332"/>
      <c r="AI85" s="332"/>
      <c r="AJ85" s="332"/>
      <c r="AK85" s="332"/>
      <c r="AL85" s="332"/>
    </row>
    <row r="86" spans="1:39" x14ac:dyDescent="0.3">
      <c r="A86" s="326"/>
      <c r="B86" s="568"/>
      <c r="C86" s="568"/>
      <c r="D86" s="568"/>
      <c r="E86" s="568"/>
      <c r="F86" s="568"/>
      <c r="G86" s="568"/>
      <c r="H86" s="568"/>
      <c r="I86" s="568"/>
      <c r="J86" s="748"/>
      <c r="K86" s="749"/>
      <c r="L86" s="749"/>
      <c r="M86" s="749"/>
      <c r="N86" s="749"/>
      <c r="O86" s="749"/>
      <c r="P86" s="749"/>
      <c r="Q86" s="749"/>
      <c r="R86" s="749"/>
      <c r="S86" s="749"/>
      <c r="T86" s="749"/>
      <c r="U86" s="749"/>
      <c r="V86" s="749"/>
      <c r="W86" s="750"/>
      <c r="X86" s="748"/>
      <c r="Y86" s="749"/>
      <c r="Z86" s="749"/>
      <c r="AA86" s="749"/>
      <c r="AB86" s="749"/>
      <c r="AC86" s="749"/>
      <c r="AD86" s="749"/>
      <c r="AE86" s="749"/>
      <c r="AF86" s="749"/>
      <c r="AG86" s="749"/>
      <c r="AH86" s="749"/>
      <c r="AI86" s="749"/>
      <c r="AJ86" s="749"/>
      <c r="AK86" s="568"/>
      <c r="AL86" s="568"/>
      <c r="AM86"/>
    </row>
    <row r="87" spans="1:39" x14ac:dyDescent="0.3">
      <c r="A87" s="326"/>
      <c r="B87" s="568"/>
      <c r="C87" s="568"/>
      <c r="D87" s="568"/>
      <c r="E87" s="568"/>
      <c r="F87" s="568"/>
      <c r="G87" s="568"/>
      <c r="H87" s="568"/>
      <c r="I87" s="568"/>
      <c r="J87" s="635"/>
      <c r="K87" s="636"/>
      <c r="L87" s="636"/>
      <c r="M87" s="636"/>
      <c r="N87" s="636"/>
      <c r="O87" s="636"/>
      <c r="P87" s="636"/>
      <c r="Q87" s="636"/>
      <c r="R87" s="636"/>
      <c r="S87" s="636"/>
      <c r="T87" s="636"/>
      <c r="U87" s="636"/>
      <c r="V87" s="636"/>
      <c r="W87" s="637"/>
      <c r="X87" s="745"/>
      <c r="Y87" s="746"/>
      <c r="Z87" s="746"/>
      <c r="AA87" s="746"/>
      <c r="AB87" s="746"/>
      <c r="AC87" s="746"/>
      <c r="AD87" s="746"/>
      <c r="AE87" s="746"/>
      <c r="AF87" s="746"/>
      <c r="AG87" s="746"/>
      <c r="AH87" s="746"/>
      <c r="AI87" s="746"/>
      <c r="AJ87" s="747"/>
      <c r="AK87" s="745"/>
      <c r="AL87" s="747"/>
    </row>
    <row r="88" spans="1:39" x14ac:dyDescent="0.3">
      <c r="A88" s="326"/>
      <c r="B88" s="568"/>
      <c r="C88" s="568"/>
      <c r="D88" s="568"/>
      <c r="E88" s="568"/>
      <c r="F88" s="568"/>
      <c r="G88" s="568"/>
      <c r="H88" s="568"/>
      <c r="I88" s="568"/>
      <c r="J88" s="635"/>
      <c r="K88" s="636"/>
      <c r="L88" s="636"/>
      <c r="M88" s="636"/>
      <c r="N88" s="636"/>
      <c r="O88" s="636"/>
      <c r="P88" s="636"/>
      <c r="Q88" s="636"/>
      <c r="R88" s="636"/>
      <c r="S88" s="636"/>
      <c r="T88" s="636"/>
      <c r="U88" s="636"/>
      <c r="V88" s="636"/>
      <c r="W88" s="637"/>
      <c r="X88" s="745"/>
      <c r="Y88" s="746"/>
      <c r="Z88" s="746"/>
      <c r="AA88" s="746"/>
      <c r="AB88" s="746"/>
      <c r="AC88" s="746"/>
      <c r="AD88" s="746"/>
      <c r="AE88" s="746"/>
      <c r="AF88" s="746"/>
      <c r="AG88" s="746"/>
      <c r="AH88" s="746"/>
      <c r="AI88" s="746"/>
      <c r="AJ88" s="747"/>
      <c r="AK88" s="745"/>
      <c r="AL88" s="747"/>
    </row>
    <row r="89" spans="1:39" ht="38.700000000000003" customHeight="1" x14ac:dyDescent="0.25">
      <c r="A89" s="744" t="s">
        <v>803</v>
      </c>
      <c r="B89" s="332" t="s">
        <v>1078</v>
      </c>
      <c r="C89" s="332"/>
      <c r="D89" s="332"/>
      <c r="E89" s="332"/>
      <c r="F89" s="332"/>
      <c r="G89" s="332"/>
      <c r="H89" s="332"/>
      <c r="I89" s="332"/>
      <c r="J89" s="332"/>
      <c r="K89" s="332"/>
      <c r="L89" s="332"/>
      <c r="M89" s="332"/>
      <c r="N89" s="332"/>
      <c r="O89" s="332"/>
      <c r="P89" s="332"/>
      <c r="Q89" s="332"/>
      <c r="R89" s="332"/>
      <c r="S89" s="332"/>
      <c r="T89" s="332"/>
      <c r="U89" s="332"/>
      <c r="V89" s="332"/>
      <c r="W89" s="332"/>
      <c r="X89" s="332"/>
      <c r="Y89" s="332"/>
      <c r="Z89" s="332"/>
      <c r="AA89" s="332"/>
      <c r="AB89" s="332"/>
      <c r="AC89" s="332"/>
      <c r="AD89" s="332"/>
      <c r="AE89" s="332"/>
      <c r="AF89" s="332"/>
      <c r="AG89" s="332"/>
      <c r="AH89" s="332"/>
      <c r="AI89" s="332"/>
      <c r="AJ89" s="332"/>
      <c r="AK89" s="332"/>
      <c r="AL89" s="332"/>
    </row>
    <row r="90" spans="1:39" x14ac:dyDescent="0.25">
      <c r="A90" s="326"/>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3"/>
      <c r="AG90" s="443"/>
      <c r="AH90" s="443"/>
      <c r="AI90" s="443"/>
      <c r="AJ90" s="443"/>
      <c r="AK90" s="443"/>
      <c r="AL90" s="443"/>
    </row>
    <row r="91" spans="1:39" x14ac:dyDescent="0.25">
      <c r="A91" s="744" t="s">
        <v>805</v>
      </c>
      <c r="B91" s="332" t="s">
        <v>804</v>
      </c>
      <c r="C91" s="332"/>
      <c r="D91" s="332"/>
      <c r="E91" s="332"/>
      <c r="F91" s="332"/>
      <c r="G91" s="332"/>
      <c r="H91" s="332"/>
      <c r="I91" s="332"/>
      <c r="J91" s="332"/>
      <c r="K91" s="332"/>
      <c r="L91" s="332"/>
      <c r="M91" s="332"/>
      <c r="N91" s="332"/>
      <c r="O91" s="332"/>
      <c r="P91" s="332"/>
      <c r="Q91" s="332"/>
      <c r="R91" s="332"/>
      <c r="S91" s="332"/>
      <c r="T91" s="332"/>
      <c r="U91" s="332"/>
      <c r="V91" s="332"/>
      <c r="W91" s="332"/>
      <c r="X91" s="332"/>
      <c r="Y91" s="332"/>
      <c r="Z91" s="332"/>
      <c r="AA91" s="332"/>
      <c r="AB91" s="332"/>
      <c r="AC91" s="332"/>
      <c r="AD91" s="332"/>
      <c r="AE91" s="332"/>
      <c r="AF91" s="332"/>
      <c r="AG91" s="332"/>
      <c r="AH91" s="332"/>
      <c r="AI91" s="332"/>
      <c r="AJ91" s="332"/>
      <c r="AK91" s="332"/>
      <c r="AL91" s="332"/>
    </row>
    <row r="92" spans="1:39" ht="55.5" customHeight="1" x14ac:dyDescent="0.3">
      <c r="A92" s="752"/>
      <c r="B92" s="751" t="s">
        <v>868</v>
      </c>
      <c r="C92" s="653"/>
      <c r="D92" s="653"/>
      <c r="E92" s="653"/>
      <c r="F92" s="653"/>
      <c r="G92" s="653"/>
      <c r="H92" s="653"/>
      <c r="I92" s="653"/>
      <c r="J92" s="653"/>
      <c r="K92" s="653"/>
      <c r="L92" s="653"/>
      <c r="M92" s="653"/>
      <c r="N92" s="653"/>
      <c r="O92" s="653"/>
      <c r="P92" s="653"/>
      <c r="Q92" s="653"/>
      <c r="R92" s="653"/>
      <c r="S92" s="653"/>
      <c r="T92" s="653"/>
      <c r="U92" s="653"/>
      <c r="V92" s="653"/>
      <c r="W92" s="653"/>
      <c r="X92" s="653"/>
      <c r="Y92" s="653"/>
      <c r="Z92" s="653"/>
      <c r="AA92" s="653"/>
      <c r="AB92" s="653"/>
      <c r="AC92" s="653"/>
      <c r="AD92" s="653"/>
      <c r="AE92" s="653"/>
      <c r="AF92" s="653"/>
      <c r="AG92" s="653"/>
      <c r="AH92" s="653"/>
      <c r="AI92" s="653"/>
      <c r="AJ92" s="403"/>
      <c r="AK92" s="403"/>
      <c r="AL92" s="403"/>
    </row>
    <row r="93" spans="1:39" ht="70.5" customHeight="1" x14ac:dyDescent="0.3">
      <c r="A93" s="752"/>
      <c r="B93" s="751" t="s">
        <v>1079</v>
      </c>
      <c r="C93" s="653"/>
      <c r="D93" s="653"/>
      <c r="E93" s="653"/>
      <c r="F93" s="653"/>
      <c r="G93" s="653"/>
      <c r="H93" s="653"/>
      <c r="I93" s="653"/>
      <c r="J93" s="653"/>
      <c r="K93" s="653"/>
      <c r="L93" s="653"/>
      <c r="M93" s="653"/>
      <c r="N93" s="653"/>
      <c r="O93" s="653"/>
      <c r="P93" s="653"/>
      <c r="Q93" s="653"/>
      <c r="R93" s="653"/>
      <c r="S93" s="653"/>
      <c r="T93" s="653"/>
      <c r="U93" s="653"/>
      <c r="V93" s="653"/>
      <c r="W93" s="653"/>
      <c r="X93" s="653"/>
      <c r="Y93" s="653"/>
      <c r="Z93" s="653"/>
      <c r="AA93" s="653"/>
      <c r="AB93" s="653"/>
      <c r="AC93" s="653"/>
      <c r="AD93" s="653"/>
      <c r="AE93" s="653"/>
      <c r="AF93" s="653"/>
      <c r="AG93" s="653"/>
      <c r="AH93" s="653"/>
      <c r="AI93" s="653"/>
      <c r="AJ93" s="403"/>
      <c r="AK93" s="403"/>
      <c r="AL93" s="403"/>
    </row>
    <row r="94" spans="1:39" x14ac:dyDescent="0.3">
      <c r="A94" s="752"/>
      <c r="B94" s="756" t="s">
        <v>89</v>
      </c>
      <c r="C94" s="756"/>
      <c r="D94" s="756"/>
      <c r="E94" s="756"/>
      <c r="F94" s="756"/>
      <c r="G94" s="756"/>
      <c r="H94" s="756"/>
      <c r="I94" s="756"/>
      <c r="J94" s="756"/>
      <c r="K94" s="756"/>
      <c r="L94" s="756"/>
      <c r="M94" s="756"/>
      <c r="N94" s="756"/>
      <c r="O94" s="756"/>
      <c r="P94" s="756"/>
      <c r="Q94" s="756"/>
      <c r="R94" s="756"/>
      <c r="S94" s="756"/>
      <c r="T94" s="756"/>
      <c r="U94" s="756"/>
      <c r="V94" s="756"/>
      <c r="W94" s="756"/>
      <c r="X94" s="756"/>
      <c r="Y94" s="756"/>
      <c r="Z94" s="756"/>
      <c r="AA94" s="756"/>
      <c r="AB94" s="756"/>
      <c r="AC94" s="756"/>
      <c r="AD94" s="756"/>
      <c r="AE94" s="756"/>
      <c r="AF94" s="756"/>
      <c r="AG94" s="756"/>
      <c r="AH94" s="756"/>
      <c r="AI94" s="756"/>
      <c r="AJ94" s="422">
        <f>ROUNDDOWN(50%*AJ92,2)+AJ93</f>
        <v>0</v>
      </c>
      <c r="AK94" s="422"/>
      <c r="AL94" s="422"/>
    </row>
    <row r="95" spans="1:39" x14ac:dyDescent="0.3">
      <c r="A95" s="150" t="s">
        <v>69</v>
      </c>
      <c r="B95" s="328" t="s">
        <v>70</v>
      </c>
      <c r="C95" s="328"/>
      <c r="D95" s="328"/>
      <c r="E95" s="328"/>
      <c r="F95" s="328"/>
      <c r="G95" s="328"/>
      <c r="H95" s="328"/>
      <c r="I95" s="328"/>
      <c r="J95" s="328"/>
      <c r="K95" s="328"/>
      <c r="L95" s="328"/>
      <c r="M95" s="328"/>
      <c r="N95" s="328"/>
      <c r="O95" s="328"/>
      <c r="P95" s="328"/>
      <c r="Q95" s="328"/>
      <c r="R95" s="328"/>
      <c r="S95" s="328"/>
      <c r="T95" s="328"/>
      <c r="U95" s="328"/>
      <c r="V95" s="328"/>
      <c r="W95" s="328"/>
      <c r="X95" s="328"/>
      <c r="Y95" s="328"/>
      <c r="Z95" s="328"/>
      <c r="AA95" s="328"/>
      <c r="AB95" s="328"/>
      <c r="AC95" s="328"/>
      <c r="AD95" s="328"/>
      <c r="AE95" s="328"/>
      <c r="AF95" s="328"/>
      <c r="AG95" s="328"/>
      <c r="AH95" s="328"/>
      <c r="AI95" s="328"/>
      <c r="AJ95" s="328"/>
      <c r="AK95" s="328"/>
      <c r="AL95" s="328"/>
    </row>
    <row r="96" spans="1:39" ht="31.2" customHeight="1" x14ac:dyDescent="0.25">
      <c r="A96" s="508"/>
      <c r="B96" s="508"/>
      <c r="C96" s="508"/>
      <c r="D96" s="508"/>
      <c r="E96" s="508"/>
      <c r="F96" s="508"/>
      <c r="G96" s="508"/>
      <c r="H96" s="508"/>
      <c r="I96" s="508"/>
      <c r="J96" s="508"/>
      <c r="K96" s="508"/>
      <c r="L96" s="508"/>
      <c r="M96" s="508"/>
      <c r="N96" s="508"/>
      <c r="O96" s="508"/>
      <c r="P96" s="508"/>
      <c r="Q96" s="508"/>
      <c r="R96" s="508"/>
      <c r="S96" s="508"/>
      <c r="T96" s="508"/>
      <c r="U96" s="508"/>
      <c r="V96" s="508"/>
      <c r="W96" s="508"/>
      <c r="X96" s="508"/>
      <c r="Y96" s="508"/>
      <c r="Z96" s="508"/>
      <c r="AA96" s="508"/>
      <c r="AB96" s="508"/>
      <c r="AC96" s="508"/>
      <c r="AD96" s="508"/>
      <c r="AE96" s="508"/>
      <c r="AF96" s="508"/>
      <c r="AG96" s="508"/>
      <c r="AH96" s="508"/>
      <c r="AI96" s="508"/>
      <c r="AJ96" s="508"/>
      <c r="AK96" s="508"/>
      <c r="AL96" s="508"/>
    </row>
    <row r="97" spans="1:47" s="64" customFormat="1" x14ac:dyDescent="0.3">
      <c r="A97" s="150" t="s">
        <v>90</v>
      </c>
      <c r="B97" s="328" t="s">
        <v>674</v>
      </c>
      <c r="C97" s="328"/>
      <c r="D97" s="328"/>
      <c r="E97" s="328"/>
      <c r="F97" s="328"/>
      <c r="G97" s="328"/>
      <c r="H97" s="328"/>
      <c r="I97" s="328"/>
      <c r="J97" s="328"/>
      <c r="K97" s="328"/>
      <c r="L97" s="328"/>
      <c r="M97" s="328"/>
      <c r="N97" s="328"/>
      <c r="O97" s="328"/>
      <c r="P97" s="328"/>
      <c r="Q97" s="328"/>
      <c r="R97" s="328"/>
      <c r="S97" s="328"/>
      <c r="T97" s="328"/>
      <c r="U97" s="328"/>
      <c r="V97" s="328"/>
      <c r="W97" s="328"/>
      <c r="X97" s="328"/>
      <c r="Y97" s="328"/>
      <c r="Z97" s="328"/>
      <c r="AA97" s="328"/>
      <c r="AB97" s="328"/>
      <c r="AC97" s="328"/>
      <c r="AD97" s="328"/>
      <c r="AE97" s="328"/>
      <c r="AF97" s="328"/>
      <c r="AG97" s="328"/>
      <c r="AH97" s="328"/>
      <c r="AI97" s="328"/>
      <c r="AJ97" s="328"/>
      <c r="AK97" s="328"/>
      <c r="AL97" s="328"/>
      <c r="AM97" s="102"/>
    </row>
    <row r="98" spans="1:47" s="64" customFormat="1" ht="72.45" customHeight="1" x14ac:dyDescent="0.25">
      <c r="A98" s="714" t="s">
        <v>908</v>
      </c>
      <c r="B98" s="714"/>
      <c r="C98" s="714"/>
      <c r="D98" s="714"/>
      <c r="E98" s="714"/>
      <c r="F98" s="714"/>
      <c r="G98" s="714"/>
      <c r="H98" s="714"/>
      <c r="I98" s="714"/>
      <c r="J98" s="714"/>
      <c r="K98" s="714"/>
      <c r="L98" s="714"/>
      <c r="M98" s="714"/>
      <c r="N98" s="714"/>
      <c r="O98" s="714"/>
      <c r="P98" s="714"/>
      <c r="Q98" s="714"/>
      <c r="R98" s="714"/>
      <c r="S98" s="714"/>
      <c r="T98" s="714"/>
      <c r="U98" s="714"/>
      <c r="V98" s="714"/>
      <c r="W98" s="714"/>
      <c r="X98" s="714"/>
      <c r="Y98" s="714"/>
      <c r="Z98" s="714"/>
      <c r="AA98" s="714"/>
      <c r="AB98" s="714"/>
      <c r="AC98" s="714"/>
      <c r="AD98" s="714"/>
      <c r="AE98" s="714"/>
      <c r="AF98" s="714"/>
      <c r="AG98" s="714"/>
      <c r="AH98" s="714"/>
      <c r="AI98" s="714"/>
      <c r="AJ98" s="714"/>
      <c r="AK98" s="714"/>
      <c r="AL98" s="714"/>
      <c r="AM98" s="102"/>
    </row>
    <row r="99" spans="1:47" ht="55.2" customHeight="1" x14ac:dyDescent="0.25">
      <c r="A99" s="508"/>
      <c r="B99" s="508"/>
      <c r="C99" s="508"/>
      <c r="D99" s="508"/>
      <c r="E99" s="508"/>
      <c r="F99" s="508"/>
      <c r="G99" s="508"/>
      <c r="H99" s="508"/>
      <c r="I99" s="508"/>
      <c r="J99" s="508"/>
      <c r="K99" s="508"/>
      <c r="L99" s="508"/>
      <c r="M99" s="508"/>
      <c r="N99" s="508"/>
      <c r="O99" s="508"/>
      <c r="P99" s="508"/>
      <c r="Q99" s="508"/>
      <c r="R99" s="508"/>
      <c r="S99" s="508"/>
      <c r="T99" s="508"/>
      <c r="U99" s="508"/>
      <c r="V99" s="508"/>
      <c r="W99" s="508"/>
      <c r="X99" s="508"/>
      <c r="Y99" s="508"/>
      <c r="Z99" s="508"/>
      <c r="AA99" s="508"/>
      <c r="AB99" s="508"/>
      <c r="AC99" s="508"/>
      <c r="AD99" s="508"/>
      <c r="AE99" s="508"/>
      <c r="AF99" s="508"/>
      <c r="AG99" s="508"/>
      <c r="AH99" s="508"/>
      <c r="AI99" s="508"/>
      <c r="AJ99" s="508"/>
      <c r="AK99" s="508"/>
      <c r="AL99" s="508"/>
    </row>
    <row r="100" spans="1:47" ht="57" customHeight="1" x14ac:dyDescent="0.25">
      <c r="A100" s="753"/>
      <c r="B100" s="754"/>
      <c r="C100" s="754"/>
      <c r="D100" s="754"/>
      <c r="E100" s="754"/>
      <c r="F100" s="754"/>
      <c r="G100" s="754"/>
      <c r="H100" s="754"/>
      <c r="I100" s="754"/>
      <c r="J100" s="754"/>
      <c r="K100" s="754"/>
      <c r="L100" s="754"/>
      <c r="M100" s="754"/>
      <c r="N100" s="754"/>
      <c r="O100" s="754"/>
      <c r="P100" s="754"/>
      <c r="Q100" s="754"/>
      <c r="R100" s="754"/>
      <c r="S100" s="754"/>
      <c r="T100" s="754"/>
      <c r="U100" s="754"/>
      <c r="V100" s="754"/>
      <c r="W100" s="754"/>
      <c r="X100" s="754"/>
      <c r="Y100" s="754"/>
      <c r="Z100" s="754"/>
      <c r="AA100" s="754"/>
      <c r="AB100" s="754"/>
      <c r="AC100" s="754"/>
      <c r="AD100" s="754"/>
      <c r="AE100" s="754"/>
      <c r="AF100" s="754"/>
      <c r="AG100" s="754"/>
      <c r="AH100" s="754"/>
      <c r="AI100" s="754"/>
      <c r="AJ100" s="754"/>
      <c r="AK100" s="754"/>
      <c r="AL100" s="755"/>
    </row>
    <row r="101" spans="1:47" ht="46.95" customHeight="1" x14ac:dyDescent="0.25">
      <c r="A101" s="508"/>
      <c r="B101" s="508"/>
      <c r="C101" s="508"/>
      <c r="D101" s="508"/>
      <c r="E101" s="508"/>
      <c r="F101" s="508"/>
      <c r="G101" s="508"/>
      <c r="H101" s="508"/>
      <c r="I101" s="508"/>
      <c r="J101" s="508"/>
      <c r="K101" s="508"/>
      <c r="L101" s="508"/>
      <c r="M101" s="508"/>
      <c r="N101" s="508"/>
      <c r="O101" s="508"/>
      <c r="P101" s="508"/>
      <c r="Q101" s="508"/>
      <c r="R101" s="508"/>
      <c r="S101" s="508"/>
      <c r="T101" s="508"/>
      <c r="U101" s="508"/>
      <c r="V101" s="508"/>
      <c r="W101" s="508"/>
      <c r="X101" s="508"/>
      <c r="Y101" s="508"/>
      <c r="Z101" s="508"/>
      <c r="AA101" s="508"/>
      <c r="AB101" s="508"/>
      <c r="AC101" s="508"/>
      <c r="AD101" s="508"/>
      <c r="AE101" s="508"/>
      <c r="AF101" s="508"/>
      <c r="AG101" s="508"/>
      <c r="AH101" s="508"/>
      <c r="AI101" s="508"/>
      <c r="AJ101" s="508"/>
      <c r="AK101" s="508"/>
      <c r="AL101" s="508"/>
    </row>
    <row r="102" spans="1:47" ht="58.95" customHeight="1" x14ac:dyDescent="0.25">
      <c r="A102" s="753"/>
      <c r="B102" s="754"/>
      <c r="C102" s="754"/>
      <c r="D102" s="754"/>
      <c r="E102" s="754"/>
      <c r="F102" s="754"/>
      <c r="G102" s="754"/>
      <c r="H102" s="754"/>
      <c r="I102" s="754"/>
      <c r="J102" s="754"/>
      <c r="K102" s="754"/>
      <c r="L102" s="754"/>
      <c r="M102" s="754"/>
      <c r="N102" s="754"/>
      <c r="O102" s="754"/>
      <c r="P102" s="754"/>
      <c r="Q102" s="754"/>
      <c r="R102" s="754"/>
      <c r="S102" s="754"/>
      <c r="T102" s="754"/>
      <c r="U102" s="754"/>
      <c r="V102" s="754"/>
      <c r="W102" s="754"/>
      <c r="X102" s="754"/>
      <c r="Y102" s="754"/>
      <c r="Z102" s="754"/>
      <c r="AA102" s="754"/>
      <c r="AB102" s="754"/>
      <c r="AC102" s="754"/>
      <c r="AD102" s="754"/>
      <c r="AE102" s="754"/>
      <c r="AF102" s="754"/>
      <c r="AG102" s="754"/>
      <c r="AH102" s="754"/>
      <c r="AI102" s="754"/>
      <c r="AJ102" s="754"/>
      <c r="AK102" s="754"/>
      <c r="AL102" s="755"/>
    </row>
    <row r="103" spans="1:47" x14ac:dyDescent="0.25">
      <c r="A103" s="149" t="s">
        <v>91</v>
      </c>
      <c r="B103" s="351" t="s">
        <v>1108</v>
      </c>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119"/>
    </row>
    <row r="104" spans="1:47" ht="29.7" customHeight="1" x14ac:dyDescent="0.25">
      <c r="A104" s="758" t="s">
        <v>807</v>
      </c>
      <c r="B104" s="505"/>
      <c r="C104" s="505"/>
      <c r="D104" s="505"/>
      <c r="E104" s="505"/>
      <c r="F104" s="505"/>
      <c r="G104" s="505"/>
      <c r="H104" s="505"/>
      <c r="I104" s="505"/>
      <c r="J104" s="505"/>
      <c r="K104" s="505"/>
      <c r="L104" s="505"/>
      <c r="M104" s="505"/>
      <c r="N104" s="505"/>
      <c r="O104" s="505"/>
      <c r="P104" s="505"/>
      <c r="Q104" s="505"/>
      <c r="R104" s="505"/>
      <c r="S104" s="505"/>
      <c r="T104" s="505"/>
      <c r="U104" s="505"/>
      <c r="V104" s="505"/>
      <c r="W104" s="505"/>
      <c r="X104" s="505"/>
      <c r="Y104" s="505"/>
      <c r="Z104" s="505"/>
      <c r="AA104" s="505"/>
      <c r="AB104" s="505"/>
      <c r="AC104" s="505"/>
      <c r="AD104" s="505"/>
      <c r="AE104" s="505"/>
      <c r="AF104" s="505"/>
      <c r="AG104" s="505"/>
      <c r="AH104" s="505"/>
      <c r="AI104" s="505"/>
      <c r="AJ104" s="505"/>
      <c r="AK104" s="505"/>
      <c r="AL104" s="505"/>
      <c r="AM104" s="335"/>
      <c r="AN104" s="335"/>
      <c r="AO104" s="335"/>
      <c r="AP104" s="335"/>
      <c r="AQ104" s="335"/>
      <c r="AR104" s="335"/>
      <c r="AS104" s="335"/>
      <c r="AT104" s="335"/>
      <c r="AU104" s="335"/>
    </row>
    <row r="105" spans="1:47" x14ac:dyDescent="0.25">
      <c r="A105" s="328" t="s">
        <v>172</v>
      </c>
      <c r="B105" s="328"/>
      <c r="C105" s="328"/>
      <c r="D105" s="328"/>
      <c r="E105" s="328"/>
      <c r="F105" s="328"/>
      <c r="G105" s="328"/>
      <c r="H105" s="328"/>
      <c r="I105" s="328"/>
      <c r="J105" s="328"/>
      <c r="K105" s="328"/>
      <c r="L105" s="328"/>
      <c r="M105" s="328"/>
      <c r="N105" s="328"/>
      <c r="O105" s="328"/>
      <c r="P105" s="328"/>
      <c r="Q105" s="328"/>
      <c r="R105" s="328"/>
      <c r="S105" s="328"/>
      <c r="T105" s="328"/>
      <c r="U105" s="328"/>
      <c r="V105" s="328"/>
      <c r="W105" s="328"/>
      <c r="X105" s="328"/>
      <c r="Y105" s="328"/>
      <c r="Z105" s="328"/>
      <c r="AA105" s="328"/>
      <c r="AB105" s="328"/>
      <c r="AC105" s="328"/>
      <c r="AD105" s="328"/>
      <c r="AE105" s="328"/>
      <c r="AF105" s="328"/>
      <c r="AG105" s="328"/>
      <c r="AH105" s="328"/>
      <c r="AI105" s="328"/>
      <c r="AJ105" s="328"/>
      <c r="AK105" s="328"/>
      <c r="AL105" s="328"/>
      <c r="AM105" s="335"/>
      <c r="AN105" s="335"/>
      <c r="AO105" s="335"/>
      <c r="AP105" s="335"/>
      <c r="AQ105" s="335"/>
      <c r="AR105" s="335"/>
      <c r="AS105" s="335"/>
      <c r="AT105" s="335"/>
      <c r="AU105" s="335"/>
    </row>
    <row r="106" spans="1:47" x14ac:dyDescent="0.25">
      <c r="A106" s="415"/>
      <c r="B106" s="416"/>
      <c r="C106" s="416"/>
      <c r="D106" s="416"/>
      <c r="E106" s="416"/>
      <c r="F106" s="416"/>
      <c r="G106" s="416"/>
      <c r="H106" s="416"/>
      <c r="I106" s="416"/>
      <c r="J106" s="416"/>
      <c r="K106" s="416"/>
      <c r="L106" s="416"/>
      <c r="M106" s="416"/>
      <c r="N106" s="416"/>
      <c r="O106" s="416"/>
      <c r="P106" s="416"/>
      <c r="Q106" s="416"/>
      <c r="R106" s="416"/>
      <c r="S106" s="416"/>
      <c r="T106" s="416"/>
      <c r="U106" s="416"/>
      <c r="V106" s="416"/>
      <c r="W106" s="416"/>
      <c r="X106" s="416"/>
      <c r="Y106" s="416"/>
      <c r="Z106" s="416"/>
      <c r="AA106" s="416"/>
      <c r="AB106" s="416"/>
      <c r="AC106" s="416"/>
      <c r="AD106" s="416"/>
      <c r="AE106" s="416"/>
      <c r="AF106" s="416"/>
      <c r="AG106" s="416"/>
      <c r="AH106" s="416"/>
      <c r="AI106" s="416"/>
      <c r="AJ106" s="416"/>
      <c r="AK106" s="416"/>
      <c r="AL106" s="417"/>
    </row>
    <row r="107" spans="1:47" ht="28.95" customHeight="1" x14ac:dyDescent="0.25">
      <c r="A107" s="759" t="s">
        <v>919</v>
      </c>
      <c r="B107" s="760"/>
      <c r="C107" s="760"/>
      <c r="D107" s="760"/>
      <c r="E107" s="760"/>
      <c r="F107" s="760"/>
      <c r="G107" s="760"/>
      <c r="H107" s="760"/>
      <c r="I107" s="760"/>
      <c r="J107" s="760"/>
      <c r="K107" s="760"/>
      <c r="L107" s="760"/>
      <c r="M107" s="760"/>
      <c r="N107" s="760"/>
      <c r="O107" s="760"/>
      <c r="P107" s="760"/>
      <c r="Q107" s="760"/>
      <c r="R107" s="760"/>
      <c r="S107" s="760"/>
      <c r="T107" s="760"/>
      <c r="U107" s="760"/>
      <c r="V107" s="760"/>
      <c r="W107" s="760"/>
      <c r="X107" s="760"/>
      <c r="Y107" s="760"/>
      <c r="Z107" s="760"/>
      <c r="AA107" s="760"/>
      <c r="AB107" s="760"/>
      <c r="AC107" s="760"/>
      <c r="AD107" s="760"/>
      <c r="AE107" s="760"/>
      <c r="AF107" s="760"/>
      <c r="AG107" s="760"/>
      <c r="AH107" s="760"/>
      <c r="AI107" s="760"/>
      <c r="AJ107" s="760"/>
      <c r="AK107" s="760"/>
      <c r="AL107" s="760"/>
    </row>
    <row r="108" spans="1:47" x14ac:dyDescent="0.25">
      <c r="A108" s="415"/>
      <c r="B108" s="416"/>
      <c r="C108" s="416"/>
      <c r="D108" s="416"/>
      <c r="E108" s="416"/>
      <c r="F108" s="416"/>
      <c r="G108" s="416"/>
      <c r="H108" s="416"/>
      <c r="I108" s="416"/>
      <c r="J108" s="416"/>
      <c r="K108" s="416"/>
      <c r="L108" s="416"/>
      <c r="M108" s="416"/>
      <c r="N108" s="416"/>
      <c r="O108" s="416"/>
      <c r="P108" s="416"/>
      <c r="Q108" s="416"/>
      <c r="R108" s="416"/>
      <c r="S108" s="416"/>
      <c r="T108" s="416"/>
      <c r="U108" s="416"/>
      <c r="V108" s="416"/>
      <c r="W108" s="416"/>
      <c r="X108" s="416"/>
      <c r="Y108" s="416"/>
      <c r="Z108" s="416"/>
      <c r="AA108" s="416"/>
      <c r="AB108" s="416"/>
      <c r="AC108" s="416"/>
      <c r="AD108" s="416"/>
      <c r="AE108" s="416"/>
      <c r="AF108" s="416"/>
      <c r="AG108" s="416"/>
      <c r="AH108" s="416"/>
      <c r="AI108" s="416"/>
      <c r="AJ108" s="416"/>
      <c r="AK108" s="416"/>
      <c r="AL108" s="417"/>
    </row>
    <row r="109" spans="1:47" x14ac:dyDescent="0.25">
      <c r="A109" s="761" t="s">
        <v>920</v>
      </c>
      <c r="B109" s="754"/>
      <c r="C109" s="754"/>
      <c r="D109" s="754"/>
      <c r="E109" s="754"/>
      <c r="F109" s="754"/>
      <c r="G109" s="754"/>
      <c r="H109" s="754"/>
      <c r="I109" s="754"/>
      <c r="J109" s="754"/>
      <c r="K109" s="754"/>
      <c r="L109" s="754"/>
      <c r="M109" s="754"/>
      <c r="N109" s="754"/>
      <c r="O109" s="754"/>
      <c r="P109" s="754"/>
      <c r="Q109" s="754"/>
      <c r="R109" s="754"/>
      <c r="S109" s="754"/>
      <c r="T109" s="754"/>
      <c r="U109" s="754"/>
      <c r="V109" s="754"/>
      <c r="W109" s="754"/>
      <c r="X109" s="754"/>
      <c r="Y109" s="754"/>
      <c r="Z109" s="754"/>
      <c r="AA109" s="754"/>
      <c r="AB109" s="754"/>
      <c r="AC109" s="754"/>
      <c r="AD109" s="754"/>
      <c r="AE109" s="754"/>
      <c r="AF109" s="754"/>
      <c r="AG109" s="754"/>
      <c r="AH109" s="754"/>
      <c r="AI109" s="754"/>
      <c r="AJ109" s="754"/>
      <c r="AK109" s="754"/>
      <c r="AL109" s="754"/>
    </row>
    <row r="110" spans="1:47" x14ac:dyDescent="0.25">
      <c r="A110" s="415"/>
      <c r="B110" s="416"/>
      <c r="C110" s="416"/>
      <c r="D110" s="416"/>
      <c r="E110" s="416"/>
      <c r="F110" s="416"/>
      <c r="G110" s="416"/>
      <c r="H110" s="416"/>
      <c r="I110" s="416"/>
      <c r="J110" s="416"/>
      <c r="K110" s="416"/>
      <c r="L110" s="416"/>
      <c r="M110" s="416"/>
      <c r="N110" s="416"/>
      <c r="O110" s="416"/>
      <c r="P110" s="416"/>
      <c r="Q110" s="416"/>
      <c r="R110" s="416"/>
      <c r="S110" s="416"/>
      <c r="T110" s="416"/>
      <c r="U110" s="416"/>
      <c r="V110" s="416"/>
      <c r="W110" s="416"/>
      <c r="X110" s="416"/>
      <c r="Y110" s="416"/>
      <c r="Z110" s="416"/>
      <c r="AA110" s="416"/>
      <c r="AB110" s="416"/>
      <c r="AC110" s="416"/>
      <c r="AD110" s="416"/>
      <c r="AE110" s="416"/>
      <c r="AF110" s="416"/>
      <c r="AG110" s="416"/>
      <c r="AH110" s="416"/>
      <c r="AI110" s="416"/>
      <c r="AJ110" s="416"/>
      <c r="AK110" s="416"/>
      <c r="AL110" s="417"/>
    </row>
    <row r="111" spans="1:47" ht="49.95" customHeight="1" x14ac:dyDescent="0.25">
      <c r="A111" s="651" t="s">
        <v>921</v>
      </c>
      <c r="B111" s="651"/>
      <c r="C111" s="651"/>
      <c r="D111" s="651"/>
      <c r="E111" s="651"/>
      <c r="F111" s="651"/>
      <c r="G111" s="651"/>
      <c r="H111" s="651"/>
      <c r="I111" s="651"/>
      <c r="J111" s="651"/>
      <c r="K111" s="651"/>
      <c r="L111" s="651"/>
      <c r="M111" s="651"/>
      <c r="N111" s="651"/>
      <c r="O111" s="651"/>
      <c r="P111" s="651"/>
      <c r="Q111" s="651"/>
      <c r="R111" s="651"/>
      <c r="S111" s="651"/>
      <c r="T111" s="651"/>
      <c r="U111" s="651"/>
      <c r="V111" s="651"/>
      <c r="W111" s="651"/>
      <c r="X111" s="651"/>
      <c r="Y111" s="651"/>
      <c r="Z111" s="651"/>
      <c r="AA111" s="651"/>
      <c r="AB111" s="651"/>
      <c r="AC111" s="651"/>
      <c r="AD111" s="651"/>
      <c r="AE111" s="651"/>
      <c r="AF111" s="651"/>
      <c r="AG111" s="651"/>
      <c r="AH111" s="651"/>
      <c r="AI111" s="651"/>
      <c r="AJ111" s="651"/>
      <c r="AK111" s="651"/>
      <c r="AL111" s="651"/>
      <c r="AM111" s="119"/>
    </row>
    <row r="112" spans="1:47" x14ac:dyDescent="0.25">
      <c r="A112" s="753"/>
      <c r="B112" s="754"/>
      <c r="C112" s="754"/>
      <c r="D112" s="754"/>
      <c r="E112" s="754"/>
      <c r="F112" s="754"/>
      <c r="G112" s="754"/>
      <c r="H112" s="754"/>
      <c r="I112" s="754"/>
      <c r="J112" s="754"/>
      <c r="K112" s="754"/>
      <c r="L112" s="754"/>
      <c r="M112" s="754"/>
      <c r="N112" s="754"/>
      <c r="O112" s="754"/>
      <c r="P112" s="754"/>
      <c r="Q112" s="754"/>
      <c r="R112" s="754"/>
      <c r="S112" s="754"/>
      <c r="T112" s="754"/>
      <c r="U112" s="754"/>
      <c r="V112" s="754"/>
      <c r="W112" s="754"/>
      <c r="X112" s="754"/>
      <c r="Y112" s="754"/>
      <c r="Z112" s="754"/>
      <c r="AA112" s="754"/>
      <c r="AB112" s="754"/>
      <c r="AC112" s="754"/>
      <c r="AD112" s="754"/>
      <c r="AE112" s="754"/>
      <c r="AF112" s="754"/>
      <c r="AG112" s="754"/>
      <c r="AH112" s="754"/>
      <c r="AI112" s="754"/>
      <c r="AJ112" s="754"/>
      <c r="AK112" s="754"/>
      <c r="AL112" s="755"/>
      <c r="AM112" s="101" t="s">
        <v>136</v>
      </c>
    </row>
    <row r="113" spans="1:41" ht="15" customHeight="1" x14ac:dyDescent="0.25">
      <c r="A113" s="328" t="s">
        <v>922</v>
      </c>
      <c r="B113" s="328"/>
      <c r="C113" s="328"/>
      <c r="D113" s="328"/>
      <c r="E113" s="328"/>
      <c r="F113" s="328"/>
      <c r="G113" s="328"/>
      <c r="H113" s="328"/>
      <c r="I113" s="328"/>
      <c r="J113" s="328"/>
      <c r="K113" s="328"/>
      <c r="L113" s="328"/>
      <c r="M113" s="328"/>
      <c r="N113" s="328"/>
      <c r="O113" s="328"/>
      <c r="P113" s="328"/>
      <c r="Q113" s="328"/>
      <c r="R113" s="328"/>
      <c r="S113" s="328"/>
      <c r="T113" s="328"/>
      <c r="U113" s="328"/>
      <c r="V113" s="328"/>
      <c r="W113" s="328"/>
      <c r="X113" s="328"/>
      <c r="Y113" s="328"/>
      <c r="Z113" s="328"/>
      <c r="AA113" s="328"/>
      <c r="AB113" s="328"/>
      <c r="AC113" s="328"/>
      <c r="AD113" s="328"/>
      <c r="AE113" s="328"/>
      <c r="AF113" s="328"/>
      <c r="AG113" s="328"/>
      <c r="AH113" s="328"/>
      <c r="AI113" s="328"/>
      <c r="AJ113" s="328"/>
      <c r="AK113" s="328"/>
      <c r="AL113" s="328"/>
      <c r="AM113" s="119" t="s">
        <v>98</v>
      </c>
    </row>
    <row r="114" spans="1:41" x14ac:dyDescent="0.25">
      <c r="A114" s="757">
        <f>Z66</f>
        <v>0</v>
      </c>
      <c r="B114" s="757"/>
      <c r="C114" s="757"/>
      <c r="D114" s="757"/>
      <c r="E114" s="757"/>
      <c r="F114" s="757"/>
      <c r="G114" s="757"/>
      <c r="H114" s="757"/>
      <c r="I114" s="757"/>
      <c r="J114" s="757"/>
      <c r="K114" s="757"/>
      <c r="L114" s="757"/>
      <c r="M114" s="757"/>
      <c r="N114" s="757"/>
      <c r="O114" s="757"/>
      <c r="P114" s="757"/>
      <c r="Q114" s="757"/>
      <c r="R114" s="757"/>
      <c r="S114" s="757"/>
      <c r="T114" s="757"/>
      <c r="U114" s="757"/>
      <c r="V114" s="757"/>
      <c r="W114" s="757"/>
      <c r="X114" s="757"/>
      <c r="Y114" s="757"/>
      <c r="Z114" s="757"/>
      <c r="AA114" s="757"/>
      <c r="AB114" s="757"/>
      <c r="AC114" s="757"/>
      <c r="AD114" s="757"/>
      <c r="AE114" s="757"/>
      <c r="AF114" s="757"/>
      <c r="AG114" s="757"/>
      <c r="AH114" s="757"/>
      <c r="AI114" s="757"/>
      <c r="AJ114" s="757"/>
      <c r="AK114" s="757"/>
      <c r="AL114" s="757"/>
      <c r="AM114" s="101" t="s">
        <v>138</v>
      </c>
    </row>
    <row r="115" spans="1:41" ht="61.95" customHeight="1" x14ac:dyDescent="0.25">
      <c r="A115" s="308" t="s">
        <v>923</v>
      </c>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c r="AJ115" s="308"/>
      <c r="AK115" s="308"/>
      <c r="AL115" s="308"/>
    </row>
    <row r="116" spans="1:41" ht="83.7" customHeight="1" x14ac:dyDescent="0.25">
      <c r="A116" s="753"/>
      <c r="B116" s="754"/>
      <c r="C116" s="754"/>
      <c r="D116" s="754"/>
      <c r="E116" s="754"/>
      <c r="F116" s="754"/>
      <c r="G116" s="754"/>
      <c r="H116" s="754"/>
      <c r="I116" s="754"/>
      <c r="J116" s="754"/>
      <c r="K116" s="754"/>
      <c r="L116" s="754"/>
      <c r="M116" s="754"/>
      <c r="N116" s="754"/>
      <c r="O116" s="754"/>
      <c r="P116" s="754"/>
      <c r="Q116" s="754"/>
      <c r="R116" s="754"/>
      <c r="S116" s="754"/>
      <c r="T116" s="754"/>
      <c r="U116" s="754"/>
      <c r="V116" s="754"/>
      <c r="W116" s="754"/>
      <c r="X116" s="754"/>
      <c r="Y116" s="754"/>
      <c r="Z116" s="754"/>
      <c r="AA116" s="754"/>
      <c r="AB116" s="754"/>
      <c r="AC116" s="754"/>
      <c r="AD116" s="754"/>
      <c r="AE116" s="754"/>
      <c r="AF116" s="754"/>
      <c r="AG116" s="754"/>
      <c r="AH116" s="754"/>
      <c r="AI116" s="754"/>
      <c r="AJ116" s="754"/>
      <c r="AK116" s="754"/>
      <c r="AL116" s="755"/>
    </row>
    <row r="117" spans="1:41" x14ac:dyDescent="0.25">
      <c r="A117" s="328" t="s">
        <v>687</v>
      </c>
      <c r="B117" s="328"/>
      <c r="C117" s="328"/>
      <c r="D117" s="328"/>
      <c r="E117" s="328"/>
      <c r="F117" s="328"/>
      <c r="G117" s="328"/>
      <c r="H117" s="328"/>
      <c r="I117" s="328"/>
      <c r="J117" s="328"/>
      <c r="K117" s="328"/>
      <c r="L117" s="328"/>
      <c r="M117" s="328"/>
      <c r="N117" s="328"/>
      <c r="O117" s="328"/>
      <c r="P117" s="328"/>
      <c r="Q117" s="328"/>
      <c r="R117" s="328"/>
      <c r="S117" s="328"/>
      <c r="T117" s="328"/>
      <c r="U117" s="328"/>
      <c r="V117" s="328"/>
      <c r="W117" s="328"/>
      <c r="X117" s="328"/>
      <c r="Y117" s="328"/>
      <c r="Z117" s="328"/>
      <c r="AA117" s="328"/>
      <c r="AB117" s="328"/>
      <c r="AC117" s="328"/>
      <c r="AD117" s="328"/>
      <c r="AE117" s="328"/>
      <c r="AF117" s="328"/>
      <c r="AG117" s="328"/>
      <c r="AH117" s="328"/>
      <c r="AI117" s="328"/>
      <c r="AJ117" s="328"/>
      <c r="AK117" s="328"/>
      <c r="AL117" s="328"/>
      <c r="AM117" s="119"/>
    </row>
    <row r="118" spans="1:41" ht="28.5" customHeight="1" x14ac:dyDescent="0.25">
      <c r="A118" s="391" t="s">
        <v>735</v>
      </c>
      <c r="B118" s="391"/>
      <c r="C118" s="391"/>
      <c r="D118" s="391"/>
      <c r="E118" s="391"/>
      <c r="F118" s="391"/>
      <c r="G118" s="391"/>
      <c r="H118" s="391"/>
      <c r="I118" s="391"/>
      <c r="J118" s="391"/>
      <c r="K118" s="391"/>
      <c r="L118" s="391"/>
      <c r="M118" s="391"/>
      <c r="N118" s="391"/>
      <c r="O118" s="391"/>
      <c r="P118" s="391"/>
      <c r="Q118" s="391"/>
      <c r="R118" s="391"/>
      <c r="S118" s="391"/>
      <c r="T118" s="391"/>
      <c r="U118" s="391"/>
      <c r="V118" s="391"/>
      <c r="W118" s="391"/>
      <c r="X118" s="391"/>
      <c r="Y118" s="391"/>
      <c r="Z118" s="391"/>
      <c r="AA118" s="391"/>
      <c r="AB118" s="391"/>
      <c r="AC118" s="391"/>
      <c r="AD118" s="391"/>
      <c r="AE118" s="391"/>
      <c r="AF118" s="391"/>
      <c r="AG118" s="391"/>
      <c r="AH118" s="391"/>
      <c r="AI118" s="391"/>
      <c r="AJ118" s="391"/>
      <c r="AK118" s="391"/>
      <c r="AL118" s="391"/>
      <c r="AM118" s="119"/>
    </row>
    <row r="119" spans="1:41" ht="45" customHeight="1" x14ac:dyDescent="0.25">
      <c r="A119" s="392" t="s">
        <v>736</v>
      </c>
      <c r="B119" s="392"/>
      <c r="C119" s="392"/>
      <c r="D119" s="392"/>
      <c r="E119" s="392"/>
      <c r="F119" s="392"/>
      <c r="G119" s="392"/>
      <c r="H119" s="392"/>
      <c r="I119" s="392"/>
      <c r="J119" s="392"/>
      <c r="K119" s="392"/>
      <c r="L119" s="392"/>
      <c r="M119" s="392"/>
      <c r="N119" s="392"/>
      <c r="O119" s="392"/>
      <c r="P119" s="392"/>
      <c r="Q119" s="392"/>
      <c r="R119" s="392"/>
      <c r="S119" s="392"/>
      <c r="T119" s="392"/>
      <c r="U119" s="392"/>
      <c r="V119" s="392"/>
      <c r="W119" s="392"/>
      <c r="X119" s="392"/>
      <c r="Y119" s="392"/>
      <c r="Z119" s="392"/>
      <c r="AA119" s="392"/>
      <c r="AB119" s="392"/>
      <c r="AC119" s="392"/>
      <c r="AD119" s="392"/>
      <c r="AE119" s="392"/>
      <c r="AF119" s="392"/>
      <c r="AG119" s="392"/>
      <c r="AH119" s="392"/>
      <c r="AI119" s="392"/>
      <c r="AJ119" s="392"/>
      <c r="AK119" s="392"/>
      <c r="AL119" s="392"/>
      <c r="AM119" s="119"/>
    </row>
    <row r="120" spans="1:41" ht="45" customHeight="1" x14ac:dyDescent="0.25">
      <c r="A120" s="308" t="s">
        <v>1109</v>
      </c>
      <c r="B120" s="332"/>
      <c r="C120" s="332"/>
      <c r="D120" s="332"/>
      <c r="E120" s="332"/>
      <c r="F120" s="332"/>
      <c r="G120" s="332"/>
      <c r="H120" s="332"/>
      <c r="I120" s="332"/>
      <c r="J120" s="332"/>
      <c r="K120" s="332"/>
      <c r="L120" s="332"/>
      <c r="M120" s="332"/>
      <c r="N120" s="332"/>
      <c r="O120" s="332"/>
      <c r="P120" s="332"/>
      <c r="Q120" s="332"/>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c r="AM120" s="119"/>
    </row>
    <row r="121" spans="1:41" ht="45" customHeight="1" x14ac:dyDescent="0.25">
      <c r="A121" s="333" t="s">
        <v>742</v>
      </c>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c r="AM121" s="119"/>
    </row>
    <row r="122" spans="1:41" ht="150.44999999999999" customHeight="1" x14ac:dyDescent="0.25">
      <c r="A122" s="308" t="s">
        <v>1110</v>
      </c>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row>
    <row r="123" spans="1:41" ht="84.75" customHeight="1" x14ac:dyDescent="0.25">
      <c r="A123" s="135" t="s">
        <v>127</v>
      </c>
      <c r="B123" s="311" t="s">
        <v>812</v>
      </c>
      <c r="C123" s="312"/>
      <c r="D123" s="312"/>
      <c r="E123" s="312"/>
      <c r="F123" s="313"/>
      <c r="G123" s="325" t="s">
        <v>813</v>
      </c>
      <c r="H123" s="325"/>
      <c r="I123" s="325"/>
      <c r="J123" s="325"/>
      <c r="K123" s="325"/>
      <c r="L123" s="325" t="s">
        <v>185</v>
      </c>
      <c r="M123" s="325"/>
      <c r="N123" s="325"/>
      <c r="O123" s="325"/>
      <c r="P123" s="325" t="s">
        <v>184</v>
      </c>
      <c r="Q123" s="325"/>
      <c r="R123" s="325"/>
      <c r="S123" s="325"/>
      <c r="T123" s="325" t="s">
        <v>665</v>
      </c>
      <c r="U123" s="325"/>
      <c r="V123" s="325"/>
      <c r="W123" s="325"/>
      <c r="X123" s="325"/>
      <c r="Y123" s="325"/>
      <c r="Z123" s="325"/>
      <c r="AA123" s="325" t="s">
        <v>664</v>
      </c>
      <c r="AB123" s="325"/>
      <c r="AC123" s="325"/>
      <c r="AD123" s="325"/>
      <c r="AE123" s="325"/>
      <c r="AF123" s="325"/>
      <c r="AG123" s="325"/>
      <c r="AH123" s="325" t="s">
        <v>179</v>
      </c>
      <c r="AI123" s="325"/>
      <c r="AJ123" s="325"/>
      <c r="AK123" s="325" t="s">
        <v>186</v>
      </c>
      <c r="AL123" s="325"/>
      <c r="AM123" s="137" t="s">
        <v>221</v>
      </c>
      <c r="AN123" s="61"/>
      <c r="AO123" s="61"/>
    </row>
    <row r="124" spans="1:41" ht="14.1" customHeight="1" x14ac:dyDescent="0.25">
      <c r="A124" s="135">
        <v>1</v>
      </c>
      <c r="B124" s="311">
        <v>2</v>
      </c>
      <c r="C124" s="312"/>
      <c r="D124" s="312"/>
      <c r="E124" s="312"/>
      <c r="F124" s="312"/>
      <c r="G124" s="311">
        <v>3</v>
      </c>
      <c r="H124" s="312"/>
      <c r="I124" s="312"/>
      <c r="J124" s="312"/>
      <c r="K124" s="313"/>
      <c r="L124" s="311">
        <v>4</v>
      </c>
      <c r="M124" s="312"/>
      <c r="N124" s="312"/>
      <c r="O124" s="313"/>
      <c r="P124" s="311">
        <v>5</v>
      </c>
      <c r="Q124" s="312"/>
      <c r="R124" s="312"/>
      <c r="S124" s="313"/>
      <c r="T124" s="311">
        <v>6</v>
      </c>
      <c r="U124" s="312"/>
      <c r="V124" s="312"/>
      <c r="W124" s="312"/>
      <c r="X124" s="312"/>
      <c r="Y124" s="312"/>
      <c r="Z124" s="313"/>
      <c r="AA124" s="311" t="s">
        <v>821</v>
      </c>
      <c r="AB124" s="312"/>
      <c r="AC124" s="312"/>
      <c r="AD124" s="312"/>
      <c r="AE124" s="312"/>
      <c r="AF124" s="312"/>
      <c r="AG124" s="313"/>
      <c r="AH124" s="311">
        <v>8</v>
      </c>
      <c r="AI124" s="312"/>
      <c r="AJ124" s="313"/>
      <c r="AK124" s="311" t="s">
        <v>666</v>
      </c>
      <c r="AL124" s="313"/>
      <c r="AM124" s="137"/>
      <c r="AN124" s="61"/>
      <c r="AO124" s="61"/>
    </row>
    <row r="125" spans="1:41" s="223" customFormat="1" ht="36" customHeight="1" x14ac:dyDescent="0.25">
      <c r="A125" s="128">
        <v>1</v>
      </c>
      <c r="B125" s="303"/>
      <c r="C125" s="304"/>
      <c r="D125" s="304"/>
      <c r="E125" s="304"/>
      <c r="F125" s="305"/>
      <c r="G125" s="300"/>
      <c r="H125" s="301"/>
      <c r="I125" s="301"/>
      <c r="J125" s="301"/>
      <c r="K125" s="302"/>
      <c r="L125" s="306"/>
      <c r="M125" s="307"/>
      <c r="N125" s="307"/>
      <c r="O125" s="307"/>
      <c r="P125" s="294">
        <v>0.23</v>
      </c>
      <c r="Q125" s="295"/>
      <c r="R125" s="295"/>
      <c r="S125" s="295"/>
      <c r="T125" s="528">
        <v>1</v>
      </c>
      <c r="U125" s="528"/>
      <c r="V125" s="528"/>
      <c r="W125" s="528"/>
      <c r="X125" s="528"/>
      <c r="Y125" s="528"/>
      <c r="Z125" s="529"/>
      <c r="AA125" s="526">
        <f>L125+ROUND(L125*P125*T125,2)</f>
        <v>0</v>
      </c>
      <c r="AB125" s="530"/>
      <c r="AC125" s="530"/>
      <c r="AD125" s="530"/>
      <c r="AE125" s="530"/>
      <c r="AF125" s="530"/>
      <c r="AG125" s="527"/>
      <c r="AH125" s="531"/>
      <c r="AI125" s="532"/>
      <c r="AJ125" s="533"/>
      <c r="AK125" s="526">
        <f>ROUND(AA125*AH125,2)</f>
        <v>0</v>
      </c>
      <c r="AL125" s="527"/>
      <c r="AM125" s="221"/>
      <c r="AN125" s="221"/>
      <c r="AO125" s="222"/>
    </row>
    <row r="126" spans="1:41" s="223" customFormat="1" ht="36" customHeight="1" x14ac:dyDescent="0.25">
      <c r="A126" s="128">
        <v>2</v>
      </c>
      <c r="B126" s="303"/>
      <c r="C126" s="304"/>
      <c r="D126" s="304"/>
      <c r="E126" s="304"/>
      <c r="F126" s="305"/>
      <c r="G126" s="300"/>
      <c r="H126" s="301"/>
      <c r="I126" s="301"/>
      <c r="J126" s="301"/>
      <c r="K126" s="302"/>
      <c r="L126" s="306"/>
      <c r="M126" s="307"/>
      <c r="N126" s="307"/>
      <c r="O126" s="307"/>
      <c r="P126" s="294">
        <v>0.23</v>
      </c>
      <c r="Q126" s="295"/>
      <c r="R126" s="295"/>
      <c r="S126" s="295"/>
      <c r="T126" s="528">
        <v>1</v>
      </c>
      <c r="U126" s="528"/>
      <c r="V126" s="528"/>
      <c r="W126" s="528"/>
      <c r="X126" s="528"/>
      <c r="Y126" s="528"/>
      <c r="Z126" s="529"/>
      <c r="AA126" s="526">
        <f t="shared" ref="AA126:AA146" si="0">L126+ROUND(L126*P126*T126,2)</f>
        <v>0</v>
      </c>
      <c r="AB126" s="530"/>
      <c r="AC126" s="530"/>
      <c r="AD126" s="530"/>
      <c r="AE126" s="530"/>
      <c r="AF126" s="530"/>
      <c r="AG126" s="527"/>
      <c r="AH126" s="531"/>
      <c r="AI126" s="532"/>
      <c r="AJ126" s="533"/>
      <c r="AK126" s="526">
        <f t="shared" ref="AK126:AK146" si="1">ROUND(AA126*AH126,2)</f>
        <v>0</v>
      </c>
      <c r="AL126" s="527"/>
      <c r="AM126" s="221"/>
      <c r="AN126" s="221"/>
      <c r="AO126" s="222"/>
    </row>
    <row r="127" spans="1:41" s="223" customFormat="1" ht="36" customHeight="1" x14ac:dyDescent="0.25">
      <c r="A127" s="128">
        <v>3</v>
      </c>
      <c r="B127" s="303"/>
      <c r="C127" s="304"/>
      <c r="D127" s="304"/>
      <c r="E127" s="304"/>
      <c r="F127" s="305"/>
      <c r="G127" s="300"/>
      <c r="H127" s="301"/>
      <c r="I127" s="301"/>
      <c r="J127" s="301"/>
      <c r="K127" s="302"/>
      <c r="L127" s="306"/>
      <c r="M127" s="307"/>
      <c r="N127" s="307"/>
      <c r="O127" s="307"/>
      <c r="P127" s="294">
        <v>0.23</v>
      </c>
      <c r="Q127" s="295"/>
      <c r="R127" s="295"/>
      <c r="S127" s="295"/>
      <c r="T127" s="528">
        <v>1</v>
      </c>
      <c r="U127" s="528"/>
      <c r="V127" s="528"/>
      <c r="W127" s="528"/>
      <c r="X127" s="528"/>
      <c r="Y127" s="528"/>
      <c r="Z127" s="529"/>
      <c r="AA127" s="526">
        <f t="shared" si="0"/>
        <v>0</v>
      </c>
      <c r="AB127" s="530"/>
      <c r="AC127" s="530"/>
      <c r="AD127" s="530"/>
      <c r="AE127" s="530"/>
      <c r="AF127" s="530"/>
      <c r="AG127" s="527"/>
      <c r="AH127" s="531"/>
      <c r="AI127" s="532"/>
      <c r="AJ127" s="533"/>
      <c r="AK127" s="526">
        <f t="shared" si="1"/>
        <v>0</v>
      </c>
      <c r="AL127" s="527"/>
      <c r="AM127" s="221"/>
      <c r="AN127" s="221"/>
      <c r="AO127" s="222"/>
    </row>
    <row r="128" spans="1:41" s="223" customFormat="1" ht="36" customHeight="1" x14ac:dyDescent="0.25">
      <c r="A128" s="128">
        <v>4</v>
      </c>
      <c r="B128" s="303"/>
      <c r="C128" s="304"/>
      <c r="D128" s="304"/>
      <c r="E128" s="304"/>
      <c r="F128" s="305"/>
      <c r="G128" s="300"/>
      <c r="H128" s="301"/>
      <c r="I128" s="301"/>
      <c r="J128" s="301"/>
      <c r="K128" s="302"/>
      <c r="L128" s="306"/>
      <c r="M128" s="307"/>
      <c r="N128" s="307"/>
      <c r="O128" s="307"/>
      <c r="P128" s="294">
        <v>0.23</v>
      </c>
      <c r="Q128" s="295"/>
      <c r="R128" s="295"/>
      <c r="S128" s="295"/>
      <c r="T128" s="528">
        <v>1</v>
      </c>
      <c r="U128" s="528"/>
      <c r="V128" s="528"/>
      <c r="W128" s="528"/>
      <c r="X128" s="528"/>
      <c r="Y128" s="528"/>
      <c r="Z128" s="529"/>
      <c r="AA128" s="526">
        <f t="shared" si="0"/>
        <v>0</v>
      </c>
      <c r="AB128" s="530"/>
      <c r="AC128" s="530"/>
      <c r="AD128" s="530"/>
      <c r="AE128" s="530"/>
      <c r="AF128" s="530"/>
      <c r="AG128" s="527"/>
      <c r="AH128" s="531"/>
      <c r="AI128" s="532"/>
      <c r="AJ128" s="533"/>
      <c r="AK128" s="526">
        <f t="shared" si="1"/>
        <v>0</v>
      </c>
      <c r="AL128" s="527"/>
      <c r="AM128" s="221"/>
      <c r="AN128" s="221"/>
      <c r="AO128" s="222"/>
    </row>
    <row r="129" spans="1:41" s="223" customFormat="1" ht="36" customHeight="1" x14ac:dyDescent="0.25">
      <c r="A129" s="128">
        <v>5</v>
      </c>
      <c r="B129" s="303"/>
      <c r="C129" s="304"/>
      <c r="D129" s="304"/>
      <c r="E129" s="304"/>
      <c r="F129" s="305"/>
      <c r="G129" s="300"/>
      <c r="H129" s="301"/>
      <c r="I129" s="301"/>
      <c r="J129" s="301"/>
      <c r="K129" s="302"/>
      <c r="L129" s="306"/>
      <c r="M129" s="307"/>
      <c r="N129" s="307"/>
      <c r="O129" s="307"/>
      <c r="P129" s="294">
        <v>0.23</v>
      </c>
      <c r="Q129" s="295"/>
      <c r="R129" s="295"/>
      <c r="S129" s="295"/>
      <c r="T129" s="528">
        <v>1</v>
      </c>
      <c r="U129" s="528"/>
      <c r="V129" s="528"/>
      <c r="W129" s="528"/>
      <c r="X129" s="528"/>
      <c r="Y129" s="528"/>
      <c r="Z129" s="529"/>
      <c r="AA129" s="526">
        <f t="shared" si="0"/>
        <v>0</v>
      </c>
      <c r="AB129" s="530"/>
      <c r="AC129" s="530"/>
      <c r="AD129" s="530"/>
      <c r="AE129" s="530"/>
      <c r="AF129" s="530"/>
      <c r="AG129" s="527"/>
      <c r="AH129" s="531"/>
      <c r="AI129" s="532"/>
      <c r="AJ129" s="533"/>
      <c r="AK129" s="526">
        <f t="shared" si="1"/>
        <v>0</v>
      </c>
      <c r="AL129" s="527"/>
      <c r="AM129" s="221"/>
      <c r="AN129" s="221"/>
      <c r="AO129" s="222"/>
    </row>
    <row r="130" spans="1:41" s="223" customFormat="1" ht="36" customHeight="1" x14ac:dyDescent="0.25">
      <c r="A130" s="128">
        <v>6</v>
      </c>
      <c r="B130" s="303"/>
      <c r="C130" s="304"/>
      <c r="D130" s="304"/>
      <c r="E130" s="304"/>
      <c r="F130" s="305"/>
      <c r="G130" s="300"/>
      <c r="H130" s="301"/>
      <c r="I130" s="301"/>
      <c r="J130" s="301"/>
      <c r="K130" s="302"/>
      <c r="L130" s="306"/>
      <c r="M130" s="307"/>
      <c r="N130" s="307"/>
      <c r="O130" s="307"/>
      <c r="P130" s="294">
        <v>0.23</v>
      </c>
      <c r="Q130" s="295"/>
      <c r="R130" s="295"/>
      <c r="S130" s="295"/>
      <c r="T130" s="528">
        <v>1</v>
      </c>
      <c r="U130" s="528"/>
      <c r="V130" s="528"/>
      <c r="W130" s="528"/>
      <c r="X130" s="528"/>
      <c r="Y130" s="528"/>
      <c r="Z130" s="529"/>
      <c r="AA130" s="526">
        <f t="shared" si="0"/>
        <v>0</v>
      </c>
      <c r="AB130" s="530"/>
      <c r="AC130" s="530"/>
      <c r="AD130" s="530"/>
      <c r="AE130" s="530"/>
      <c r="AF130" s="530"/>
      <c r="AG130" s="527"/>
      <c r="AH130" s="531"/>
      <c r="AI130" s="532"/>
      <c r="AJ130" s="533"/>
      <c r="AK130" s="526">
        <f t="shared" si="1"/>
        <v>0</v>
      </c>
      <c r="AL130" s="527"/>
      <c r="AM130" s="221"/>
      <c r="AN130" s="221"/>
      <c r="AO130" s="222"/>
    </row>
    <row r="131" spans="1:41" s="223" customFormat="1" ht="36" customHeight="1" x14ac:dyDescent="0.25">
      <c r="A131" s="128">
        <v>7</v>
      </c>
      <c r="B131" s="303"/>
      <c r="C131" s="304"/>
      <c r="D131" s="304"/>
      <c r="E131" s="304"/>
      <c r="F131" s="305"/>
      <c r="G131" s="300"/>
      <c r="H131" s="301"/>
      <c r="I131" s="301"/>
      <c r="J131" s="301"/>
      <c r="K131" s="302"/>
      <c r="L131" s="306"/>
      <c r="M131" s="307"/>
      <c r="N131" s="307"/>
      <c r="O131" s="307"/>
      <c r="P131" s="294">
        <v>0.23</v>
      </c>
      <c r="Q131" s="295"/>
      <c r="R131" s="295"/>
      <c r="S131" s="295"/>
      <c r="T131" s="528">
        <v>1</v>
      </c>
      <c r="U131" s="528"/>
      <c r="V131" s="528"/>
      <c r="W131" s="528"/>
      <c r="X131" s="528"/>
      <c r="Y131" s="528"/>
      <c r="Z131" s="529"/>
      <c r="AA131" s="526">
        <f t="shared" si="0"/>
        <v>0</v>
      </c>
      <c r="AB131" s="530"/>
      <c r="AC131" s="530"/>
      <c r="AD131" s="530"/>
      <c r="AE131" s="530"/>
      <c r="AF131" s="530"/>
      <c r="AG131" s="527"/>
      <c r="AH131" s="531"/>
      <c r="AI131" s="532"/>
      <c r="AJ131" s="533"/>
      <c r="AK131" s="526">
        <f t="shared" si="1"/>
        <v>0</v>
      </c>
      <c r="AL131" s="527"/>
      <c r="AM131" s="221"/>
      <c r="AN131" s="221"/>
      <c r="AO131" s="222"/>
    </row>
    <row r="132" spans="1:41" s="223" customFormat="1" ht="36" customHeight="1" x14ac:dyDescent="0.25">
      <c r="A132" s="128">
        <v>8</v>
      </c>
      <c r="B132" s="303"/>
      <c r="C132" s="304"/>
      <c r="D132" s="304"/>
      <c r="E132" s="304"/>
      <c r="F132" s="305"/>
      <c r="G132" s="300"/>
      <c r="H132" s="301"/>
      <c r="I132" s="301"/>
      <c r="J132" s="301"/>
      <c r="K132" s="302"/>
      <c r="L132" s="306"/>
      <c r="M132" s="307"/>
      <c r="N132" s="307"/>
      <c r="O132" s="307"/>
      <c r="P132" s="294">
        <v>0.23</v>
      </c>
      <c r="Q132" s="295"/>
      <c r="R132" s="295"/>
      <c r="S132" s="295"/>
      <c r="T132" s="528">
        <v>1</v>
      </c>
      <c r="U132" s="528"/>
      <c r="V132" s="528"/>
      <c r="W132" s="528"/>
      <c r="X132" s="528"/>
      <c r="Y132" s="528"/>
      <c r="Z132" s="529"/>
      <c r="AA132" s="526">
        <f t="shared" si="0"/>
        <v>0</v>
      </c>
      <c r="AB132" s="530"/>
      <c r="AC132" s="530"/>
      <c r="AD132" s="530"/>
      <c r="AE132" s="530"/>
      <c r="AF132" s="530"/>
      <c r="AG132" s="527"/>
      <c r="AH132" s="531"/>
      <c r="AI132" s="532"/>
      <c r="AJ132" s="533"/>
      <c r="AK132" s="526">
        <f t="shared" si="1"/>
        <v>0</v>
      </c>
      <c r="AL132" s="527"/>
      <c r="AM132" s="221"/>
      <c r="AN132" s="221"/>
      <c r="AO132" s="222"/>
    </row>
    <row r="133" spans="1:41" s="223" customFormat="1" ht="36" customHeight="1" x14ac:dyDescent="0.25">
      <c r="A133" s="128">
        <v>9</v>
      </c>
      <c r="B133" s="303"/>
      <c r="C133" s="304"/>
      <c r="D133" s="304"/>
      <c r="E133" s="304"/>
      <c r="F133" s="305"/>
      <c r="G133" s="300"/>
      <c r="H133" s="301"/>
      <c r="I133" s="301"/>
      <c r="J133" s="301"/>
      <c r="K133" s="302"/>
      <c r="L133" s="306"/>
      <c r="M133" s="307"/>
      <c r="N133" s="307"/>
      <c r="O133" s="307"/>
      <c r="P133" s="294">
        <v>0.23</v>
      </c>
      <c r="Q133" s="295"/>
      <c r="R133" s="295"/>
      <c r="S133" s="295"/>
      <c r="T133" s="528">
        <v>1</v>
      </c>
      <c r="U133" s="528"/>
      <c r="V133" s="528"/>
      <c r="W133" s="528"/>
      <c r="X133" s="528"/>
      <c r="Y133" s="528"/>
      <c r="Z133" s="529"/>
      <c r="AA133" s="526">
        <f t="shared" si="0"/>
        <v>0</v>
      </c>
      <c r="AB133" s="530"/>
      <c r="AC133" s="530"/>
      <c r="AD133" s="530"/>
      <c r="AE133" s="530"/>
      <c r="AF133" s="530"/>
      <c r="AG133" s="527"/>
      <c r="AH133" s="531"/>
      <c r="AI133" s="532"/>
      <c r="AJ133" s="533"/>
      <c r="AK133" s="526">
        <f t="shared" si="1"/>
        <v>0</v>
      </c>
      <c r="AL133" s="527"/>
      <c r="AM133" s="221"/>
      <c r="AN133" s="221"/>
      <c r="AO133" s="222"/>
    </row>
    <row r="134" spans="1:41" s="223" customFormat="1" ht="36" customHeight="1" x14ac:dyDescent="0.25">
      <c r="A134" s="128">
        <v>10</v>
      </c>
      <c r="B134" s="303"/>
      <c r="C134" s="304"/>
      <c r="D134" s="304"/>
      <c r="E134" s="304"/>
      <c r="F134" s="305"/>
      <c r="G134" s="300"/>
      <c r="H134" s="301"/>
      <c r="I134" s="301"/>
      <c r="J134" s="301"/>
      <c r="K134" s="302"/>
      <c r="L134" s="306"/>
      <c r="M134" s="307"/>
      <c r="N134" s="307"/>
      <c r="O134" s="307"/>
      <c r="P134" s="294">
        <v>0.23</v>
      </c>
      <c r="Q134" s="295"/>
      <c r="R134" s="295"/>
      <c r="S134" s="295"/>
      <c r="T134" s="528">
        <v>1</v>
      </c>
      <c r="U134" s="528"/>
      <c r="V134" s="528"/>
      <c r="W134" s="528"/>
      <c r="X134" s="528"/>
      <c r="Y134" s="528"/>
      <c r="Z134" s="529"/>
      <c r="AA134" s="526">
        <f>L134+ROUND(L134*P134*T134,2)</f>
        <v>0</v>
      </c>
      <c r="AB134" s="530"/>
      <c r="AC134" s="530"/>
      <c r="AD134" s="530"/>
      <c r="AE134" s="530"/>
      <c r="AF134" s="530"/>
      <c r="AG134" s="527"/>
      <c r="AH134" s="531"/>
      <c r="AI134" s="532"/>
      <c r="AJ134" s="533"/>
      <c r="AK134" s="526">
        <f t="shared" si="1"/>
        <v>0</v>
      </c>
      <c r="AL134" s="527"/>
      <c r="AM134" s="221"/>
      <c r="AN134" s="221"/>
      <c r="AO134" s="222"/>
    </row>
    <row r="135" spans="1:41" s="223" customFormat="1" ht="36" customHeight="1" x14ac:dyDescent="0.25">
      <c r="A135" s="128">
        <v>11</v>
      </c>
      <c r="B135" s="303"/>
      <c r="C135" s="304"/>
      <c r="D135" s="304"/>
      <c r="E135" s="304"/>
      <c r="F135" s="305"/>
      <c r="G135" s="300"/>
      <c r="H135" s="301"/>
      <c r="I135" s="301"/>
      <c r="J135" s="301"/>
      <c r="K135" s="302"/>
      <c r="L135" s="306"/>
      <c r="M135" s="307"/>
      <c r="N135" s="307"/>
      <c r="O135" s="307"/>
      <c r="P135" s="294">
        <v>0.23</v>
      </c>
      <c r="Q135" s="295"/>
      <c r="R135" s="295"/>
      <c r="S135" s="295"/>
      <c r="T135" s="528">
        <v>1</v>
      </c>
      <c r="U135" s="528"/>
      <c r="V135" s="528"/>
      <c r="W135" s="528"/>
      <c r="X135" s="528"/>
      <c r="Y135" s="528"/>
      <c r="Z135" s="529"/>
      <c r="AA135" s="526">
        <f t="shared" si="0"/>
        <v>0</v>
      </c>
      <c r="AB135" s="530"/>
      <c r="AC135" s="530"/>
      <c r="AD135" s="530"/>
      <c r="AE135" s="530"/>
      <c r="AF135" s="530"/>
      <c r="AG135" s="527"/>
      <c r="AH135" s="531"/>
      <c r="AI135" s="532"/>
      <c r="AJ135" s="533"/>
      <c r="AK135" s="526">
        <f t="shared" si="1"/>
        <v>0</v>
      </c>
      <c r="AL135" s="527"/>
      <c r="AM135" s="221"/>
      <c r="AN135" s="221"/>
      <c r="AO135" s="222"/>
    </row>
    <row r="136" spans="1:41" s="223" customFormat="1" ht="36" customHeight="1" x14ac:dyDescent="0.25">
      <c r="A136" s="128">
        <v>12</v>
      </c>
      <c r="B136" s="303"/>
      <c r="C136" s="304"/>
      <c r="D136" s="304"/>
      <c r="E136" s="304"/>
      <c r="F136" s="305"/>
      <c r="G136" s="300"/>
      <c r="H136" s="301"/>
      <c r="I136" s="301"/>
      <c r="J136" s="301"/>
      <c r="K136" s="302"/>
      <c r="L136" s="306"/>
      <c r="M136" s="307"/>
      <c r="N136" s="307"/>
      <c r="O136" s="307"/>
      <c r="P136" s="294">
        <v>0.23</v>
      </c>
      <c r="Q136" s="295"/>
      <c r="R136" s="295"/>
      <c r="S136" s="295"/>
      <c r="T136" s="528">
        <v>1</v>
      </c>
      <c r="U136" s="528"/>
      <c r="V136" s="528"/>
      <c r="W136" s="528"/>
      <c r="X136" s="528"/>
      <c r="Y136" s="528"/>
      <c r="Z136" s="529"/>
      <c r="AA136" s="526">
        <f t="shared" si="0"/>
        <v>0</v>
      </c>
      <c r="AB136" s="530"/>
      <c r="AC136" s="530"/>
      <c r="AD136" s="530"/>
      <c r="AE136" s="530"/>
      <c r="AF136" s="530"/>
      <c r="AG136" s="527"/>
      <c r="AH136" s="531"/>
      <c r="AI136" s="532"/>
      <c r="AJ136" s="533"/>
      <c r="AK136" s="526">
        <f t="shared" si="1"/>
        <v>0</v>
      </c>
      <c r="AL136" s="527"/>
      <c r="AM136" s="221"/>
      <c r="AN136" s="221"/>
      <c r="AO136" s="222"/>
    </row>
    <row r="137" spans="1:41" s="223" customFormat="1" ht="36" customHeight="1" x14ac:dyDescent="0.25">
      <c r="A137" s="128">
        <v>13</v>
      </c>
      <c r="B137" s="303"/>
      <c r="C137" s="304"/>
      <c r="D137" s="304"/>
      <c r="E137" s="304"/>
      <c r="F137" s="305"/>
      <c r="G137" s="300"/>
      <c r="H137" s="301"/>
      <c r="I137" s="301"/>
      <c r="J137" s="301"/>
      <c r="K137" s="302"/>
      <c r="L137" s="306"/>
      <c r="M137" s="307"/>
      <c r="N137" s="307"/>
      <c r="O137" s="307"/>
      <c r="P137" s="294">
        <v>0.23</v>
      </c>
      <c r="Q137" s="295"/>
      <c r="R137" s="295"/>
      <c r="S137" s="295"/>
      <c r="T137" s="528">
        <v>1</v>
      </c>
      <c r="U137" s="528"/>
      <c r="V137" s="528"/>
      <c r="W137" s="528"/>
      <c r="X137" s="528"/>
      <c r="Y137" s="528"/>
      <c r="Z137" s="529"/>
      <c r="AA137" s="526">
        <f t="shared" si="0"/>
        <v>0</v>
      </c>
      <c r="AB137" s="530"/>
      <c r="AC137" s="530"/>
      <c r="AD137" s="530"/>
      <c r="AE137" s="530"/>
      <c r="AF137" s="530"/>
      <c r="AG137" s="527"/>
      <c r="AH137" s="531"/>
      <c r="AI137" s="532"/>
      <c r="AJ137" s="533"/>
      <c r="AK137" s="526">
        <f t="shared" si="1"/>
        <v>0</v>
      </c>
      <c r="AL137" s="527"/>
      <c r="AM137" s="221"/>
      <c r="AN137" s="221"/>
      <c r="AO137" s="222"/>
    </row>
    <row r="138" spans="1:41" s="223" customFormat="1" ht="36" customHeight="1" x14ac:dyDescent="0.25">
      <c r="A138" s="128">
        <v>14</v>
      </c>
      <c r="B138" s="303"/>
      <c r="C138" s="304"/>
      <c r="D138" s="304"/>
      <c r="E138" s="304"/>
      <c r="F138" s="305"/>
      <c r="G138" s="300"/>
      <c r="H138" s="301"/>
      <c r="I138" s="301"/>
      <c r="J138" s="301"/>
      <c r="K138" s="302"/>
      <c r="L138" s="306"/>
      <c r="M138" s="307"/>
      <c r="N138" s="307"/>
      <c r="O138" s="307"/>
      <c r="P138" s="294">
        <v>0.23</v>
      </c>
      <c r="Q138" s="295"/>
      <c r="R138" s="295"/>
      <c r="S138" s="295"/>
      <c r="T138" s="528">
        <v>1</v>
      </c>
      <c r="U138" s="528"/>
      <c r="V138" s="528"/>
      <c r="W138" s="528"/>
      <c r="X138" s="528"/>
      <c r="Y138" s="528"/>
      <c r="Z138" s="529"/>
      <c r="AA138" s="526">
        <f t="shared" si="0"/>
        <v>0</v>
      </c>
      <c r="AB138" s="530"/>
      <c r="AC138" s="530"/>
      <c r="AD138" s="530"/>
      <c r="AE138" s="530"/>
      <c r="AF138" s="530"/>
      <c r="AG138" s="527"/>
      <c r="AH138" s="531"/>
      <c r="AI138" s="532"/>
      <c r="AJ138" s="533"/>
      <c r="AK138" s="526">
        <f t="shared" si="1"/>
        <v>0</v>
      </c>
      <c r="AL138" s="527"/>
      <c r="AM138" s="221"/>
      <c r="AN138" s="221"/>
      <c r="AO138" s="222"/>
    </row>
    <row r="139" spans="1:41" s="223" customFormat="1" ht="36" customHeight="1" x14ac:dyDescent="0.25">
      <c r="A139" s="128">
        <v>15</v>
      </c>
      <c r="B139" s="303"/>
      <c r="C139" s="304"/>
      <c r="D139" s="304"/>
      <c r="E139" s="304"/>
      <c r="F139" s="305"/>
      <c r="G139" s="300"/>
      <c r="H139" s="301"/>
      <c r="I139" s="301"/>
      <c r="J139" s="301"/>
      <c r="K139" s="302"/>
      <c r="L139" s="306"/>
      <c r="M139" s="307"/>
      <c r="N139" s="307"/>
      <c r="O139" s="307"/>
      <c r="P139" s="294">
        <v>0.23</v>
      </c>
      <c r="Q139" s="295"/>
      <c r="R139" s="295"/>
      <c r="S139" s="295"/>
      <c r="T139" s="528">
        <v>1</v>
      </c>
      <c r="U139" s="528"/>
      <c r="V139" s="528"/>
      <c r="W139" s="528"/>
      <c r="X139" s="528"/>
      <c r="Y139" s="528"/>
      <c r="Z139" s="529"/>
      <c r="AA139" s="526">
        <f t="shared" si="0"/>
        <v>0</v>
      </c>
      <c r="AB139" s="530"/>
      <c r="AC139" s="530"/>
      <c r="AD139" s="530"/>
      <c r="AE139" s="530"/>
      <c r="AF139" s="530"/>
      <c r="AG139" s="527"/>
      <c r="AH139" s="531"/>
      <c r="AI139" s="532"/>
      <c r="AJ139" s="533"/>
      <c r="AK139" s="526">
        <f t="shared" si="1"/>
        <v>0</v>
      </c>
      <c r="AL139" s="527"/>
      <c r="AM139" s="221"/>
      <c r="AN139" s="221"/>
      <c r="AO139" s="222"/>
    </row>
    <row r="140" spans="1:41" s="223" customFormat="1" ht="36" customHeight="1" x14ac:dyDescent="0.25">
      <c r="A140" s="128">
        <v>16</v>
      </c>
      <c r="B140" s="303"/>
      <c r="C140" s="304"/>
      <c r="D140" s="304"/>
      <c r="E140" s="304"/>
      <c r="F140" s="305"/>
      <c r="G140" s="300"/>
      <c r="H140" s="301"/>
      <c r="I140" s="301"/>
      <c r="J140" s="301"/>
      <c r="K140" s="302"/>
      <c r="L140" s="306"/>
      <c r="M140" s="307"/>
      <c r="N140" s="307"/>
      <c r="O140" s="307"/>
      <c r="P140" s="294">
        <v>0.23</v>
      </c>
      <c r="Q140" s="295"/>
      <c r="R140" s="295"/>
      <c r="S140" s="295"/>
      <c r="T140" s="528">
        <v>1</v>
      </c>
      <c r="U140" s="528"/>
      <c r="V140" s="528"/>
      <c r="W140" s="528"/>
      <c r="X140" s="528"/>
      <c r="Y140" s="528"/>
      <c r="Z140" s="529"/>
      <c r="AA140" s="526">
        <f t="shared" si="0"/>
        <v>0</v>
      </c>
      <c r="AB140" s="530"/>
      <c r="AC140" s="530"/>
      <c r="AD140" s="530"/>
      <c r="AE140" s="530"/>
      <c r="AF140" s="530"/>
      <c r="AG140" s="527"/>
      <c r="AH140" s="531"/>
      <c r="AI140" s="532"/>
      <c r="AJ140" s="533"/>
      <c r="AK140" s="526">
        <f t="shared" si="1"/>
        <v>0</v>
      </c>
      <c r="AL140" s="527"/>
      <c r="AM140" s="221"/>
      <c r="AN140" s="221"/>
      <c r="AO140" s="222"/>
    </row>
    <row r="141" spans="1:41" s="223" customFormat="1" ht="36" customHeight="1" x14ac:dyDescent="0.25">
      <c r="A141" s="128">
        <v>17</v>
      </c>
      <c r="B141" s="303"/>
      <c r="C141" s="304"/>
      <c r="D141" s="304"/>
      <c r="E141" s="304"/>
      <c r="F141" s="305"/>
      <c r="G141" s="300"/>
      <c r="H141" s="301"/>
      <c r="I141" s="301"/>
      <c r="J141" s="301"/>
      <c r="K141" s="302"/>
      <c r="L141" s="306"/>
      <c r="M141" s="307"/>
      <c r="N141" s="307"/>
      <c r="O141" s="307"/>
      <c r="P141" s="294">
        <v>0.23</v>
      </c>
      <c r="Q141" s="295"/>
      <c r="R141" s="295"/>
      <c r="S141" s="295"/>
      <c r="T141" s="528">
        <v>1</v>
      </c>
      <c r="U141" s="528"/>
      <c r="V141" s="528"/>
      <c r="W141" s="528"/>
      <c r="X141" s="528"/>
      <c r="Y141" s="528"/>
      <c r="Z141" s="529"/>
      <c r="AA141" s="526">
        <f t="shared" si="0"/>
        <v>0</v>
      </c>
      <c r="AB141" s="530"/>
      <c r="AC141" s="530"/>
      <c r="AD141" s="530"/>
      <c r="AE141" s="530"/>
      <c r="AF141" s="530"/>
      <c r="AG141" s="527"/>
      <c r="AH141" s="531"/>
      <c r="AI141" s="532"/>
      <c r="AJ141" s="533"/>
      <c r="AK141" s="526">
        <f t="shared" si="1"/>
        <v>0</v>
      </c>
      <c r="AL141" s="527"/>
      <c r="AM141" s="221"/>
      <c r="AN141" s="221"/>
      <c r="AO141" s="222"/>
    </row>
    <row r="142" spans="1:41" s="223" customFormat="1" ht="36" customHeight="1" x14ac:dyDescent="0.25">
      <c r="A142" s="128">
        <v>18</v>
      </c>
      <c r="B142" s="303"/>
      <c r="C142" s="304"/>
      <c r="D142" s="304"/>
      <c r="E142" s="304"/>
      <c r="F142" s="305"/>
      <c r="G142" s="300"/>
      <c r="H142" s="301"/>
      <c r="I142" s="301"/>
      <c r="J142" s="301"/>
      <c r="K142" s="302"/>
      <c r="L142" s="306"/>
      <c r="M142" s="307"/>
      <c r="N142" s="307"/>
      <c r="O142" s="307"/>
      <c r="P142" s="294">
        <v>0.23</v>
      </c>
      <c r="Q142" s="295"/>
      <c r="R142" s="295"/>
      <c r="S142" s="295"/>
      <c r="T142" s="528">
        <v>1</v>
      </c>
      <c r="U142" s="528"/>
      <c r="V142" s="528"/>
      <c r="W142" s="528"/>
      <c r="X142" s="528"/>
      <c r="Y142" s="528"/>
      <c r="Z142" s="529"/>
      <c r="AA142" s="526">
        <f t="shared" si="0"/>
        <v>0</v>
      </c>
      <c r="AB142" s="530"/>
      <c r="AC142" s="530"/>
      <c r="AD142" s="530"/>
      <c r="AE142" s="530"/>
      <c r="AF142" s="530"/>
      <c r="AG142" s="527"/>
      <c r="AH142" s="531"/>
      <c r="AI142" s="532"/>
      <c r="AJ142" s="533"/>
      <c r="AK142" s="526">
        <f t="shared" si="1"/>
        <v>0</v>
      </c>
      <c r="AL142" s="527"/>
      <c r="AM142" s="221"/>
      <c r="AN142" s="221"/>
      <c r="AO142" s="222"/>
    </row>
    <row r="143" spans="1:41" s="223" customFormat="1" ht="36" customHeight="1" x14ac:dyDescent="0.25">
      <c r="A143" s="128">
        <v>19</v>
      </c>
      <c r="B143" s="303"/>
      <c r="C143" s="304"/>
      <c r="D143" s="304"/>
      <c r="E143" s="304"/>
      <c r="F143" s="305"/>
      <c r="G143" s="300"/>
      <c r="H143" s="301"/>
      <c r="I143" s="301"/>
      <c r="J143" s="301"/>
      <c r="K143" s="302"/>
      <c r="L143" s="306"/>
      <c r="M143" s="307"/>
      <c r="N143" s="307"/>
      <c r="O143" s="307"/>
      <c r="P143" s="294">
        <v>0.23</v>
      </c>
      <c r="Q143" s="295"/>
      <c r="R143" s="295"/>
      <c r="S143" s="295"/>
      <c r="T143" s="528">
        <v>1</v>
      </c>
      <c r="U143" s="528"/>
      <c r="V143" s="528"/>
      <c r="W143" s="528"/>
      <c r="X143" s="528"/>
      <c r="Y143" s="528"/>
      <c r="Z143" s="529"/>
      <c r="AA143" s="526">
        <f t="shared" si="0"/>
        <v>0</v>
      </c>
      <c r="AB143" s="530"/>
      <c r="AC143" s="530"/>
      <c r="AD143" s="530"/>
      <c r="AE143" s="530"/>
      <c r="AF143" s="530"/>
      <c r="AG143" s="527"/>
      <c r="AH143" s="531"/>
      <c r="AI143" s="532"/>
      <c r="AJ143" s="533"/>
      <c r="AK143" s="526">
        <f t="shared" si="1"/>
        <v>0</v>
      </c>
      <c r="AL143" s="527"/>
      <c r="AM143" s="221"/>
      <c r="AN143" s="221"/>
      <c r="AO143" s="222"/>
    </row>
    <row r="144" spans="1:41" s="223" customFormat="1" ht="36" customHeight="1" x14ac:dyDescent="0.25">
      <c r="A144" s="128">
        <v>20</v>
      </c>
      <c r="B144" s="303"/>
      <c r="C144" s="304"/>
      <c r="D144" s="304"/>
      <c r="E144" s="304"/>
      <c r="F144" s="305"/>
      <c r="G144" s="300"/>
      <c r="H144" s="301"/>
      <c r="I144" s="301"/>
      <c r="J144" s="301"/>
      <c r="K144" s="302"/>
      <c r="L144" s="306"/>
      <c r="M144" s="307"/>
      <c r="N144" s="307"/>
      <c r="O144" s="307"/>
      <c r="P144" s="294">
        <v>0.23</v>
      </c>
      <c r="Q144" s="295"/>
      <c r="R144" s="295"/>
      <c r="S144" s="295"/>
      <c r="T144" s="528">
        <v>1</v>
      </c>
      <c r="U144" s="528"/>
      <c r="V144" s="528"/>
      <c r="W144" s="528"/>
      <c r="X144" s="528"/>
      <c r="Y144" s="528"/>
      <c r="Z144" s="529"/>
      <c r="AA144" s="526">
        <f t="shared" si="0"/>
        <v>0</v>
      </c>
      <c r="AB144" s="530"/>
      <c r="AC144" s="530"/>
      <c r="AD144" s="530"/>
      <c r="AE144" s="530"/>
      <c r="AF144" s="530"/>
      <c r="AG144" s="527"/>
      <c r="AH144" s="531"/>
      <c r="AI144" s="532"/>
      <c r="AJ144" s="533"/>
      <c r="AK144" s="526">
        <f t="shared" si="1"/>
        <v>0</v>
      </c>
      <c r="AL144" s="527"/>
      <c r="AM144" s="221"/>
      <c r="AN144" s="221"/>
      <c r="AO144" s="222"/>
    </row>
    <row r="145" spans="1:41" s="223" customFormat="1" ht="36" customHeight="1" x14ac:dyDescent="0.25">
      <c r="A145" s="128">
        <v>21</v>
      </c>
      <c r="B145" s="303"/>
      <c r="C145" s="304"/>
      <c r="D145" s="304"/>
      <c r="E145" s="304"/>
      <c r="F145" s="305"/>
      <c r="G145" s="300"/>
      <c r="H145" s="301"/>
      <c r="I145" s="301"/>
      <c r="J145" s="301"/>
      <c r="K145" s="302"/>
      <c r="L145" s="306"/>
      <c r="M145" s="307"/>
      <c r="N145" s="307"/>
      <c r="O145" s="307"/>
      <c r="P145" s="294">
        <v>0.23</v>
      </c>
      <c r="Q145" s="295"/>
      <c r="R145" s="295"/>
      <c r="S145" s="295"/>
      <c r="T145" s="528">
        <v>1</v>
      </c>
      <c r="U145" s="528"/>
      <c r="V145" s="528"/>
      <c r="W145" s="528"/>
      <c r="X145" s="528"/>
      <c r="Y145" s="528"/>
      <c r="Z145" s="529"/>
      <c r="AA145" s="526">
        <f t="shared" si="0"/>
        <v>0</v>
      </c>
      <c r="AB145" s="530"/>
      <c r="AC145" s="530"/>
      <c r="AD145" s="530"/>
      <c r="AE145" s="530"/>
      <c r="AF145" s="530"/>
      <c r="AG145" s="527"/>
      <c r="AH145" s="531"/>
      <c r="AI145" s="532"/>
      <c r="AJ145" s="533"/>
      <c r="AK145" s="526">
        <f t="shared" si="1"/>
        <v>0</v>
      </c>
      <c r="AL145" s="527"/>
      <c r="AM145" s="221"/>
      <c r="AN145" s="221"/>
      <c r="AO145" s="222"/>
    </row>
    <row r="146" spans="1:41" s="223" customFormat="1" ht="36" customHeight="1" x14ac:dyDescent="0.25">
      <c r="A146" s="128">
        <v>22</v>
      </c>
      <c r="B146" s="303"/>
      <c r="C146" s="304"/>
      <c r="D146" s="304"/>
      <c r="E146" s="304"/>
      <c r="F146" s="305"/>
      <c r="G146" s="300"/>
      <c r="H146" s="301"/>
      <c r="I146" s="301"/>
      <c r="J146" s="301"/>
      <c r="K146" s="302"/>
      <c r="L146" s="306"/>
      <c r="M146" s="307"/>
      <c r="N146" s="307"/>
      <c r="O146" s="307"/>
      <c r="P146" s="294">
        <v>0.23</v>
      </c>
      <c r="Q146" s="295"/>
      <c r="R146" s="295"/>
      <c r="S146" s="295"/>
      <c r="T146" s="528">
        <v>1</v>
      </c>
      <c r="U146" s="528"/>
      <c r="V146" s="528"/>
      <c r="W146" s="528"/>
      <c r="X146" s="528"/>
      <c r="Y146" s="528"/>
      <c r="Z146" s="529"/>
      <c r="AA146" s="526">
        <f t="shared" si="0"/>
        <v>0</v>
      </c>
      <c r="AB146" s="530"/>
      <c r="AC146" s="530"/>
      <c r="AD146" s="530"/>
      <c r="AE146" s="530"/>
      <c r="AF146" s="530"/>
      <c r="AG146" s="527"/>
      <c r="AH146" s="531"/>
      <c r="AI146" s="532"/>
      <c r="AJ146" s="533"/>
      <c r="AK146" s="526">
        <f t="shared" si="1"/>
        <v>0</v>
      </c>
      <c r="AL146" s="527"/>
      <c r="AM146" s="221"/>
      <c r="AN146" s="221"/>
      <c r="AO146" s="222"/>
    </row>
    <row r="147" spans="1:41" ht="14.1" customHeight="1" x14ac:dyDescent="0.25">
      <c r="A147" s="128">
        <v>23</v>
      </c>
      <c r="B147" s="451" t="s">
        <v>128</v>
      </c>
      <c r="C147" s="452"/>
      <c r="D147" s="452"/>
      <c r="E147" s="452"/>
      <c r="F147" s="452"/>
      <c r="G147" s="452"/>
      <c r="H147" s="452"/>
      <c r="I147" s="452"/>
      <c r="J147" s="452"/>
      <c r="K147" s="452"/>
      <c r="L147" s="296">
        <f>SUM(L125:O146)</f>
        <v>0</v>
      </c>
      <c r="M147" s="296"/>
      <c r="N147" s="296"/>
      <c r="O147" s="297"/>
      <c r="P147" s="463" t="s">
        <v>129</v>
      </c>
      <c r="Q147" s="463"/>
      <c r="R147" s="463"/>
      <c r="S147" s="463"/>
      <c r="T147" s="462" t="s">
        <v>129</v>
      </c>
      <c r="U147" s="462"/>
      <c r="V147" s="462"/>
      <c r="W147" s="462"/>
      <c r="X147" s="462"/>
      <c r="Y147" s="462"/>
      <c r="Z147" s="462"/>
      <c r="AA147" s="457">
        <f>SUM(AA125:AG146)</f>
        <v>0</v>
      </c>
      <c r="AB147" s="457"/>
      <c r="AC147" s="457"/>
      <c r="AD147" s="457"/>
      <c r="AE147" s="457"/>
      <c r="AF147" s="457"/>
      <c r="AG147" s="457"/>
      <c r="AH147" s="461" t="s">
        <v>129</v>
      </c>
      <c r="AI147" s="461"/>
      <c r="AJ147" s="461"/>
      <c r="AK147" s="457">
        <f>ROUND(SUM(AK125:AL146),2)</f>
        <v>0</v>
      </c>
      <c r="AL147" s="457"/>
      <c r="AM147" s="77"/>
      <c r="AN147" s="61"/>
      <c r="AO147" s="61"/>
    </row>
    <row r="148" spans="1:41" ht="121.5" customHeight="1" x14ac:dyDescent="0.25">
      <c r="A148" s="334" t="s">
        <v>1111</v>
      </c>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c r="AI148" s="334"/>
      <c r="AJ148" s="334"/>
      <c r="AK148" s="334"/>
      <c r="AL148" s="334"/>
      <c r="AM148" s="77"/>
      <c r="AN148" s="61"/>
      <c r="AO148" s="61"/>
    </row>
    <row r="149" spans="1:41" ht="13.95" customHeight="1" x14ac:dyDescent="0.25">
      <c r="A149" s="129"/>
      <c r="B149" s="453" t="s">
        <v>181</v>
      </c>
      <c r="C149" s="453"/>
      <c r="D149" s="453"/>
      <c r="E149" s="453"/>
      <c r="F149" s="453"/>
      <c r="G149" s="453"/>
      <c r="H149" s="453"/>
      <c r="I149" s="453"/>
      <c r="J149" s="453"/>
      <c r="K149" s="453"/>
      <c r="L149" s="453"/>
      <c r="M149" s="453"/>
      <c r="N149" s="453"/>
      <c r="O149" s="453"/>
      <c r="P149" s="453"/>
      <c r="Q149" s="453"/>
      <c r="R149" s="453"/>
      <c r="S149" s="453"/>
      <c r="T149" s="458">
        <v>0.1</v>
      </c>
      <c r="U149" s="458"/>
      <c r="V149" s="458"/>
      <c r="W149" s="458"/>
      <c r="X149" s="458"/>
      <c r="Y149" s="458"/>
      <c r="Z149" s="458"/>
      <c r="AA149" s="458"/>
      <c r="AB149" s="458"/>
      <c r="AC149" s="458"/>
      <c r="AD149" s="458"/>
      <c r="AE149" s="458"/>
      <c r="AF149" s="458"/>
      <c r="AG149" s="458"/>
      <c r="AH149" s="458"/>
      <c r="AI149" s="458"/>
      <c r="AJ149" s="458"/>
      <c r="AK149" s="130"/>
      <c r="AL149" s="131"/>
      <c r="AM149" s="77"/>
      <c r="AN149" s="61"/>
      <c r="AO149" s="61"/>
    </row>
    <row r="150" spans="1:41" ht="13.95" customHeight="1" x14ac:dyDescent="0.3">
      <c r="A150" s="129"/>
      <c r="B150" s="453" t="s">
        <v>667</v>
      </c>
      <c r="C150" s="453"/>
      <c r="D150" s="453"/>
      <c r="E150" s="453"/>
      <c r="F150" s="453"/>
      <c r="G150" s="453"/>
      <c r="H150" s="453"/>
      <c r="I150" s="453"/>
      <c r="J150" s="453"/>
      <c r="K150" s="453"/>
      <c r="L150" s="453"/>
      <c r="M150" s="453"/>
      <c r="N150" s="453"/>
      <c r="O150" s="453"/>
      <c r="P150" s="453"/>
      <c r="Q150" s="453"/>
      <c r="R150" s="453"/>
      <c r="S150" s="453"/>
      <c r="T150" s="762"/>
      <c r="U150" s="762"/>
      <c r="V150" s="762"/>
      <c r="W150" s="762"/>
      <c r="X150" s="762"/>
      <c r="Y150" s="762"/>
      <c r="Z150" s="762"/>
      <c r="AA150" s="762"/>
      <c r="AB150" s="762"/>
      <c r="AC150" s="762"/>
      <c r="AD150" s="762"/>
      <c r="AE150" s="762"/>
      <c r="AF150" s="762"/>
      <c r="AG150" s="762"/>
      <c r="AH150" s="762"/>
      <c r="AI150" s="762"/>
      <c r="AJ150" s="762"/>
      <c r="AK150" s="130"/>
      <c r="AL150" s="131"/>
      <c r="AM150" s="133" t="s">
        <v>215</v>
      </c>
      <c r="AN150" s="61"/>
      <c r="AO150" s="61"/>
    </row>
    <row r="151" spans="1:41" ht="46.95" customHeight="1" x14ac:dyDescent="0.25">
      <c r="A151" s="404" t="s">
        <v>929</v>
      </c>
      <c r="B151" s="404"/>
      <c r="C151" s="404"/>
      <c r="D151" s="404"/>
      <c r="E151" s="404"/>
      <c r="F151" s="404"/>
      <c r="G151" s="404"/>
      <c r="H151" s="404"/>
      <c r="I151" s="404"/>
      <c r="J151" s="404"/>
      <c r="K151" s="404"/>
      <c r="L151" s="404"/>
      <c r="M151" s="404"/>
      <c r="N151" s="404"/>
      <c r="O151" s="404"/>
      <c r="P151" s="404"/>
      <c r="Q151" s="404"/>
      <c r="R151" s="404"/>
      <c r="S151" s="404"/>
      <c r="T151" s="404"/>
      <c r="U151" s="404"/>
      <c r="V151" s="404"/>
      <c r="W151" s="404"/>
      <c r="X151" s="404"/>
      <c r="Y151" s="404"/>
      <c r="Z151" s="404"/>
      <c r="AA151" s="404"/>
      <c r="AB151" s="404"/>
      <c r="AC151" s="404"/>
      <c r="AD151" s="404"/>
      <c r="AE151" s="404"/>
      <c r="AF151" s="404"/>
      <c r="AG151" s="404"/>
      <c r="AH151" s="404"/>
      <c r="AI151" s="404"/>
      <c r="AJ151" s="404"/>
      <c r="AK151" s="404"/>
      <c r="AL151" s="404"/>
      <c r="AM151" s="109"/>
      <c r="AN151" s="61"/>
      <c r="AO151" s="61"/>
    </row>
    <row r="152" spans="1:41" ht="13.95" customHeight="1" x14ac:dyDescent="0.3">
      <c r="A152" s="765"/>
      <c r="B152" s="765"/>
      <c r="C152" s="765"/>
      <c r="D152" s="765"/>
      <c r="E152" s="765"/>
      <c r="F152" s="765"/>
      <c r="G152" s="765"/>
      <c r="H152" s="765"/>
      <c r="I152" s="765"/>
      <c r="J152" s="765"/>
      <c r="K152" s="765"/>
      <c r="L152" s="765"/>
      <c r="M152" s="765"/>
      <c r="N152" s="765"/>
      <c r="O152" s="765"/>
      <c r="P152" s="765"/>
      <c r="Q152" s="765"/>
      <c r="R152" s="765"/>
      <c r="S152" s="765"/>
      <c r="T152" s="765"/>
      <c r="U152" s="765"/>
      <c r="V152" s="765"/>
      <c r="W152" s="765"/>
      <c r="X152" s="765"/>
      <c r="Y152" s="765"/>
      <c r="Z152" s="765"/>
      <c r="AA152" s="765"/>
      <c r="AB152" s="765"/>
      <c r="AC152" s="765"/>
      <c r="AD152" s="765"/>
      <c r="AE152" s="765"/>
      <c r="AF152" s="765"/>
      <c r="AG152" s="765"/>
      <c r="AH152" s="765"/>
      <c r="AI152" s="765"/>
      <c r="AJ152" s="765"/>
      <c r="AK152" s="765"/>
      <c r="AL152" s="766"/>
      <c r="AM152" s="104" t="s">
        <v>162</v>
      </c>
      <c r="AN152" s="61"/>
      <c r="AO152" s="61"/>
    </row>
    <row r="153" spans="1:41" ht="45" customHeight="1" x14ac:dyDescent="0.25">
      <c r="A153" s="332" t="s">
        <v>790</v>
      </c>
      <c r="B153" s="332"/>
      <c r="C153" s="332"/>
      <c r="D153" s="332"/>
      <c r="E153" s="332"/>
      <c r="F153" s="332"/>
      <c r="G153" s="332"/>
      <c r="H153" s="332"/>
      <c r="I153" s="332"/>
      <c r="J153" s="332"/>
      <c r="K153" s="332"/>
      <c r="L153" s="332"/>
      <c r="M153" s="332"/>
      <c r="N153" s="332"/>
      <c r="O153" s="332"/>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77"/>
      <c r="AN153" s="61"/>
      <c r="AO153" s="61"/>
    </row>
    <row r="154" spans="1:41" ht="41.7" customHeight="1" x14ac:dyDescent="0.25">
      <c r="A154" s="333"/>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117"/>
    </row>
    <row r="155" spans="1:41" ht="41.7" customHeight="1" x14ac:dyDescent="0.25">
      <c r="A155" s="332" t="s">
        <v>831</v>
      </c>
      <c r="B155" s="332"/>
      <c r="C155" s="332"/>
      <c r="D155" s="332"/>
      <c r="E155" s="332"/>
      <c r="F155" s="332"/>
      <c r="G155" s="332"/>
      <c r="H155" s="332"/>
      <c r="I155" s="332"/>
      <c r="J155" s="332"/>
      <c r="K155" s="332"/>
      <c r="L155" s="332"/>
      <c r="M155" s="332"/>
      <c r="N155" s="332"/>
      <c r="O155" s="332"/>
      <c r="P155" s="332"/>
      <c r="Q155" s="332"/>
      <c r="R155" s="332"/>
      <c r="S155" s="332"/>
      <c r="T155" s="332"/>
      <c r="U155" s="332"/>
      <c r="V155" s="332"/>
      <c r="W155" s="332"/>
      <c r="X155" s="332"/>
      <c r="Y155" s="332"/>
      <c r="Z155" s="332"/>
      <c r="AA155" s="332"/>
      <c r="AB155" s="332"/>
      <c r="AC155" s="332"/>
      <c r="AD155" s="332"/>
      <c r="AE155" s="332"/>
      <c r="AF155" s="332"/>
      <c r="AG155" s="332"/>
      <c r="AH155" s="332"/>
      <c r="AI155" s="332"/>
      <c r="AJ155" s="332"/>
      <c r="AK155" s="332"/>
      <c r="AL155" s="332"/>
      <c r="AM155" s="217"/>
    </row>
    <row r="156" spans="1:41" ht="41.7" customHeight="1" x14ac:dyDescent="0.25">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217"/>
    </row>
    <row r="157" spans="1:41" s="116" customFormat="1" ht="37.200000000000003" customHeight="1" x14ac:dyDescent="0.2">
      <c r="A157" s="406" t="s">
        <v>1127</v>
      </c>
      <c r="B157" s="406"/>
      <c r="C157" s="406"/>
      <c r="D157" s="406"/>
      <c r="E157" s="406"/>
      <c r="F157" s="406"/>
      <c r="G157" s="406"/>
      <c r="H157" s="406"/>
      <c r="I157" s="406"/>
      <c r="J157" s="406"/>
      <c r="K157" s="406"/>
      <c r="L157" s="406"/>
      <c r="M157" s="406"/>
      <c r="N157" s="406"/>
      <c r="O157" s="406"/>
      <c r="P157" s="406"/>
      <c r="Q157" s="406"/>
      <c r="R157" s="406"/>
      <c r="S157" s="406"/>
      <c r="T157" s="406"/>
      <c r="U157" s="406"/>
      <c r="V157" s="406"/>
      <c r="W157" s="406"/>
      <c r="X157" s="406"/>
      <c r="Y157" s="406"/>
      <c r="Z157" s="406"/>
      <c r="AA157" s="406"/>
      <c r="AB157" s="406"/>
      <c r="AC157" s="406"/>
      <c r="AD157" s="406"/>
      <c r="AE157" s="406"/>
      <c r="AF157" s="406"/>
      <c r="AG157" s="406"/>
      <c r="AH157" s="406"/>
      <c r="AI157" s="406"/>
      <c r="AJ157" s="406"/>
      <c r="AK157" s="406"/>
      <c r="AL157" s="406"/>
      <c r="AM157" s="101"/>
    </row>
    <row r="158" spans="1:41" s="116" customFormat="1" ht="45" customHeight="1" x14ac:dyDescent="0.2">
      <c r="A158" s="333"/>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117"/>
    </row>
    <row r="159" spans="1:41" s="116" customFormat="1" ht="51.45" customHeight="1" x14ac:dyDescent="0.2">
      <c r="A159" s="332" t="s">
        <v>1129</v>
      </c>
      <c r="B159" s="332"/>
      <c r="C159" s="332"/>
      <c r="D159" s="332"/>
      <c r="E159" s="332"/>
      <c r="F159" s="332"/>
      <c r="G159" s="332"/>
      <c r="H159" s="332"/>
      <c r="I159" s="332"/>
      <c r="J159" s="332"/>
      <c r="K159" s="332"/>
      <c r="L159" s="332"/>
      <c r="M159" s="332"/>
      <c r="N159" s="332"/>
      <c r="O159" s="332"/>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101"/>
    </row>
    <row r="160" spans="1:41" ht="41.7" customHeight="1" x14ac:dyDescent="0.25">
      <c r="A160" s="332" t="s">
        <v>169</v>
      </c>
      <c r="B160" s="332"/>
      <c r="C160" s="332"/>
      <c r="D160" s="332"/>
      <c r="E160" s="332"/>
      <c r="F160" s="332"/>
      <c r="G160" s="332"/>
      <c r="H160" s="332"/>
      <c r="I160" s="332"/>
      <c r="J160" s="332"/>
      <c r="K160" s="332"/>
      <c r="L160" s="332"/>
      <c r="M160" s="332"/>
      <c r="N160" s="332"/>
      <c r="O160" s="332"/>
      <c r="P160" s="332"/>
      <c r="Q160" s="332"/>
      <c r="R160" s="332"/>
      <c r="S160" s="332"/>
      <c r="T160" s="332"/>
      <c r="U160" s="332"/>
      <c r="V160" s="332"/>
      <c r="W160" s="332"/>
      <c r="X160" s="332"/>
      <c r="Y160" s="332"/>
      <c r="Z160" s="332"/>
      <c r="AA160" s="332"/>
      <c r="AB160" s="332"/>
      <c r="AC160" s="332"/>
      <c r="AD160" s="332"/>
      <c r="AE160" s="332"/>
      <c r="AF160" s="332"/>
      <c r="AG160" s="332"/>
      <c r="AH160" s="332"/>
      <c r="AI160" s="332"/>
      <c r="AJ160" s="332"/>
      <c r="AK160" s="332"/>
      <c r="AL160" s="332"/>
      <c r="AM160" s="77"/>
    </row>
    <row r="161" spans="1:39" ht="45" customHeight="1" x14ac:dyDescent="0.25">
      <c r="A161" s="456"/>
      <c r="B161" s="456"/>
      <c r="C161" s="456"/>
      <c r="D161" s="456"/>
      <c r="E161" s="456"/>
      <c r="F161" s="456"/>
      <c r="G161" s="456"/>
      <c r="H161" s="456"/>
      <c r="I161" s="456"/>
      <c r="J161" s="456"/>
      <c r="K161" s="456"/>
      <c r="L161" s="456"/>
      <c r="M161" s="456"/>
      <c r="N161" s="456"/>
      <c r="O161" s="456"/>
      <c r="P161" s="456"/>
      <c r="Q161" s="456"/>
      <c r="R161" s="456"/>
      <c r="S161" s="456"/>
      <c r="T161" s="456"/>
      <c r="U161" s="456"/>
      <c r="V161" s="456"/>
      <c r="W161" s="456"/>
      <c r="X161" s="456"/>
      <c r="Y161" s="456"/>
      <c r="Z161" s="456"/>
      <c r="AA161" s="456"/>
      <c r="AB161" s="456"/>
      <c r="AC161" s="456"/>
      <c r="AD161" s="456"/>
      <c r="AE161" s="456"/>
      <c r="AF161" s="456"/>
      <c r="AG161" s="456"/>
      <c r="AH161" s="456"/>
      <c r="AI161" s="456"/>
      <c r="AJ161" s="456"/>
      <c r="AK161" s="456"/>
      <c r="AL161" s="456"/>
      <c r="AM161" s="77"/>
    </row>
    <row r="162" spans="1:39" ht="88.2" customHeight="1" x14ac:dyDescent="0.25">
      <c r="A162" s="332" t="s">
        <v>1130</v>
      </c>
      <c r="B162" s="332"/>
      <c r="C162" s="332"/>
      <c r="D162" s="332"/>
      <c r="E162" s="332"/>
      <c r="F162" s="332"/>
      <c r="G162" s="332"/>
      <c r="H162" s="332"/>
      <c r="I162" s="332"/>
      <c r="J162" s="332"/>
      <c r="K162" s="332"/>
      <c r="L162" s="332"/>
      <c r="M162" s="332"/>
      <c r="N162" s="332"/>
      <c r="O162" s="332"/>
      <c r="P162" s="332"/>
      <c r="Q162" s="332"/>
      <c r="R162" s="332"/>
      <c r="S162" s="332"/>
      <c r="T162" s="332"/>
      <c r="U162" s="332"/>
      <c r="V162" s="332"/>
      <c r="W162" s="332"/>
      <c r="X162" s="332"/>
      <c r="Y162" s="332"/>
      <c r="Z162" s="332"/>
      <c r="AA162" s="332"/>
      <c r="AB162" s="332"/>
      <c r="AC162" s="332"/>
      <c r="AD162" s="332"/>
      <c r="AE162" s="332"/>
      <c r="AF162" s="332"/>
      <c r="AG162" s="332"/>
      <c r="AH162" s="332"/>
      <c r="AI162" s="332"/>
      <c r="AJ162" s="332"/>
      <c r="AK162" s="332"/>
      <c r="AL162" s="332"/>
      <c r="AM162" s="77"/>
    </row>
    <row r="163" spans="1:39" ht="45" customHeight="1" x14ac:dyDescent="0.25">
      <c r="A163" s="333"/>
      <c r="B163" s="333"/>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c r="Z163" s="333"/>
      <c r="AA163" s="333"/>
      <c r="AB163" s="333"/>
      <c r="AC163" s="333"/>
      <c r="AD163" s="333"/>
      <c r="AE163" s="333"/>
      <c r="AF163" s="333"/>
      <c r="AG163" s="333"/>
      <c r="AH163" s="333"/>
      <c r="AI163" s="333"/>
      <c r="AJ163" s="333"/>
      <c r="AK163" s="333"/>
      <c r="AL163" s="333"/>
      <c r="AM163" s="77"/>
    </row>
    <row r="164" spans="1:39" ht="52.95" customHeight="1" x14ac:dyDescent="0.25">
      <c r="A164" s="308" t="s">
        <v>1133</v>
      </c>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c r="AH164" s="308"/>
      <c r="AI164" s="308"/>
      <c r="AJ164" s="308"/>
      <c r="AK164" s="308"/>
      <c r="AL164" s="308"/>
      <c r="AM164" s="77"/>
    </row>
    <row r="165" spans="1:39" ht="45" customHeight="1" x14ac:dyDescent="0.25">
      <c r="A165" s="630" t="s">
        <v>946</v>
      </c>
      <c r="B165" s="630"/>
      <c r="C165" s="630"/>
      <c r="D165" s="630"/>
      <c r="E165" s="630"/>
      <c r="F165" s="630"/>
      <c r="G165" s="630"/>
      <c r="H165" s="630"/>
      <c r="I165" s="630"/>
      <c r="J165" s="630"/>
      <c r="K165" s="630"/>
      <c r="L165" s="630"/>
      <c r="M165" s="630"/>
      <c r="N165" s="630"/>
      <c r="O165" s="630"/>
      <c r="P165" s="630"/>
      <c r="Q165" s="630"/>
      <c r="R165" s="630"/>
      <c r="S165" s="630"/>
      <c r="T165" s="630" t="s">
        <v>947</v>
      </c>
      <c r="U165" s="630"/>
      <c r="V165" s="630"/>
      <c r="W165" s="630"/>
      <c r="X165" s="630"/>
      <c r="Y165" s="630"/>
      <c r="Z165" s="630"/>
      <c r="AA165" s="630"/>
      <c r="AB165" s="630"/>
      <c r="AC165" s="630"/>
      <c r="AD165" s="630"/>
      <c r="AE165" s="630"/>
      <c r="AF165" s="630"/>
      <c r="AG165" s="630"/>
      <c r="AH165" s="630"/>
      <c r="AI165" s="630"/>
      <c r="AJ165" s="630"/>
      <c r="AK165" s="630"/>
      <c r="AL165" s="630"/>
      <c r="AM165" s="77"/>
    </row>
    <row r="166" spans="1:39" ht="45" customHeight="1" x14ac:dyDescent="0.25">
      <c r="A166" s="629"/>
      <c r="B166" s="629"/>
      <c r="C166" s="629"/>
      <c r="D166" s="629"/>
      <c r="E166" s="629"/>
      <c r="F166" s="629"/>
      <c r="G166" s="629"/>
      <c r="H166" s="629"/>
      <c r="I166" s="629"/>
      <c r="J166" s="629"/>
      <c r="K166" s="629"/>
      <c r="L166" s="629"/>
      <c r="M166" s="629"/>
      <c r="N166" s="629"/>
      <c r="O166" s="629"/>
      <c r="P166" s="629"/>
      <c r="Q166" s="629"/>
      <c r="R166" s="629"/>
      <c r="S166" s="629"/>
      <c r="T166" s="705"/>
      <c r="U166" s="705"/>
      <c r="V166" s="705"/>
      <c r="W166" s="705"/>
      <c r="X166" s="705"/>
      <c r="Y166" s="705"/>
      <c r="Z166" s="705"/>
      <c r="AA166" s="705"/>
      <c r="AB166" s="705"/>
      <c r="AC166" s="705"/>
      <c r="AD166" s="705"/>
      <c r="AE166" s="705"/>
      <c r="AF166" s="705"/>
      <c r="AG166" s="705"/>
      <c r="AH166" s="705"/>
      <c r="AI166" s="705"/>
      <c r="AJ166" s="705"/>
      <c r="AK166" s="705"/>
      <c r="AL166" s="705"/>
      <c r="AM166" s="77"/>
    </row>
    <row r="167" spans="1:39" ht="60.45" customHeight="1" x14ac:dyDescent="0.25">
      <c r="A167" s="315" t="s">
        <v>1135</v>
      </c>
      <c r="B167" s="315"/>
      <c r="C167" s="315"/>
      <c r="D167" s="315"/>
      <c r="E167" s="315"/>
      <c r="F167" s="315"/>
      <c r="G167" s="315"/>
      <c r="H167" s="315"/>
      <c r="I167" s="315"/>
      <c r="J167" s="315"/>
      <c r="K167" s="315"/>
      <c r="L167" s="315"/>
      <c r="M167" s="315"/>
      <c r="N167" s="315"/>
      <c r="O167" s="315"/>
      <c r="P167" s="315"/>
      <c r="Q167" s="315"/>
      <c r="R167" s="315"/>
      <c r="S167" s="315"/>
      <c r="T167" s="315"/>
      <c r="U167" s="315"/>
      <c r="V167" s="315"/>
      <c r="W167" s="315"/>
      <c r="X167" s="315"/>
      <c r="Y167" s="315"/>
      <c r="Z167" s="315"/>
      <c r="AA167" s="315"/>
      <c r="AB167" s="315"/>
      <c r="AC167" s="315"/>
      <c r="AD167" s="315"/>
      <c r="AE167" s="315"/>
      <c r="AF167" s="315"/>
      <c r="AG167" s="315"/>
      <c r="AH167" s="315"/>
      <c r="AI167" s="315"/>
      <c r="AJ167" s="315"/>
      <c r="AK167" s="315"/>
      <c r="AL167" s="315"/>
      <c r="AM167" s="77"/>
    </row>
    <row r="168" spans="1:39" ht="85.5" customHeight="1" x14ac:dyDescent="0.25">
      <c r="A168" s="333"/>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77"/>
    </row>
    <row r="169" spans="1:39" ht="69" customHeight="1" x14ac:dyDescent="0.25">
      <c r="A169" s="308" t="s">
        <v>1138</v>
      </c>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77"/>
    </row>
    <row r="170" spans="1:39" ht="69" customHeight="1" x14ac:dyDescent="0.25">
      <c r="A170" s="333" t="s">
        <v>1139</v>
      </c>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77"/>
    </row>
    <row r="171" spans="1:39" ht="37.200000000000003" customHeight="1" x14ac:dyDescent="0.25">
      <c r="A171" s="308" t="s">
        <v>752</v>
      </c>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c r="AJ171" s="308"/>
      <c r="AK171" s="308"/>
      <c r="AL171" s="308"/>
      <c r="AM171" s="77"/>
    </row>
    <row r="172" spans="1:39" ht="63" customHeight="1" x14ac:dyDescent="0.25">
      <c r="A172" s="308" t="s">
        <v>979</v>
      </c>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c r="AH172" s="308"/>
      <c r="AI172" s="308"/>
      <c r="AJ172" s="308"/>
      <c r="AK172" s="308"/>
      <c r="AL172" s="308"/>
      <c r="AM172" s="77"/>
    </row>
    <row r="173" spans="1:39" ht="34.200000000000003" customHeight="1" x14ac:dyDescent="0.25">
      <c r="A173" s="308" t="s">
        <v>1024</v>
      </c>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c r="AM173" s="77"/>
    </row>
    <row r="174" spans="1:39" ht="85.5" customHeight="1" x14ac:dyDescent="0.25">
      <c r="A174" s="308" t="s">
        <v>1153</v>
      </c>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c r="AH174" s="308"/>
      <c r="AI174" s="308"/>
      <c r="AJ174" s="308"/>
      <c r="AK174" s="308"/>
      <c r="AL174" s="308"/>
      <c r="AM174" s="77"/>
    </row>
    <row r="175" spans="1:39" ht="48" customHeight="1" x14ac:dyDescent="0.25">
      <c r="A175" s="308" t="s">
        <v>1012</v>
      </c>
      <c r="B175" s="328"/>
      <c r="C175" s="328"/>
      <c r="D175" s="328"/>
      <c r="E175" s="328"/>
      <c r="F175" s="328"/>
      <c r="G175" s="328"/>
      <c r="H175" s="328"/>
      <c r="I175" s="328"/>
      <c r="J175" s="328"/>
      <c r="K175" s="328"/>
      <c r="L175" s="328"/>
      <c r="M175" s="328"/>
      <c r="N175" s="328"/>
      <c r="O175" s="328"/>
      <c r="P175" s="328"/>
      <c r="Q175" s="328"/>
      <c r="R175" s="328"/>
      <c r="S175" s="328"/>
      <c r="T175" s="328"/>
      <c r="U175" s="328"/>
      <c r="V175" s="328"/>
      <c r="W175" s="328"/>
      <c r="X175" s="328"/>
      <c r="Y175" s="328"/>
      <c r="Z175" s="328"/>
      <c r="AA175" s="328"/>
      <c r="AB175" s="328"/>
      <c r="AC175" s="328"/>
      <c r="AD175" s="328"/>
      <c r="AE175" s="328"/>
      <c r="AF175" s="328"/>
      <c r="AG175" s="328"/>
      <c r="AH175" s="328"/>
      <c r="AI175" s="328"/>
      <c r="AJ175" s="328"/>
      <c r="AK175" s="328"/>
      <c r="AL175" s="328"/>
      <c r="AM175" s="77"/>
    </row>
    <row r="176" spans="1:39" ht="19.95" customHeight="1" x14ac:dyDescent="0.25">
      <c r="A176" s="308" t="s">
        <v>1051</v>
      </c>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308"/>
      <c r="AH176" s="308"/>
      <c r="AI176" s="308"/>
      <c r="AJ176" s="308"/>
      <c r="AK176" s="308"/>
      <c r="AL176" s="308"/>
      <c r="AM176" s="77"/>
    </row>
    <row r="177" spans="1:57" ht="25.95" customHeight="1" x14ac:dyDescent="0.25">
      <c r="A177" s="505" t="str">
        <f>IF(B17="Powiat","1)  w przypadku powiatu – starostę",IF(B17="",""))</f>
        <v>1)  w przypadku powiatu – starostę</v>
      </c>
      <c r="B177" s="505"/>
      <c r="C177" s="505"/>
      <c r="D177" s="505"/>
      <c r="E177" s="505"/>
      <c r="F177" s="505"/>
      <c r="G177" s="505"/>
      <c r="H177" s="505"/>
      <c r="I177" s="505"/>
      <c r="J177" s="505"/>
      <c r="K177" s="505"/>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454" t="s">
        <v>977</v>
      </c>
    </row>
    <row r="178" spans="1:57" ht="38.700000000000003" customHeight="1" x14ac:dyDescent="0.3">
      <c r="A178" s="460" t="s">
        <v>753</v>
      </c>
      <c r="B178" s="460"/>
      <c r="C178" s="460"/>
      <c r="D178" s="460"/>
      <c r="E178" s="460"/>
      <c r="F178" s="460"/>
      <c r="G178" s="460"/>
      <c r="H178" s="460"/>
      <c r="I178" s="460"/>
      <c r="J178" s="460"/>
      <c r="K178" s="460"/>
      <c r="L178" s="460"/>
      <c r="M178" s="460"/>
      <c r="N178" s="460"/>
      <c r="O178" s="460"/>
      <c r="P178" s="460"/>
      <c r="Q178" s="460"/>
      <c r="R178" s="460"/>
      <c r="S178" s="460"/>
      <c r="T178" s="460"/>
      <c r="U178" s="460"/>
      <c r="V178" s="460"/>
      <c r="W178" s="460"/>
      <c r="X178" s="460"/>
      <c r="Y178" s="460"/>
      <c r="Z178" s="460"/>
      <c r="AA178" s="460"/>
      <c r="AB178" s="460"/>
      <c r="AC178" s="460"/>
      <c r="AD178" s="460"/>
      <c r="AE178" s="460"/>
      <c r="AF178" s="460"/>
      <c r="AG178" s="460"/>
      <c r="AH178" s="460"/>
      <c r="AI178" s="460"/>
      <c r="AJ178" s="460"/>
      <c r="AK178" s="460"/>
      <c r="AL178" s="460"/>
      <c r="AM178" s="455"/>
    </row>
    <row r="179" spans="1:57" ht="14.25" customHeight="1" x14ac:dyDescent="0.25">
      <c r="A179" s="449" t="s">
        <v>1148</v>
      </c>
      <c r="B179" s="449"/>
      <c r="C179" s="449"/>
      <c r="D179" s="449"/>
      <c r="E179" s="449"/>
      <c r="F179" s="449"/>
      <c r="G179" s="449"/>
      <c r="H179" s="449"/>
      <c r="I179" s="449"/>
      <c r="J179" s="449"/>
      <c r="K179" s="449"/>
      <c r="L179" s="449"/>
      <c r="M179" s="449"/>
      <c r="N179" s="449"/>
      <c r="O179" s="449"/>
      <c r="P179" s="449"/>
      <c r="Q179" s="449"/>
      <c r="R179" s="449"/>
      <c r="S179" s="449"/>
      <c r="T179" s="449"/>
      <c r="U179" s="449"/>
      <c r="V179" s="449"/>
      <c r="W179" s="449"/>
      <c r="X179" s="449"/>
      <c r="Y179" s="449"/>
      <c r="Z179" s="449"/>
      <c r="AA179" s="449"/>
      <c r="AB179" s="449"/>
      <c r="AC179" s="449"/>
      <c r="AD179" s="449"/>
      <c r="AE179" s="449"/>
      <c r="AF179" s="449"/>
      <c r="AG179" s="449"/>
      <c r="AH179" s="449"/>
      <c r="AI179" s="449"/>
      <c r="AJ179" s="449"/>
      <c r="AK179" s="449"/>
      <c r="AL179" s="449"/>
    </row>
    <row r="180" spans="1:57" ht="14.25" customHeight="1" x14ac:dyDescent="0.25">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c r="W180" s="450"/>
      <c r="X180" s="450"/>
      <c r="Y180" s="450"/>
      <c r="Z180" s="450"/>
      <c r="AA180" s="450"/>
      <c r="AB180" s="450"/>
      <c r="AC180" s="450"/>
      <c r="AD180" s="450"/>
      <c r="AE180" s="450"/>
      <c r="AF180" s="450"/>
      <c r="AG180" s="450"/>
      <c r="AH180" s="450"/>
      <c r="AI180" s="450"/>
      <c r="AJ180" s="450"/>
      <c r="AK180" s="450"/>
      <c r="AL180" s="450"/>
    </row>
    <row r="181" spans="1:57" ht="14.25" customHeight="1" x14ac:dyDescent="0.25">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c r="W181" s="450"/>
      <c r="X181" s="450"/>
      <c r="Y181" s="450"/>
      <c r="Z181" s="450"/>
      <c r="AA181" s="450"/>
      <c r="AB181" s="450"/>
      <c r="AC181" s="450"/>
      <c r="AD181" s="450"/>
      <c r="AE181" s="450"/>
      <c r="AF181" s="450"/>
      <c r="AG181" s="450"/>
      <c r="AH181" s="450"/>
      <c r="AI181" s="450"/>
      <c r="AJ181" s="450"/>
      <c r="AK181" s="450"/>
      <c r="AL181" s="450"/>
    </row>
    <row r="182" spans="1:57" ht="14.25" customHeight="1" x14ac:dyDescent="0.3">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c r="W182" s="450"/>
      <c r="X182" s="450"/>
      <c r="Y182" s="450"/>
      <c r="Z182" s="450"/>
      <c r="AA182" s="450"/>
      <c r="AB182" s="450"/>
      <c r="AC182" s="450"/>
      <c r="AD182" s="450"/>
      <c r="AE182" s="450"/>
      <c r="AF182" s="450"/>
      <c r="AG182" s="450"/>
      <c r="AH182" s="450"/>
      <c r="AI182" s="450"/>
      <c r="AJ182" s="450"/>
      <c r="AK182" s="450"/>
      <c r="AL182" s="450"/>
      <c r="AM182" s="256" t="s">
        <v>1155</v>
      </c>
    </row>
    <row r="183" spans="1:57" ht="154.5" customHeight="1" x14ac:dyDescent="0.25">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c r="W183" s="450"/>
      <c r="X183" s="450"/>
      <c r="Y183" s="450"/>
      <c r="Z183" s="450"/>
      <c r="AA183" s="450"/>
      <c r="AB183" s="450"/>
      <c r="AC183" s="450"/>
      <c r="AD183" s="450"/>
      <c r="AE183" s="450"/>
      <c r="AF183" s="450"/>
      <c r="AG183" s="450"/>
      <c r="AH183" s="450"/>
      <c r="AI183" s="450"/>
      <c r="AJ183" s="450"/>
      <c r="AK183" s="450"/>
      <c r="AL183" s="450"/>
      <c r="AM183" s="255" t="s">
        <v>1156</v>
      </c>
    </row>
    <row r="184" spans="1:57" ht="14.25" customHeight="1" x14ac:dyDescent="0.3"/>
    <row r="185" spans="1:57" s="88" customFormat="1" ht="14.25" customHeight="1" x14ac:dyDescent="0.3">
      <c r="AM185" s="101"/>
      <c r="AN185" s="60"/>
      <c r="AO185" s="60"/>
      <c r="AP185" s="60"/>
      <c r="AQ185" s="60"/>
      <c r="AR185" s="60"/>
      <c r="AS185" s="60"/>
      <c r="AT185" s="60"/>
      <c r="AU185" s="60"/>
      <c r="AV185" s="60"/>
      <c r="AW185" s="60"/>
      <c r="AX185" s="60"/>
      <c r="AY185" s="60"/>
      <c r="AZ185" s="60"/>
      <c r="BA185" s="60"/>
      <c r="BB185" s="60"/>
      <c r="BC185" s="60"/>
      <c r="BD185" s="60"/>
      <c r="BE185" s="60"/>
    </row>
    <row r="186" spans="1:57" s="88" customFormat="1" ht="14.25" customHeight="1" x14ac:dyDescent="0.3">
      <c r="AM186" s="101"/>
      <c r="AN186" s="60"/>
      <c r="AO186" s="60"/>
      <c r="AP186" s="60"/>
      <c r="AQ186" s="60"/>
      <c r="AR186" s="60"/>
      <c r="AS186" s="60"/>
      <c r="AT186" s="60"/>
      <c r="AU186" s="60"/>
      <c r="AV186" s="60"/>
      <c r="AW186" s="60"/>
      <c r="AX186" s="60"/>
      <c r="AY186" s="60"/>
      <c r="AZ186" s="60"/>
      <c r="BA186" s="60"/>
      <c r="BB186" s="60"/>
      <c r="BC186" s="60"/>
      <c r="BD186" s="60"/>
      <c r="BE186" s="60"/>
    </row>
    <row r="187" spans="1:57" s="88" customFormat="1" ht="14.25" customHeight="1" x14ac:dyDescent="0.3">
      <c r="AM187" s="101"/>
      <c r="AN187" s="60"/>
      <c r="AO187" s="60"/>
      <c r="AP187" s="60"/>
      <c r="AQ187" s="60"/>
      <c r="AR187" s="60"/>
      <c r="AS187" s="60"/>
      <c r="AT187" s="60"/>
      <c r="AU187" s="60"/>
      <c r="AV187" s="60"/>
      <c r="AW187" s="60"/>
      <c r="AX187" s="60"/>
      <c r="AY187" s="60"/>
      <c r="AZ187" s="60"/>
      <c r="BA187" s="60"/>
      <c r="BB187" s="60"/>
      <c r="BC187" s="60"/>
      <c r="BD187" s="60"/>
      <c r="BE187" s="60"/>
    </row>
    <row r="188" spans="1:57" s="88" customFormat="1" ht="14.25" customHeight="1" x14ac:dyDescent="0.3">
      <c r="AM188" s="101"/>
      <c r="AN188" s="60"/>
      <c r="AO188" s="60"/>
      <c r="AP188" s="60"/>
      <c r="AQ188" s="60"/>
      <c r="AR188" s="60"/>
      <c r="AS188" s="60"/>
      <c r="AT188" s="60"/>
      <c r="AU188" s="60"/>
      <c r="AV188" s="60"/>
      <c r="AW188" s="60"/>
      <c r="AX188" s="60"/>
      <c r="AY188" s="60"/>
      <c r="AZ188" s="60"/>
      <c r="BA188" s="60"/>
      <c r="BB188" s="60"/>
      <c r="BC188" s="60"/>
      <c r="BD188" s="60"/>
      <c r="BE188" s="60"/>
    </row>
    <row r="189" spans="1:57" s="88" customFormat="1" ht="14.25" customHeight="1" x14ac:dyDescent="0.3">
      <c r="AM189" s="101"/>
      <c r="AN189" s="60"/>
      <c r="AO189" s="60"/>
      <c r="AP189" s="60"/>
      <c r="AQ189" s="60"/>
      <c r="AR189" s="60"/>
      <c r="AS189" s="60"/>
      <c r="AT189" s="60"/>
      <c r="AU189" s="60"/>
      <c r="AV189" s="60"/>
      <c r="AW189" s="60"/>
      <c r="AX189" s="60"/>
      <c r="AY189" s="60"/>
      <c r="AZ189" s="60"/>
      <c r="BA189" s="60"/>
      <c r="BB189" s="60"/>
      <c r="BC189" s="60"/>
      <c r="BD189" s="60"/>
      <c r="BE189" s="60"/>
    </row>
    <row r="190" spans="1:57" s="88" customFormat="1" ht="14.25" customHeight="1" x14ac:dyDescent="0.3">
      <c r="AM190" s="101"/>
      <c r="AN190" s="60"/>
      <c r="AO190" s="60"/>
      <c r="AP190" s="60"/>
      <c r="AQ190" s="60"/>
      <c r="AR190" s="60"/>
      <c r="AS190" s="60"/>
      <c r="AT190" s="60"/>
      <c r="AU190" s="60"/>
      <c r="AV190" s="60"/>
      <c r="AW190" s="60"/>
      <c r="AX190" s="60"/>
      <c r="AY190" s="60"/>
      <c r="AZ190" s="60"/>
      <c r="BA190" s="60"/>
      <c r="BB190" s="60"/>
      <c r="BC190" s="60"/>
      <c r="BD190" s="60"/>
      <c r="BE190" s="60"/>
    </row>
    <row r="191" spans="1:57" s="88" customFormat="1" ht="14.25" customHeight="1" x14ac:dyDescent="0.3">
      <c r="AM191" s="101"/>
      <c r="AN191" s="60"/>
      <c r="AO191" s="60"/>
      <c r="AP191" s="60"/>
      <c r="AQ191" s="60"/>
      <c r="AR191" s="60"/>
      <c r="AS191" s="60"/>
      <c r="AT191" s="60"/>
      <c r="AU191" s="60"/>
      <c r="AV191" s="60"/>
      <c r="AW191" s="60"/>
      <c r="AX191" s="60"/>
      <c r="AY191" s="60"/>
      <c r="AZ191" s="60"/>
      <c r="BA191" s="60"/>
      <c r="BB191" s="60"/>
      <c r="BC191" s="60"/>
      <c r="BD191" s="60"/>
      <c r="BE191" s="60"/>
    </row>
    <row r="192" spans="1:57" s="88" customFormat="1" ht="14.25" customHeight="1" x14ac:dyDescent="0.3">
      <c r="AM192" s="101"/>
      <c r="AN192" s="60"/>
      <c r="AO192" s="60"/>
      <c r="AP192" s="60"/>
      <c r="AQ192" s="60"/>
      <c r="AR192" s="60"/>
      <c r="AS192" s="60"/>
      <c r="AT192" s="60"/>
      <c r="AU192" s="60"/>
      <c r="AV192" s="60"/>
      <c r="AW192" s="60"/>
      <c r="AX192" s="60"/>
      <c r="AY192" s="60"/>
      <c r="AZ192" s="60"/>
      <c r="BA192" s="60"/>
      <c r="BB192" s="60"/>
      <c r="BC192" s="60"/>
      <c r="BD192" s="60"/>
      <c r="BE192" s="60"/>
    </row>
    <row r="193" spans="39:57" s="88" customFormat="1" ht="14.25" customHeight="1" x14ac:dyDescent="0.3">
      <c r="AM193" s="101"/>
      <c r="AN193" s="60"/>
      <c r="AO193" s="60"/>
      <c r="AP193" s="60"/>
      <c r="AQ193" s="60"/>
      <c r="AR193" s="60"/>
      <c r="AS193" s="60"/>
      <c r="AT193" s="60"/>
      <c r="AU193" s="60"/>
      <c r="AV193" s="60"/>
      <c r="AW193" s="60"/>
      <c r="AX193" s="60"/>
      <c r="AY193" s="60"/>
      <c r="AZ193" s="60"/>
      <c r="BA193" s="60"/>
      <c r="BB193" s="60"/>
      <c r="BC193" s="60"/>
      <c r="BD193" s="60"/>
      <c r="BE193" s="60"/>
    </row>
    <row r="194" spans="39:57" s="88" customFormat="1" ht="14.25" customHeight="1" x14ac:dyDescent="0.3">
      <c r="AM194" s="101"/>
      <c r="AN194" s="60"/>
      <c r="AO194" s="60"/>
      <c r="AP194" s="60"/>
      <c r="AQ194" s="60"/>
      <c r="AR194" s="60"/>
      <c r="AS194" s="60"/>
      <c r="AT194" s="60"/>
      <c r="AU194" s="60"/>
      <c r="AV194" s="60"/>
      <c r="AW194" s="60"/>
      <c r="AX194" s="60"/>
      <c r="AY194" s="60"/>
      <c r="AZ194" s="60"/>
      <c r="BA194" s="60"/>
      <c r="BB194" s="60"/>
      <c r="BC194" s="60"/>
      <c r="BD194" s="60"/>
      <c r="BE194" s="60"/>
    </row>
    <row r="195" spans="39:57" s="88" customFormat="1" ht="14.25" customHeight="1" x14ac:dyDescent="0.3">
      <c r="AM195" s="101"/>
      <c r="AN195" s="60"/>
      <c r="AO195" s="60"/>
      <c r="AP195" s="60"/>
      <c r="AQ195" s="60"/>
      <c r="AR195" s="60"/>
      <c r="AS195" s="60"/>
      <c r="AT195" s="60"/>
      <c r="AU195" s="60"/>
      <c r="AV195" s="60"/>
      <c r="AW195" s="60"/>
      <c r="AX195" s="60"/>
      <c r="AY195" s="60"/>
      <c r="AZ195" s="60"/>
      <c r="BA195" s="60"/>
      <c r="BB195" s="60"/>
      <c r="BC195" s="60"/>
      <c r="BD195" s="60"/>
      <c r="BE195" s="60"/>
    </row>
    <row r="196" spans="39:57" s="88" customFormat="1" ht="14.25" customHeight="1" x14ac:dyDescent="0.3">
      <c r="AM196" s="101"/>
      <c r="AN196" s="60"/>
      <c r="AO196" s="60"/>
      <c r="AP196" s="60"/>
      <c r="AQ196" s="60"/>
      <c r="AR196" s="60"/>
      <c r="AS196" s="60"/>
      <c r="AT196" s="60"/>
      <c r="AU196" s="60"/>
      <c r="AV196" s="60"/>
      <c r="AW196" s="60"/>
      <c r="AX196" s="60"/>
      <c r="AY196" s="60"/>
      <c r="AZ196" s="60"/>
      <c r="BA196" s="60"/>
      <c r="BB196" s="60"/>
      <c r="BC196" s="60"/>
      <c r="BD196" s="60"/>
      <c r="BE196" s="60"/>
    </row>
    <row r="197" spans="39:57" s="88" customFormat="1" ht="14.25" customHeight="1" x14ac:dyDescent="0.3">
      <c r="AM197" s="101"/>
      <c r="AN197" s="60"/>
      <c r="AO197" s="60"/>
      <c r="AP197" s="60"/>
      <c r="AQ197" s="60"/>
      <c r="AR197" s="60"/>
      <c r="AS197" s="60"/>
      <c r="AT197" s="60"/>
      <c r="AU197" s="60"/>
      <c r="AV197" s="60"/>
      <c r="AW197" s="60"/>
      <c r="AX197" s="60"/>
      <c r="AY197" s="60"/>
      <c r="AZ197" s="60"/>
      <c r="BA197" s="60"/>
      <c r="BB197" s="60"/>
      <c r="BC197" s="60"/>
      <c r="BD197" s="60"/>
      <c r="BE197" s="60"/>
    </row>
    <row r="198" spans="39:57" s="88" customFormat="1" ht="14.25" customHeight="1" x14ac:dyDescent="0.3">
      <c r="AM198" s="101"/>
      <c r="AN198" s="60"/>
      <c r="AO198" s="60"/>
      <c r="AP198" s="60"/>
      <c r="AQ198" s="60"/>
      <c r="AR198" s="60"/>
      <c r="AS198" s="60"/>
      <c r="AT198" s="60"/>
      <c r="AU198" s="60"/>
      <c r="AV198" s="60"/>
      <c r="AW198" s="60"/>
      <c r="AX198" s="60"/>
      <c r="AY198" s="60"/>
      <c r="AZ198" s="60"/>
      <c r="BA198" s="60"/>
      <c r="BB198" s="60"/>
      <c r="BC198" s="60"/>
      <c r="BD198" s="60"/>
      <c r="BE198" s="60"/>
    </row>
    <row r="199" spans="39:57" s="88" customFormat="1" ht="14.25" customHeight="1" x14ac:dyDescent="0.3">
      <c r="AM199" s="101"/>
      <c r="AN199" s="60"/>
      <c r="AO199" s="60"/>
      <c r="AP199" s="60"/>
      <c r="AQ199" s="60"/>
      <c r="AR199" s="60"/>
      <c r="AS199" s="60"/>
      <c r="AT199" s="60"/>
      <c r="AU199" s="60"/>
      <c r="AV199" s="60"/>
      <c r="AW199" s="60"/>
      <c r="AX199" s="60"/>
      <c r="AY199" s="60"/>
      <c r="AZ199" s="60"/>
      <c r="BA199" s="60"/>
      <c r="BB199" s="60"/>
      <c r="BC199" s="60"/>
      <c r="BD199" s="60"/>
      <c r="BE199" s="60"/>
    </row>
    <row r="200" spans="39:57" s="88" customFormat="1" ht="14.25" customHeight="1" x14ac:dyDescent="0.3">
      <c r="AM200" s="101"/>
      <c r="AN200" s="60"/>
      <c r="AO200" s="60"/>
      <c r="AP200" s="60"/>
      <c r="AQ200" s="60"/>
      <c r="AR200" s="60"/>
      <c r="AS200" s="60"/>
      <c r="AT200" s="60"/>
      <c r="AU200" s="60"/>
      <c r="AV200" s="60"/>
      <c r="AW200" s="60"/>
      <c r="AX200" s="60"/>
      <c r="AY200" s="60"/>
      <c r="AZ200" s="60"/>
      <c r="BA200" s="60"/>
      <c r="BB200" s="60"/>
      <c r="BC200" s="60"/>
      <c r="BD200" s="60"/>
      <c r="BE200" s="60"/>
    </row>
    <row r="201" spans="39:57" s="88" customFormat="1" ht="14.25" customHeight="1" x14ac:dyDescent="0.3">
      <c r="AM201" s="101"/>
      <c r="AN201" s="60"/>
      <c r="AO201" s="60"/>
      <c r="AP201" s="60"/>
      <c r="AQ201" s="60"/>
      <c r="AR201" s="60"/>
      <c r="AS201" s="60"/>
      <c r="AT201" s="60"/>
      <c r="AU201" s="60"/>
      <c r="AV201" s="60"/>
      <c r="AW201" s="60"/>
      <c r="AX201" s="60"/>
      <c r="AY201" s="60"/>
      <c r="AZ201" s="60"/>
      <c r="BA201" s="60"/>
      <c r="BB201" s="60"/>
      <c r="BC201" s="60"/>
      <c r="BD201" s="60"/>
      <c r="BE201" s="60"/>
    </row>
    <row r="202" spans="39:57" s="88" customFormat="1" ht="14.25" customHeight="1" x14ac:dyDescent="0.3">
      <c r="AM202" s="101"/>
      <c r="AN202" s="60"/>
      <c r="AO202" s="60"/>
      <c r="AP202" s="60"/>
      <c r="AQ202" s="60"/>
      <c r="AR202" s="60"/>
      <c r="AS202" s="60"/>
      <c r="AT202" s="60"/>
      <c r="AU202" s="60"/>
      <c r="AV202" s="60"/>
      <c r="AW202" s="60"/>
      <c r="AX202" s="60"/>
      <c r="AY202" s="60"/>
      <c r="AZ202" s="60"/>
      <c r="BA202" s="60"/>
      <c r="BB202" s="60"/>
      <c r="BC202" s="60"/>
      <c r="BD202" s="60"/>
      <c r="BE202" s="60"/>
    </row>
    <row r="203" spans="39:57" s="88" customFormat="1" ht="14.25" customHeight="1" x14ac:dyDescent="0.3">
      <c r="AM203" s="101"/>
      <c r="AN203" s="60"/>
      <c r="AO203" s="60"/>
      <c r="AP203" s="60"/>
      <c r="AQ203" s="60"/>
      <c r="AR203" s="60"/>
      <c r="AS203" s="60"/>
      <c r="AT203" s="60"/>
      <c r="AU203" s="60"/>
      <c r="AV203" s="60"/>
      <c r="AW203" s="60"/>
      <c r="AX203" s="60"/>
      <c r="AY203" s="60"/>
      <c r="AZ203" s="60"/>
      <c r="BA203" s="60"/>
      <c r="BB203" s="60"/>
      <c r="BC203" s="60"/>
      <c r="BD203" s="60"/>
      <c r="BE203" s="60"/>
    </row>
    <row r="204" spans="39:57" s="88" customFormat="1" ht="14.25" customHeight="1" x14ac:dyDescent="0.3">
      <c r="AM204" s="101"/>
      <c r="AN204" s="60"/>
      <c r="AO204" s="60"/>
      <c r="AP204" s="60"/>
      <c r="AQ204" s="60"/>
      <c r="AR204" s="60"/>
      <c r="AS204" s="60"/>
      <c r="AT204" s="60"/>
      <c r="AU204" s="60"/>
      <c r="AV204" s="60"/>
      <c r="AW204" s="60"/>
      <c r="AX204" s="60"/>
      <c r="AY204" s="60"/>
      <c r="AZ204" s="60"/>
      <c r="BA204" s="60"/>
      <c r="BB204" s="60"/>
      <c r="BC204" s="60"/>
      <c r="BD204" s="60"/>
      <c r="BE204" s="60"/>
    </row>
    <row r="205" spans="39:57" s="88" customFormat="1" ht="14.25" customHeight="1" x14ac:dyDescent="0.3">
      <c r="AM205" s="101"/>
      <c r="AN205" s="60"/>
      <c r="AO205" s="60"/>
      <c r="AP205" s="60"/>
      <c r="AQ205" s="60"/>
      <c r="AR205" s="60"/>
      <c r="AS205" s="60"/>
      <c r="AT205" s="60"/>
      <c r="AU205" s="60"/>
      <c r="AV205" s="60"/>
      <c r="AW205" s="60"/>
      <c r="AX205" s="60"/>
      <c r="AY205" s="60"/>
      <c r="AZ205" s="60"/>
      <c r="BA205" s="60"/>
      <c r="BB205" s="60"/>
      <c r="BC205" s="60"/>
      <c r="BD205" s="60"/>
      <c r="BE205" s="60"/>
    </row>
  </sheetData>
  <sheetProtection algorithmName="SHA-512" hashValue="yo4wSLxvt6hcr2wXHjtanfiEsiPkFU8eyIWSjDrIw2kKWZhoj9qqDA2PaXLjWTyhJqreKLsl3NHc8no1RidSbg==" saltValue="RXSBK9X6FnztxHnc5Y2gew==" spinCount="100000" sheet="1" formatCells="0" formatRows="0" insertRows="0"/>
  <mergeCells count="431">
    <mergeCell ref="A1:AL1"/>
    <mergeCell ref="A176:AL176"/>
    <mergeCell ref="AM177:AM178"/>
    <mergeCell ref="A20:A23"/>
    <mergeCell ref="B20:AL20"/>
    <mergeCell ref="B57:AL57"/>
    <mergeCell ref="B59:AL59"/>
    <mergeCell ref="A67:A79"/>
    <mergeCell ref="B73:R73"/>
    <mergeCell ref="S73:AL73"/>
    <mergeCell ref="B79:R79"/>
    <mergeCell ref="S79:AL79"/>
    <mergeCell ref="AK65:AL65"/>
    <mergeCell ref="A60:A66"/>
    <mergeCell ref="Z65:AJ65"/>
    <mergeCell ref="Z66:AJ66"/>
    <mergeCell ref="AK66:AL66"/>
    <mergeCell ref="B67:AL67"/>
    <mergeCell ref="B68:AL68"/>
    <mergeCell ref="B69:R69"/>
    <mergeCell ref="S69:AL69"/>
    <mergeCell ref="A56:A57"/>
    <mergeCell ref="A169:AL169"/>
    <mergeCell ref="A170:AL170"/>
    <mergeCell ref="B56:AL56"/>
    <mergeCell ref="B127:F127"/>
    <mergeCell ref="G127:K127"/>
    <mergeCell ref="B150:S150"/>
    <mergeCell ref="B128:F128"/>
    <mergeCell ref="G128:K128"/>
    <mergeCell ref="L128:O128"/>
    <mergeCell ref="B129:F129"/>
    <mergeCell ref="G129:K129"/>
    <mergeCell ref="L129:O129"/>
    <mergeCell ref="B130:F130"/>
    <mergeCell ref="B145:F145"/>
    <mergeCell ref="G145:K145"/>
    <mergeCell ref="L145:O145"/>
    <mergeCell ref="B140:F140"/>
    <mergeCell ref="G140:K140"/>
    <mergeCell ref="L140:O140"/>
    <mergeCell ref="B138:F138"/>
    <mergeCell ref="G138:K138"/>
    <mergeCell ref="L138:O138"/>
    <mergeCell ref="B135:F135"/>
    <mergeCell ref="G135:K135"/>
    <mergeCell ref="L135:O135"/>
    <mergeCell ref="B136:F136"/>
    <mergeCell ref="L137:O137"/>
    <mergeCell ref="AK144:AL144"/>
    <mergeCell ref="P145:S145"/>
    <mergeCell ref="L127:O127"/>
    <mergeCell ref="A179:AL183"/>
    <mergeCell ref="B61:Y61"/>
    <mergeCell ref="B62:Y62"/>
    <mergeCell ref="B63:Y63"/>
    <mergeCell ref="B64:Y64"/>
    <mergeCell ref="B65:Y65"/>
    <mergeCell ref="B66:Y66"/>
    <mergeCell ref="A178:AL178"/>
    <mergeCell ref="A177:AL177"/>
    <mergeCell ref="B123:F123"/>
    <mergeCell ref="G123:K123"/>
    <mergeCell ref="L123:O123"/>
    <mergeCell ref="B124:F124"/>
    <mergeCell ref="G124:K124"/>
    <mergeCell ref="L124:O124"/>
    <mergeCell ref="B125:F125"/>
    <mergeCell ref="G125:K125"/>
    <mergeCell ref="L125:O125"/>
    <mergeCell ref="A152:AL152"/>
    <mergeCell ref="G126:K126"/>
    <mergeCell ref="B126:F126"/>
    <mergeCell ref="L126:O126"/>
    <mergeCell ref="G146:K146"/>
    <mergeCell ref="A151:AL151"/>
    <mergeCell ref="A175:AL175"/>
    <mergeCell ref="A171:AL171"/>
    <mergeCell ref="A172:AL172"/>
    <mergeCell ref="A159:AL159"/>
    <mergeCell ref="A160:AL160"/>
    <mergeCell ref="A161:AL161"/>
    <mergeCell ref="A162:AL162"/>
    <mergeCell ref="A163:AL163"/>
    <mergeCell ref="A167:AL167"/>
    <mergeCell ref="A168:AL168"/>
    <mergeCell ref="A164:AL164"/>
    <mergeCell ref="A165:S165"/>
    <mergeCell ref="T165:AL165"/>
    <mergeCell ref="A166:S166"/>
    <mergeCell ref="T166:AL166"/>
    <mergeCell ref="A148:AL148"/>
    <mergeCell ref="A173:AL173"/>
    <mergeCell ref="T145:Z145"/>
    <mergeCell ref="AA145:AG145"/>
    <mergeCell ref="A157:AL157"/>
    <mergeCell ref="A158:AL158"/>
    <mergeCell ref="A156:AL156"/>
    <mergeCell ref="B146:F146"/>
    <mergeCell ref="L146:O146"/>
    <mergeCell ref="A153:AL153"/>
    <mergeCell ref="T150:AJ150"/>
    <mergeCell ref="P147:S147"/>
    <mergeCell ref="T147:Z147"/>
    <mergeCell ref="AA147:AG147"/>
    <mergeCell ref="B147:K147"/>
    <mergeCell ref="L147:O147"/>
    <mergeCell ref="A155:AL155"/>
    <mergeCell ref="AH147:AJ147"/>
    <mergeCell ref="AK147:AL147"/>
    <mergeCell ref="B149:S149"/>
    <mergeCell ref="T149:AJ149"/>
    <mergeCell ref="P146:S146"/>
    <mergeCell ref="T146:Z146"/>
    <mergeCell ref="AA146:AG146"/>
    <mergeCell ref="AH146:AJ146"/>
    <mergeCell ref="AK146:AL146"/>
    <mergeCell ref="AA142:AG142"/>
    <mergeCell ref="AH142:AJ142"/>
    <mergeCell ref="AK142:AL142"/>
    <mergeCell ref="P141:S141"/>
    <mergeCell ref="T141:Z141"/>
    <mergeCell ref="AA141:AG141"/>
    <mergeCell ref="A154:AL154"/>
    <mergeCell ref="B143:F143"/>
    <mergeCell ref="G143:K143"/>
    <mergeCell ref="L143:O143"/>
    <mergeCell ref="B144:F144"/>
    <mergeCell ref="G144:K144"/>
    <mergeCell ref="L144:O144"/>
    <mergeCell ref="AH145:AJ145"/>
    <mergeCell ref="AK145:AL145"/>
    <mergeCell ref="AH143:AJ143"/>
    <mergeCell ref="AK143:AL143"/>
    <mergeCell ref="P144:S144"/>
    <mergeCell ref="P143:S143"/>
    <mergeCell ref="T143:Z143"/>
    <mergeCell ref="AA143:AG143"/>
    <mergeCell ref="T144:Z144"/>
    <mergeCell ref="AA144:AG144"/>
    <mergeCell ref="AH144:AJ144"/>
    <mergeCell ref="AA137:AG137"/>
    <mergeCell ref="B141:F141"/>
    <mergeCell ref="G141:K141"/>
    <mergeCell ref="L141:O141"/>
    <mergeCell ref="B142:F142"/>
    <mergeCell ref="G142:K142"/>
    <mergeCell ref="L142:O142"/>
    <mergeCell ref="AH139:AJ139"/>
    <mergeCell ref="AK139:AL139"/>
    <mergeCell ref="P140:S140"/>
    <mergeCell ref="T140:Z140"/>
    <mergeCell ref="AA140:AG140"/>
    <mergeCell ref="AH140:AJ140"/>
    <mergeCell ref="AK140:AL140"/>
    <mergeCell ref="P139:S139"/>
    <mergeCell ref="T139:Z139"/>
    <mergeCell ref="AA139:AG139"/>
    <mergeCell ref="B139:F139"/>
    <mergeCell ref="G139:K139"/>
    <mergeCell ref="L139:O139"/>
    <mergeCell ref="AH141:AJ141"/>
    <mergeCell ref="AK141:AL141"/>
    <mergeCell ref="P142:S142"/>
    <mergeCell ref="T142:Z142"/>
    <mergeCell ref="AH137:AJ137"/>
    <mergeCell ref="AK137:AL137"/>
    <mergeCell ref="P138:S138"/>
    <mergeCell ref="T138:Z138"/>
    <mergeCell ref="AA138:AG138"/>
    <mergeCell ref="P134:S134"/>
    <mergeCell ref="T134:Z134"/>
    <mergeCell ref="AA134:AG134"/>
    <mergeCell ref="AH134:AJ134"/>
    <mergeCell ref="AK134:AL134"/>
    <mergeCell ref="AH135:AJ135"/>
    <mergeCell ref="AK135:AL135"/>
    <mergeCell ref="P136:S136"/>
    <mergeCell ref="T136:Z136"/>
    <mergeCell ref="AA136:AG136"/>
    <mergeCell ref="AH136:AJ136"/>
    <mergeCell ref="AK136:AL136"/>
    <mergeCell ref="P135:S135"/>
    <mergeCell ref="T135:Z135"/>
    <mergeCell ref="AA135:AG135"/>
    <mergeCell ref="AH138:AJ138"/>
    <mergeCell ref="AK138:AL138"/>
    <mergeCell ref="P137:S137"/>
    <mergeCell ref="T137:Z137"/>
    <mergeCell ref="G134:K134"/>
    <mergeCell ref="L134:O134"/>
    <mergeCell ref="L136:O136"/>
    <mergeCell ref="B131:F131"/>
    <mergeCell ref="G131:K131"/>
    <mergeCell ref="L131:O131"/>
    <mergeCell ref="B132:F132"/>
    <mergeCell ref="G132:K132"/>
    <mergeCell ref="L132:O132"/>
    <mergeCell ref="B137:F137"/>
    <mergeCell ref="G137:K137"/>
    <mergeCell ref="G136:K136"/>
    <mergeCell ref="AH133:AJ133"/>
    <mergeCell ref="AK133:AL133"/>
    <mergeCell ref="G130:K130"/>
    <mergeCell ref="L130:O130"/>
    <mergeCell ref="AH131:AJ131"/>
    <mergeCell ref="AK131:AL131"/>
    <mergeCell ref="P132:S132"/>
    <mergeCell ref="T132:Z132"/>
    <mergeCell ref="AA132:AG132"/>
    <mergeCell ref="AH132:AJ132"/>
    <mergeCell ref="AK132:AL132"/>
    <mergeCell ref="P131:S131"/>
    <mergeCell ref="T131:Z131"/>
    <mergeCell ref="AA131:AG131"/>
    <mergeCell ref="P133:S133"/>
    <mergeCell ref="T133:Z133"/>
    <mergeCell ref="AA133:AG133"/>
    <mergeCell ref="B133:F133"/>
    <mergeCell ref="G133:K133"/>
    <mergeCell ref="L133:O133"/>
    <mergeCell ref="B134:F134"/>
    <mergeCell ref="AH127:AJ127"/>
    <mergeCell ref="AK127:AL127"/>
    <mergeCell ref="P128:S128"/>
    <mergeCell ref="T128:Z128"/>
    <mergeCell ref="AA128:AG128"/>
    <mergeCell ref="AH128:AJ128"/>
    <mergeCell ref="AK128:AL128"/>
    <mergeCell ref="P127:S127"/>
    <mergeCell ref="T127:Z127"/>
    <mergeCell ref="AA127:AG127"/>
    <mergeCell ref="AH129:AJ129"/>
    <mergeCell ref="AK129:AL129"/>
    <mergeCell ref="P130:S130"/>
    <mergeCell ref="T130:Z130"/>
    <mergeCell ref="AA130:AG130"/>
    <mergeCell ref="AH130:AJ130"/>
    <mergeCell ref="AK130:AL130"/>
    <mergeCell ref="P129:S129"/>
    <mergeCell ref="T129:Z129"/>
    <mergeCell ref="AA129:AG129"/>
    <mergeCell ref="P126:S126"/>
    <mergeCell ref="T126:Z126"/>
    <mergeCell ref="AA126:AG126"/>
    <mergeCell ref="AH126:AJ126"/>
    <mergeCell ref="AK126:AL126"/>
    <mergeCell ref="P125:S125"/>
    <mergeCell ref="T125:Z125"/>
    <mergeCell ref="AA125:AG125"/>
    <mergeCell ref="P124:S124"/>
    <mergeCell ref="T124:Z124"/>
    <mergeCell ref="AA124:AG124"/>
    <mergeCell ref="AH124:AJ124"/>
    <mergeCell ref="AK124:AL124"/>
    <mergeCell ref="AH125:AJ125"/>
    <mergeCell ref="AK125:AL125"/>
    <mergeCell ref="A122:AL122"/>
    <mergeCell ref="P123:S123"/>
    <mergeCell ref="T123:Z123"/>
    <mergeCell ref="AA123:AG123"/>
    <mergeCell ref="AH123:AJ123"/>
    <mergeCell ref="AK123:AL123"/>
    <mergeCell ref="A116:AL116"/>
    <mergeCell ref="A117:AL117"/>
    <mergeCell ref="A118:AL118"/>
    <mergeCell ref="A119:AL119"/>
    <mergeCell ref="A120:AL120"/>
    <mergeCell ref="A121:AL121"/>
    <mergeCell ref="A106:AL106"/>
    <mergeCell ref="A111:AL111"/>
    <mergeCell ref="A112:AL112"/>
    <mergeCell ref="A113:AL113"/>
    <mergeCell ref="A114:AL114"/>
    <mergeCell ref="A115:AL115"/>
    <mergeCell ref="A101:AL101"/>
    <mergeCell ref="A102:AL102"/>
    <mergeCell ref="B103:AL103"/>
    <mergeCell ref="A104:AL104"/>
    <mergeCell ref="A107:AL107"/>
    <mergeCell ref="A108:AL108"/>
    <mergeCell ref="A109:AL109"/>
    <mergeCell ref="A110:AL110"/>
    <mergeCell ref="AM104:AU105"/>
    <mergeCell ref="A105:AL105"/>
    <mergeCell ref="B95:AL95"/>
    <mergeCell ref="A96:AL96"/>
    <mergeCell ref="B97:AL97"/>
    <mergeCell ref="A98:AL98"/>
    <mergeCell ref="A99:AL99"/>
    <mergeCell ref="A100:AL100"/>
    <mergeCell ref="B94:AI94"/>
    <mergeCell ref="AJ94:AL94"/>
    <mergeCell ref="B93:AI93"/>
    <mergeCell ref="AJ93:AL93"/>
    <mergeCell ref="A89:A90"/>
    <mergeCell ref="B89:AL89"/>
    <mergeCell ref="B90:AL90"/>
    <mergeCell ref="B91:AL91"/>
    <mergeCell ref="B92:AI92"/>
    <mergeCell ref="AJ92:AL92"/>
    <mergeCell ref="A91:A94"/>
    <mergeCell ref="A85:A88"/>
    <mergeCell ref="B85:AL85"/>
    <mergeCell ref="B86:I86"/>
    <mergeCell ref="J86:W86"/>
    <mergeCell ref="X86:AJ86"/>
    <mergeCell ref="AK86:AL86"/>
    <mergeCell ref="B87:I87"/>
    <mergeCell ref="J87:W87"/>
    <mergeCell ref="X87:AJ87"/>
    <mergeCell ref="AK87:AL87"/>
    <mergeCell ref="B88:I88"/>
    <mergeCell ref="J88:W88"/>
    <mergeCell ref="X88:AJ88"/>
    <mergeCell ref="AK88:AL88"/>
    <mergeCell ref="AM60:AO60"/>
    <mergeCell ref="AK62:AL62"/>
    <mergeCell ref="A58:A59"/>
    <mergeCell ref="B58:AL58"/>
    <mergeCell ref="B60:AL60"/>
    <mergeCell ref="AK64:AL64"/>
    <mergeCell ref="Z61:AJ61"/>
    <mergeCell ref="Z62:AJ62"/>
    <mergeCell ref="Z64:AJ64"/>
    <mergeCell ref="Z63:AJ63"/>
    <mergeCell ref="AK63:AL63"/>
    <mergeCell ref="AK61:AL61"/>
    <mergeCell ref="B44:S44"/>
    <mergeCell ref="T44:AL44"/>
    <mergeCell ref="B54:AI54"/>
    <mergeCell ref="AJ54:AL54"/>
    <mergeCell ref="B55:AI55"/>
    <mergeCell ref="AJ55:AL55"/>
    <mergeCell ref="B51:AI51"/>
    <mergeCell ref="AJ51:AL51"/>
    <mergeCell ref="B52:AI52"/>
    <mergeCell ref="AJ52:AL52"/>
    <mergeCell ref="AJ50:AL50"/>
    <mergeCell ref="B50:AI50"/>
    <mergeCell ref="A18:A19"/>
    <mergeCell ref="B18:AL18"/>
    <mergeCell ref="B19:AL19"/>
    <mergeCell ref="A46:A47"/>
    <mergeCell ref="B46:AL46"/>
    <mergeCell ref="B47:AL47"/>
    <mergeCell ref="B48:AL48"/>
    <mergeCell ref="B49:AI49"/>
    <mergeCell ref="AJ49:AL49"/>
    <mergeCell ref="B45:AL45"/>
    <mergeCell ref="B38:X38"/>
    <mergeCell ref="Y38:AL38"/>
    <mergeCell ref="B39:V39"/>
    <mergeCell ref="W39:AL39"/>
    <mergeCell ref="B40:V40"/>
    <mergeCell ref="W40:AL40"/>
    <mergeCell ref="A35:A42"/>
    <mergeCell ref="B35:AL35"/>
    <mergeCell ref="B36:AL36"/>
    <mergeCell ref="B37:X37"/>
    <mergeCell ref="Y37:AL37"/>
    <mergeCell ref="B41:AL41"/>
    <mergeCell ref="B42:AL42"/>
    <mergeCell ref="A43:A44"/>
    <mergeCell ref="A11:AL11"/>
    <mergeCell ref="A12:AL12"/>
    <mergeCell ref="A13:AL13"/>
    <mergeCell ref="A15:AK15"/>
    <mergeCell ref="A16:A17"/>
    <mergeCell ref="B16:AL16"/>
    <mergeCell ref="B17:AL17"/>
    <mergeCell ref="A4:F4"/>
    <mergeCell ref="H4:L4"/>
    <mergeCell ref="A5:F5"/>
    <mergeCell ref="H5:L5"/>
    <mergeCell ref="A7:F7"/>
    <mergeCell ref="G7:L7"/>
    <mergeCell ref="N7:P7"/>
    <mergeCell ref="Q7:AA7"/>
    <mergeCell ref="AB7:AE7"/>
    <mergeCell ref="A8:P8"/>
    <mergeCell ref="Q8:AL8"/>
    <mergeCell ref="A9:AL9"/>
    <mergeCell ref="B70:R70"/>
    <mergeCell ref="S70:AL70"/>
    <mergeCell ref="B71:R71"/>
    <mergeCell ref="S71:AL71"/>
    <mergeCell ref="B72:R72"/>
    <mergeCell ref="S72:AL72"/>
    <mergeCell ref="B21:X21"/>
    <mergeCell ref="Y21:AL21"/>
    <mergeCell ref="A24:A25"/>
    <mergeCell ref="B24:V24"/>
    <mergeCell ref="W24:AL24"/>
    <mergeCell ref="B25:V25"/>
    <mergeCell ref="W25:AL25"/>
    <mergeCell ref="A26:A34"/>
    <mergeCell ref="B26:AL26"/>
    <mergeCell ref="B27:AL27"/>
    <mergeCell ref="B28:AL28"/>
    <mergeCell ref="B29:AL29"/>
    <mergeCell ref="B30:AL30"/>
    <mergeCell ref="B31:AL31"/>
    <mergeCell ref="B32:AL32"/>
    <mergeCell ref="B43:AL43"/>
    <mergeCell ref="B53:AI53"/>
    <mergeCell ref="AJ53:AL53"/>
    <mergeCell ref="A174:AL174"/>
    <mergeCell ref="B22:AL22"/>
    <mergeCell ref="B23:AL23"/>
    <mergeCell ref="A80:A84"/>
    <mergeCell ref="B80:AL80"/>
    <mergeCell ref="B81:AA81"/>
    <mergeCell ref="AB81:AL81"/>
    <mergeCell ref="B82:AA82"/>
    <mergeCell ref="AB82:AL82"/>
    <mergeCell ref="B83:AA83"/>
    <mergeCell ref="AB83:AL83"/>
    <mergeCell ref="B84:AA84"/>
    <mergeCell ref="AB84:AL84"/>
    <mergeCell ref="B74:AL74"/>
    <mergeCell ref="B75:R75"/>
    <mergeCell ref="S75:AL75"/>
    <mergeCell ref="B76:R76"/>
    <mergeCell ref="S76:AL76"/>
    <mergeCell ref="B77:R77"/>
    <mergeCell ref="S77:AL77"/>
    <mergeCell ref="B78:R78"/>
    <mergeCell ref="S78:AL78"/>
    <mergeCell ref="B33:AL33"/>
    <mergeCell ref="B34:AL34"/>
  </mergeCells>
  <conditionalFormatting sqref="A96">
    <cfRule type="expression" dxfId="133" priority="239">
      <formula>IF(A96="",1,0)</formula>
    </cfRule>
  </conditionalFormatting>
  <conditionalFormatting sqref="A99">
    <cfRule type="expression" dxfId="132" priority="238">
      <formula>IF(A99="",1,0)</formula>
    </cfRule>
  </conditionalFormatting>
  <conditionalFormatting sqref="A101">
    <cfRule type="expression" dxfId="130" priority="237">
      <formula>IF(A101="",1,0)</formula>
    </cfRule>
  </conditionalFormatting>
  <conditionalFormatting sqref="A119">
    <cfRule type="expression" dxfId="125" priority="168">
      <formula>IF(A119="",1,0)</formula>
    </cfRule>
  </conditionalFormatting>
  <conditionalFormatting sqref="A121">
    <cfRule type="expression" dxfId="124" priority="165">
      <formula>IF(A121="",1,0)</formula>
    </cfRule>
  </conditionalFormatting>
  <conditionalFormatting sqref="A152:A156">
    <cfRule type="expression" dxfId="123" priority="34">
      <formula>IF(A152="",1,0)</formula>
    </cfRule>
  </conditionalFormatting>
  <conditionalFormatting sqref="A158:A159">
    <cfRule type="expression" dxfId="121" priority="6">
      <formula>IF(A158="",1,0)</formula>
    </cfRule>
  </conditionalFormatting>
  <conditionalFormatting sqref="A161:A170">
    <cfRule type="expression" dxfId="120" priority="2">
      <formula>IF(A161="",1,0)</formula>
    </cfRule>
  </conditionalFormatting>
  <conditionalFormatting sqref="A172:A174">
    <cfRule type="expression" dxfId="119" priority="1">
      <formula>IF(A172="",1,0)</formula>
    </cfRule>
  </conditionalFormatting>
  <conditionalFormatting sqref="A178">
    <cfRule type="expression" dxfId="117" priority="137">
      <formula>IF(A178="",1,0)</formula>
    </cfRule>
  </conditionalFormatting>
  <conditionalFormatting sqref="B21">
    <cfRule type="expression" dxfId="113" priority="71">
      <formula>IF(B21="",1,0)</formula>
    </cfRule>
  </conditionalFormatting>
  <conditionalFormatting sqref="B23">
    <cfRule type="expression" dxfId="112" priority="15">
      <formula>IF(B23="",1,0)</formula>
    </cfRule>
  </conditionalFormatting>
  <conditionalFormatting sqref="B28">
    <cfRule type="expression" dxfId="111" priority="226">
      <formula>IF(B28="",1,0)</formula>
    </cfRule>
  </conditionalFormatting>
  <conditionalFormatting sqref="B30">
    <cfRule type="expression" dxfId="110" priority="224">
      <formula>IF(B30="",1,0)</formula>
    </cfRule>
  </conditionalFormatting>
  <conditionalFormatting sqref="B32">
    <cfRule type="expression" dxfId="109" priority="225">
      <formula>IF(B32="",1,0)</formula>
    </cfRule>
  </conditionalFormatting>
  <conditionalFormatting sqref="B34">
    <cfRule type="expression" dxfId="108" priority="223">
      <formula>IF(B34="",1,0)</formula>
    </cfRule>
  </conditionalFormatting>
  <conditionalFormatting sqref="B38">
    <cfRule type="expression" dxfId="107" priority="215">
      <formula>IF(B38="",1,0)</formula>
    </cfRule>
  </conditionalFormatting>
  <conditionalFormatting sqref="B44">
    <cfRule type="expression" dxfId="106" priority="16">
      <formula>IF(B44="",1,0)</formula>
    </cfRule>
  </conditionalFormatting>
  <conditionalFormatting sqref="B56:B57">
    <cfRule type="expression" dxfId="104" priority="66">
      <formula>IF(B56="",1,0)</formula>
    </cfRule>
  </conditionalFormatting>
  <conditionalFormatting sqref="B59">
    <cfRule type="expression" dxfId="103" priority="65">
      <formula>IF(B59="",1,0)</formula>
    </cfRule>
  </conditionalFormatting>
  <conditionalFormatting sqref="B68:B84">
    <cfRule type="expression" dxfId="102" priority="10">
      <formula>IF(B68="",1,0)</formula>
    </cfRule>
  </conditionalFormatting>
  <conditionalFormatting sqref="B125:B146">
    <cfRule type="expression" dxfId="100" priority="82">
      <formula>IF(B125="",1,0)</formula>
    </cfRule>
  </conditionalFormatting>
  <conditionalFormatting sqref="B17:AL17 B19 B25 W25 B36">
    <cfRule type="expression" dxfId="99" priority="227">
      <formula>IF(B17="",1,0)</formula>
    </cfRule>
  </conditionalFormatting>
  <conditionalFormatting sqref="G125:G146">
    <cfRule type="expression" dxfId="98" priority="99">
      <formula>IF(G125="",1,0)</formula>
    </cfRule>
  </conditionalFormatting>
  <conditionalFormatting sqref="L125:L146">
    <cfRule type="expression" dxfId="96" priority="98">
      <formula>IF(L125="",1,0)</formula>
    </cfRule>
  </conditionalFormatting>
  <conditionalFormatting sqref="N7">
    <cfRule type="expression" dxfId="95" priority="25">
      <formula>IF(N7="",1,0)</formula>
    </cfRule>
  </conditionalFormatting>
  <conditionalFormatting sqref="P125:P146">
    <cfRule type="expression" dxfId="94" priority="96">
      <formula>IF(P125="",1,0)</formula>
    </cfRule>
  </conditionalFormatting>
  <conditionalFormatting sqref="Q8:AL8">
    <cfRule type="expression" dxfId="93" priority="23">
      <formula>IF(Q8="",1,0)</formula>
    </cfRule>
  </conditionalFormatting>
  <conditionalFormatting sqref="S69:S73">
    <cfRule type="expression" dxfId="92" priority="59">
      <formula>IF(S69="",1,0)</formula>
    </cfRule>
  </conditionalFormatting>
  <conditionalFormatting sqref="S75:S79">
    <cfRule type="expression" dxfId="91" priority="52">
      <formula>IF(S75="",1,0)</formula>
    </cfRule>
  </conditionalFormatting>
  <conditionalFormatting sqref="T149:T150">
    <cfRule type="expression" dxfId="90" priority="164">
      <formula>IF(T149="",1,0)</formula>
    </cfRule>
  </conditionalFormatting>
  <conditionalFormatting sqref="T166">
    <cfRule type="expression" dxfId="89" priority="26">
      <formula>IF(T166="",1,0)</formula>
    </cfRule>
  </conditionalFormatting>
  <conditionalFormatting sqref="W40 B40:B42">
    <cfRule type="expression" dxfId="88" priority="216">
      <formula>IF(B40="",1,0)</formula>
    </cfRule>
  </conditionalFormatting>
  <conditionalFormatting sqref="Y21">
    <cfRule type="expression" dxfId="86" priority="70">
      <formula>IF(Y21="",1,0)</formula>
    </cfRule>
  </conditionalFormatting>
  <conditionalFormatting sqref="Y38">
    <cfRule type="expression" dxfId="85" priority="14">
      <formula>IF(Y38="",1,0)</formula>
    </cfRule>
  </conditionalFormatting>
  <conditionalFormatting sqref="Z62:Z63">
    <cfRule type="expression" dxfId="84" priority="191">
      <formula>IF(Z62="",1,0)</formula>
    </cfRule>
  </conditionalFormatting>
  <conditionalFormatting sqref="Z65">
    <cfRule type="expression" dxfId="83" priority="190">
      <formula>IF(Z65="",1,0)</formula>
    </cfRule>
  </conditionalFormatting>
  <conditionalFormatting sqref="Z66">
    <cfRule type="expression" dxfId="82" priority="5324">
      <formula>IF($Z$66&lt;&gt;$AK$147,1,0)</formula>
    </cfRule>
  </conditionalFormatting>
  <conditionalFormatting sqref="AB7">
    <cfRule type="expression" dxfId="81" priority="24">
      <formula>IF(AB7="",1,0)</formula>
    </cfRule>
  </conditionalFormatting>
  <conditionalFormatting sqref="AB81:AB84">
    <cfRule type="expression" dxfId="80" priority="45">
      <formula>IF(AB81="",1,0)</formula>
    </cfRule>
  </conditionalFormatting>
  <conditionalFormatting sqref="AH125:AH146">
    <cfRule type="expression" dxfId="79" priority="104">
      <formula>IF(AH125="",1,0)</formula>
    </cfRule>
  </conditionalFormatting>
  <dataValidations count="43">
    <dataValidation allowBlank="1" showInputMessage="1" showErrorMessage="1" promptTitle="Wprowadź" prompt="adres ePUAP beneficjenta" sqref="Y21:AL21 B22" xr:uid="{00000000-0002-0000-0F00-000000000000}"/>
    <dataValidation type="textLength" operator="equal" allowBlank="1" showInputMessage="1" errorTitle="KRS" promptTitle="Wprowadź" prompt="numer KRS inwestora" sqref="B42:AL42" xr:uid="{00000000-0002-0000-0F00-000001000000}">
      <formula1>10</formula1>
    </dataValidation>
    <dataValidation allowBlank="1" showInputMessage="1" showErrorMessage="1" promptTitle="Wprowadź" prompt="adres inwestora" sqref="B38:X38" xr:uid="{00000000-0002-0000-0F00-000003000000}"/>
    <dataValidation type="textLength" operator="equal" allowBlank="1" showInputMessage="1" showErrorMessage="1" errorTitle="NIP" error="NIP to ciąg dziesięciu cyfr np. 5719611245" promptTitle="Wprowadź" prompt="NIP inwestora" sqref="B40:V40" xr:uid="{00000000-0002-0000-0F00-000005000000}">
      <formula1>10</formula1>
    </dataValidation>
    <dataValidation type="textLength" operator="equal" allowBlank="1" showInputMessage="1" showErrorMessage="1" errorTitle="REGON" error="REGON to ciąg dziewięciu cyfr np. 571961124" promptTitle="Wprowadź" prompt="nr REGON inwestora" sqref="W40:AL40" xr:uid="{00000000-0002-0000-0F00-000006000000}">
      <formula1>9</formula1>
    </dataValidation>
    <dataValidation allowBlank="1" showInputMessage="1" showErrorMessage="1" promptTitle="Wprowadź" prompt="kwotę" sqref="B48:AL48" xr:uid="{00000000-0002-0000-0F00-000007000000}"/>
    <dataValidation allowBlank="1" showInputMessage="1" showErrorMessage="1" promptTitle="Wprowadź informację" sqref="A116:AL116" xr:uid="{F580039E-3FE6-4708-913F-E630298534C3}"/>
    <dataValidation type="decimal" operator="greaterThanOrEqual" allowBlank="1" showInputMessage="1" showErrorMessage="1" sqref="A112:AL112 AJ92:AL94 A106" xr:uid="{00000000-0002-0000-0F00-000009000000}">
      <formula1>0</formula1>
    </dataValidation>
    <dataValidation type="whole" allowBlank="1" showInputMessage="1" showErrorMessage="1" sqref="B90:AL90" xr:uid="{00000000-0002-0000-0F00-00000A000000}">
      <formula1>1</formula1>
      <formula2>100</formula2>
    </dataValidation>
    <dataValidation allowBlank="1" showInputMessage="1" showErrorMessage="1" promptTitle="Wybierz" prompt="właściwy kwartał" sqref="B85:AL85 B89:AL89" xr:uid="{00000000-0002-0000-0F00-00000B000000}"/>
    <dataValidation allowBlank="1" showInputMessage="1" showErrorMessage="1" promptTitle="Wprowadź" prompt="nazwę beneficjenta" sqref="B19" xr:uid="{00000000-0002-0000-0F00-00000C000000}"/>
    <dataValidation allowBlank="1" showInputMessage="1" showErrorMessage="1" promptTitle="Wprowadź" prompt="adres beneficjenta" sqref="B21:X21" xr:uid="{00000000-0002-0000-0F00-00000D000000}"/>
    <dataValidation allowBlank="1" showInputMessage="1" showErrorMessage="1" promptTitle="Wprowadź" prompt="dane" sqref="B28:AL28 B30:AL30" xr:uid="{00000000-0002-0000-0F00-00000E000000}"/>
    <dataValidation type="decimal" allowBlank="1" showInputMessage="1" showErrorMessage="1" promptTitle="Wprowadź" prompt="kwotę" sqref="B47:AL47 AJ49:AJ55" xr:uid="{00000000-0002-0000-0F00-00000F000000}">
      <formula1>0</formula1>
      <formula2>1E+44</formula2>
    </dataValidation>
    <dataValidation allowBlank="1" showInputMessage="1" showErrorMessage="1" promptTitle="Wprowadź" prompt="adres przedsięwzięcia" sqref="A107" xr:uid="{00000000-0002-0000-0F00-000010000000}"/>
    <dataValidation type="textLength" operator="equal" allowBlank="1" showInputMessage="1" showErrorMessage="1" errorTitle="REGON" error="REGON to ciąg dziewięciu cyfr np. 571961124" promptTitle="Wprowadź" prompt="nr REGON" sqref="W25:AL25" xr:uid="{00000000-0002-0000-0F00-000011000000}">
      <formula1>9</formula1>
    </dataValidation>
    <dataValidation allowBlank="1" showInputMessage="1" showErrorMessage="1" promptTitle="Wprowadź" prompt="nazwę Inwestora" sqref="B36:AL36" xr:uid="{00000000-0002-0000-0F00-000012000000}"/>
    <dataValidation type="textLength" operator="equal" allowBlank="1" showInputMessage="1" showErrorMessage="1" errorTitle="NIP" error="NIP to ciąg dziesięciu cyfr np. 5719611245" promptTitle="Wprowadź" prompt="NIP" sqref="B25:V25" xr:uid="{00000000-0002-0000-0F00-000014000000}">
      <formula1>10</formula1>
    </dataValidation>
    <dataValidation type="decimal" allowBlank="1" showInputMessage="1" showErrorMessage="1" promptTitle="Wprowadź" prompt="wielkość dla budynku nr 2" sqref="J87:J88" xr:uid="{00000000-0002-0000-0F00-000015000000}">
      <formula1>0</formula1>
      <formula2>1E+46</formula2>
    </dataValidation>
    <dataValidation type="decimal" allowBlank="1" showInputMessage="1" showErrorMessage="1" promptTitle="Wprowadź" prompt="wielkość dla budynku nr 4" sqref="AK86:AK88" xr:uid="{00000000-0002-0000-0F00-000016000000}">
      <formula1>0</formula1>
      <formula2>1E+51</formula2>
    </dataValidation>
    <dataValidation allowBlank="1" showInputMessage="1" showErrorMessage="1" promptTitle="Wybierz" prompt="właściwe" sqref="B103:AL103" xr:uid="{00000000-0002-0000-0F00-000017000000}"/>
    <dataValidation allowBlank="1" showInputMessage="1" showErrorMessage="1" promptTitle="Wprowadź" prompt="wielkość" sqref="A114:AL114" xr:uid="{00000000-0002-0000-0F00-000018000000}"/>
    <dataValidation type="decimal" allowBlank="1" showInputMessage="1" showErrorMessage="1" promptTitle="Wprowadź" prompt="wielkość dla budynku nr 3" sqref="X86:X88" xr:uid="{00000000-0002-0000-0F00-000019000000}">
      <formula1>0</formula1>
      <formula2>1E+58</formula2>
    </dataValidation>
    <dataValidation allowBlank="1" showInputMessage="1" sqref="AM159 AM157 AN157:XFD159" xr:uid="{00000000-0002-0000-0F00-00001A000000}"/>
    <dataValidation allowBlank="1" showErrorMessage="1" promptTitle="Wybierz" prompt="właściwe" sqref="A157:AL157 A159:AL159" xr:uid="{00000000-0002-0000-0F00-00001B000000}"/>
    <dataValidation allowBlank="1" showErrorMessage="1" promptTitle="Wybierz" prompt="właściwy rodzaj" sqref="A104:AL104" xr:uid="{00000000-0002-0000-0F00-00001C000000}"/>
    <dataValidation type="decimal" allowBlank="1" showInputMessage="1" showErrorMessage="1" sqref="AH125:AJ146" xr:uid="{00000000-0002-0000-0F00-00001D000000}">
      <formula1>0</formula1>
      <formula2>1</formula2>
    </dataValidation>
    <dataValidation allowBlank="1" showInputMessage="1" showErrorMessage="1" promptTitle="Wprowadź" prompt="nr księgi wieczystej - nr działki ewidencyjnej" sqref="A161:AL161" xr:uid="{00000000-0002-0000-0F00-00001E000000}"/>
    <dataValidation type="decimal" allowBlank="1" showInputMessage="1" showErrorMessage="1" promptTitle="Wprowadź" prompt="kwotę" sqref="Z65" xr:uid="{00000000-0002-0000-0F00-00001F000000}">
      <formula1>0</formula1>
      <formula2>10000000000000000000</formula2>
    </dataValidation>
    <dataValidation type="decimal" allowBlank="1" showInputMessage="1" showErrorMessage="1" promptTitle="Wprowadź" prompt="kwotę" sqref="Z64" xr:uid="{00000000-0002-0000-0F00-000020000000}">
      <formula1>0</formula1>
      <formula2>100000000000000000</formula2>
    </dataValidation>
    <dataValidation allowBlank="1" showInputMessage="1" showErrorMessage="1" promptTitle="Wprowadź" prompt="wartość_x000a_" sqref="S79 T69:AL72 S69:S73 S75:AL78 AB83" xr:uid="{00000000-0002-0000-0F00-000021000000}"/>
    <dataValidation allowBlank="1" promptTitle="Wprowadź" prompt="numer rachunku bankowego" sqref="C75:R78 C69:R72 B69:B84" xr:uid="{00000000-0002-0000-0F00-000022000000}"/>
    <dataValidation allowBlank="1" promptTitle="Wprowadź" sqref="B68:AL68" xr:uid="{96223B33-9D68-4567-8045-AB3130DE02D9}"/>
    <dataValidation type="whole" allowBlank="1" showInputMessage="1" showErrorMessage="1" promptTitle="Wybierz" prompt="właściwe" sqref="T150:AJ150" xr:uid="{00000000-0002-0000-0F00-000024000000}">
      <formula1>0</formula1>
      <formula2>121</formula2>
    </dataValidation>
    <dataValidation type="decimal" allowBlank="1" showInputMessage="1" promptTitle="Wybierz" prompt="właściwą wysokość wsparcia lub wpiszmniejszą wartość" sqref="T149:AJ149" xr:uid="{00000000-0002-0000-0F00-000025000000}">
      <formula1>0</formula1>
      <formula2>0.8</formula2>
    </dataValidation>
    <dataValidation allowBlank="1" showErrorMessage="1" promptTitle="Wybierz" prompt="właściwe oświadczenie" sqref="A153:AL153 A155:AL155" xr:uid="{00000000-0002-0000-0F00-000026000000}"/>
    <dataValidation allowBlank="1" showErrorMessage="1" promptTitle="Wprowadź" prompt="nr księgi wieczystej - nr działki ewidencyjnej" sqref="A162:AL162 A172:AL172 A173:A174" xr:uid="{00000000-0002-0000-0F00-000027000000}"/>
    <dataValidation type="date" operator="greaterThanOrEqual" allowBlank="1" showInputMessage="1" showErrorMessage="1" promptTitle="Wprowadź" prompt="datę w formacie rrrr-mm-dd_x000a_" sqref="B59:AL59" xr:uid="{00000000-0002-0000-0F00-000028000000}">
      <formula1>H21</formula1>
    </dataValidation>
    <dataValidation allowBlank="1" showInputMessage="1" showErrorMessage="1" promptTitle="Wprowadź" prompt="numery działek ewidencyjnych" sqref="B108:AL108 A108:A109" xr:uid="{00000000-0002-0000-0F00-000029000000}"/>
    <dataValidation type="textLength" operator="equal" allowBlank="1" showInputMessage="1" promptTitle="Wprowadź" prompt="numer rachunku bankowego" sqref="T44:AL44" xr:uid="{68367D0F-C406-4334-A0CD-588CD52EA360}">
      <formula1>26</formula1>
    </dataValidation>
    <dataValidation allowBlank="1" showInputMessage="1" showErrorMessage="1" promptTitle="Wprowadź" prompt="Adres do doręczeń elektronicznych" sqref="B23:AL23" xr:uid="{16CD1DDC-AC4C-40B1-85D2-BDE8A6AC4870}"/>
    <dataValidation type="textLength" operator="equal" showInputMessage="1" promptTitle="Wprowadź" prompt="numer rachunku bankowego tj. 26 cyfr" sqref="B44:S44" xr:uid="{03108B56-FB94-4444-801B-AAAA5161BE6C}">
      <formula1>26</formula1>
    </dataValidation>
    <dataValidation allowBlank="1" showInputMessage="1" showErrorMessage="1" promptTitle="Wprowadź" prompt="adres do doręczeń elektronicznych inwestora_x000a_" sqref="Y38:AL38" xr:uid="{45EAA8F7-EEAC-4C88-88B6-12588FBAD3A8}"/>
  </dataValidations>
  <hyperlinks>
    <hyperlink ref="AM47" location="'Przedsięwzięcia infrast powiat'!B119" display="Kliknij &quot;tutaj&quot; i przejdź do wypełnienia zestawienia kosztów" xr:uid="{00000000-0004-0000-0F00-000000000000}"/>
    <hyperlink ref="B47:AL47" location="'Przedsięwzięcia infrast powiat'!B119" display="'Przedsięwzięcia infrast powiat'!B119" xr:uid="{00000000-0004-0000-0F00-000001000000}"/>
    <hyperlink ref="AM150" location="'Przedsięwzięcia infrast powiat'!B47" display="Wróć do wypełniania wniosku" xr:uid="{00000000-0004-0000-0F00-000002000000}"/>
    <hyperlink ref="AM20" r:id="rId1" display="Weryfikocji można dokonać na stronie internetowej -&gt; https://eteryt.stat.gov.pl/eTeryt/rejestr_teryt/udostepnianie_danych/baza_teryt/uzytkownicy_indywidualni/wyszukiwanie/wyszukiwanie.aspx?contrast=default" xr:uid="{00000000-0004-0000-0F00-000003000000}"/>
    <hyperlink ref="AM22" r:id="rId2" xr:uid="{00000000-0004-0000-0F00-000004000000}"/>
    <hyperlink ref="AM18" r:id="rId3" xr:uid="{00000000-0004-0000-0F00-000005000000}"/>
    <hyperlink ref="AM24" r:id="rId4" xr:uid="{00000000-0004-0000-0F00-000006000000}"/>
    <hyperlink ref="AM41" r:id="rId5" xr:uid="{00000000-0004-0000-0F00-000007000000}"/>
    <hyperlink ref="AM183" r:id="rId6" xr:uid="{AF5970E4-F95C-4F32-84CA-86F9994C45BC}"/>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7628" id="{F048FB2E-5037-4F38-AFB2-C26306772E17}">
            <xm:f>IF('Wniosek art 5 budowa'!A4="",1,0)</xm:f>
            <x14:dxf>
              <fill>
                <patternFill>
                  <bgColor theme="4" tint="-0.24994659260841701"/>
                </patternFill>
              </fill>
            </x14:dxf>
          </x14:cfRule>
          <xm:sqref>A4 H4 AJ49:AJ53</xm:sqref>
        </x14:conditionalFormatting>
        <x14:conditionalFormatting xmlns:xm="http://schemas.microsoft.com/office/excel/2006/main">
          <x14:cfRule type="expression" priority="6960" id="{F695143F-9AEF-468C-B64F-F8E35861FA28}">
            <xm:f>IF('Wniosek art 5 budowa'!A91="",1,0)</xm:f>
            <x14:dxf>
              <fill>
                <patternFill>
                  <bgColor theme="4" tint="-0.24994659260841701"/>
                </patternFill>
              </fill>
            </x14:dxf>
          </x14:cfRule>
          <xm:sqref>A100 A102 A107</xm:sqref>
        </x14:conditionalFormatting>
        <x14:conditionalFormatting xmlns:xm="http://schemas.microsoft.com/office/excel/2006/main">
          <x14:cfRule type="expression" priority="41" id="{198B8895-6574-47F3-8C4E-D530EDB97B51}">
            <xm:f>IF('Wniosek art 5 budowa'!A99="",1,0)</xm:f>
            <x14:dxf>
              <fill>
                <patternFill>
                  <bgColor theme="4" tint="-0.24994659260841701"/>
                </patternFill>
              </fill>
            </x14:dxf>
          </x14:cfRule>
          <xm:sqref>A109</xm:sqref>
        </x14:conditionalFormatting>
        <x14:conditionalFormatting xmlns:xm="http://schemas.microsoft.com/office/excel/2006/main">
          <x14:cfRule type="expression" priority="246" id="{F695143F-9AEF-468C-B64F-F8E35861FA28}">
            <xm:f>IF('Wniosek art 5 budowa'!A100="",1,0)</xm:f>
            <x14:dxf>
              <fill>
                <patternFill>
                  <bgColor theme="4" tint="-0.24994659260841701"/>
                </patternFill>
              </fill>
            </x14:dxf>
          </x14:cfRule>
          <xm:sqref>A112</xm:sqref>
        </x14:conditionalFormatting>
        <x14:conditionalFormatting xmlns:xm="http://schemas.microsoft.com/office/excel/2006/main">
          <x14:cfRule type="expression" priority="4437" id="{F048FB2E-5037-4F38-AFB2-C26306772E17}">
            <xm:f>IF('Wniosek art 5 budowa'!#REF!="",1,0)</xm:f>
            <x14:dxf>
              <fill>
                <patternFill>
                  <bgColor theme="4" tint="-0.24994659260841701"/>
                </patternFill>
              </fill>
            </x14:dxf>
          </x14:cfRule>
          <xm:sqref>A114</xm:sqref>
        </x14:conditionalFormatting>
        <x14:conditionalFormatting xmlns:xm="http://schemas.microsoft.com/office/excel/2006/main">
          <x14:cfRule type="expression" priority="8" id="{FEE9EB13-A7D3-46EE-9CDF-7C690C92BDCE}">
            <xm:f>IF('Wniosek art 5 budowa'!A101="",1,0)</xm:f>
            <x14:dxf>
              <fill>
                <patternFill>
                  <bgColor theme="4" tint="-0.24994659260841701"/>
                </patternFill>
              </fill>
            </x14:dxf>
          </x14:cfRule>
          <xm:sqref>A116</xm:sqref>
        </x14:conditionalFormatting>
        <x14:conditionalFormatting xmlns:xm="http://schemas.microsoft.com/office/excel/2006/main">
          <x14:cfRule type="expression" priority="4703" id="{482B5D37-018C-4752-AFFE-63A0621EF8CD}">
            <xm:f>IF('Wniosek art 5 budowa'!#REF!="",1,0)</xm:f>
            <x14:dxf>
              <fill>
                <patternFill>
                  <bgColor theme="4" tint="-0.24994659260841701"/>
                </patternFill>
              </fill>
            </x14:dxf>
          </x14:cfRule>
          <xm:sqref>A157</xm:sqref>
        </x14:conditionalFormatting>
        <x14:conditionalFormatting xmlns:xm="http://schemas.microsoft.com/office/excel/2006/main">
          <x14:cfRule type="expression" priority="244" id="{7DC32B43-0835-4951-ABA7-FBB866B91CE2}">
            <xm:f>IF('Wniosek art 5 budowa'!A205="",1,0)</xm:f>
            <x14:dxf>
              <fill>
                <patternFill>
                  <bgColor theme="4" tint="-0.24994659260841701"/>
                </patternFill>
              </fill>
            </x14:dxf>
          </x14:cfRule>
          <xm:sqref>A177</xm:sqref>
        </x14:conditionalFormatting>
        <x14:conditionalFormatting xmlns:xm="http://schemas.microsoft.com/office/excel/2006/main">
          <x14:cfRule type="expression" priority="5325" id="{96A33BD0-4AE6-48EE-A986-CF20ED101D76}">
            <xm:f>IF($A$101=Słowniki!$P$2,1,0)</xm:f>
            <x14:dxf>
              <font>
                <b/>
                <i val="0"/>
                <strike/>
                <color theme="1"/>
              </font>
            </x14:dxf>
          </x14:cfRule>
          <xm:sqref>A118:AL118</xm:sqref>
        </x14:conditionalFormatting>
        <x14:conditionalFormatting xmlns:xm="http://schemas.microsoft.com/office/excel/2006/main">
          <x14:cfRule type="expression" priority="7" id="{74820D07-9A0C-4680-8191-A0EEA8D6479F}">
            <xm:f>IF($A$107=Słowniki!$P$2,1,0)</xm:f>
            <x14:dxf>
              <font>
                <strike/>
              </font>
            </x14:dxf>
          </x14:cfRule>
          <xm:sqref>A120:AL120</xm:sqref>
        </x14:conditionalFormatting>
        <x14:conditionalFormatting xmlns:xm="http://schemas.microsoft.com/office/excel/2006/main">
          <x14:cfRule type="expression" priority="33" id="{E5A2C4AE-1C48-42D0-83AE-E751D67D0D49}">
            <xm:f>IF($A$126=Słowniki!$P$2,1,0)</xm:f>
            <x14:dxf>
              <font>
                <strike/>
              </font>
            </x14:dxf>
          </x14:cfRule>
          <xm:sqref>A151:AL151</xm:sqref>
        </x14:conditionalFormatting>
        <x14:conditionalFormatting xmlns:xm="http://schemas.microsoft.com/office/excel/2006/main">
          <x14:cfRule type="expression" priority="7122" id="{F048FB2E-5037-4F38-AFB2-C26306772E17}">
            <xm:f>IF('Wniosek art 5 budowa'!B48="",1,0)</xm:f>
            <x14:dxf>
              <fill>
                <patternFill>
                  <bgColor theme="4" tint="-0.24994659260841701"/>
                </patternFill>
              </fill>
            </x14:dxf>
          </x14:cfRule>
          <xm:sqref>B47 B86 J86 X86 AK86</xm:sqref>
        </x14:conditionalFormatting>
        <x14:conditionalFormatting xmlns:xm="http://schemas.microsoft.com/office/excel/2006/main">
          <x14:cfRule type="expression" priority="5945" id="{F048FB2E-5037-4F38-AFB2-C26306772E17}">
            <xm:f>IF('Wniosek art 5 budowa'!#REF!="",1,0)</xm:f>
            <x14:dxf>
              <fill>
                <patternFill>
                  <bgColor theme="4" tint="-0.24994659260841701"/>
                </patternFill>
              </fill>
            </x14:dxf>
          </x14:cfRule>
          <xm:sqref>B87</xm:sqref>
        </x14:conditionalFormatting>
        <x14:conditionalFormatting xmlns:xm="http://schemas.microsoft.com/office/excel/2006/main">
          <x14:cfRule type="expression" priority="4177" id="{10F9BBE7-F117-443C-A501-9DA15747CB13}">
            <xm:f>IF('Wniosek art 5 budowa'!J60="",1,0)</xm:f>
            <x14:dxf>
              <fill>
                <patternFill>
                  <bgColor theme="4" tint="-0.24994659260841701"/>
                </patternFill>
              </fill>
            </x14:dxf>
          </x14:cfRule>
          <xm:sqref>J87:J88</xm:sqref>
        </x14:conditionalFormatting>
        <x14:conditionalFormatting xmlns:xm="http://schemas.microsoft.com/office/excel/2006/main">
          <x14:cfRule type="expression" priority="245" id="{F048FB2E-5037-4F38-AFB2-C26306772E17}">
            <xm:f>IF('Wniosek art 5 budowa'!A89="",1,0)</xm:f>
            <x14:dxf>
              <fill>
                <patternFill>
                  <bgColor theme="4" tint="-0.24994659260841701"/>
                </patternFill>
              </fill>
            </x14:dxf>
          </x14:cfRule>
          <xm:sqref>X87:X88 AK87:AK88 B88 B90 A106 A108 A110</xm:sqref>
        </x14:conditionalFormatting>
        <x14:conditionalFormatting xmlns:xm="http://schemas.microsoft.com/office/excel/2006/main">
          <x14:cfRule type="expression" priority="167" id="{6E1D4E60-BDD4-4110-A9B5-2E23205275E3}">
            <xm:f>IF(AB81=Słowniki!C14,Słowniki!C16,0)</xm:f>
            <x14:dxf/>
          </x14:cfRule>
          <xm:sqref>AB83:AL83</xm:sqref>
        </x14:conditionalFormatting>
        <x14:conditionalFormatting xmlns:xm="http://schemas.microsoft.com/office/excel/2006/main">
          <x14:cfRule type="expression" priority="7592" id="{F048FB2E-5037-4F38-AFB2-C26306772E17}">
            <xm:f>IF('Wniosek art 5 budowa'!AJ53="",1,0)</xm:f>
            <x14:dxf>
              <fill>
                <patternFill>
                  <bgColor theme="4" tint="-0.24994659260841701"/>
                </patternFill>
              </fill>
            </x14:dxf>
          </x14:cfRule>
          <xm:sqref>AJ54</xm:sqref>
        </x14:conditionalFormatting>
        <x14:conditionalFormatting xmlns:xm="http://schemas.microsoft.com/office/excel/2006/main">
          <x14:cfRule type="expression" priority="7418" id="{F048FB2E-5037-4F38-AFB2-C26306772E17}">
            <xm:f>IF('Wniosek art 5 budowa'!AJ53="",1,0)</xm:f>
            <x14:dxf>
              <fill>
                <patternFill>
                  <bgColor theme="4" tint="-0.24994659260841701"/>
                </patternFill>
              </fill>
            </x14:dxf>
          </x14:cfRule>
          <xm:sqref>AJ55</xm:sqref>
        </x14:conditionalFormatting>
        <x14:conditionalFormatting xmlns:xm="http://schemas.microsoft.com/office/excel/2006/main">
          <x14:cfRule type="expression" priority="6006" id="{F048FB2E-5037-4F38-AFB2-C26306772E17}">
            <xm:f>IF('Wniosek art 5 budowa'!AJ95="",1,0)</xm:f>
            <x14:dxf>
              <fill>
                <patternFill>
                  <bgColor theme="4" tint="-0.24994659260841701"/>
                </patternFill>
              </fill>
            </x14:dxf>
          </x14:cfRule>
          <xm:sqref>AJ92</xm:sqref>
        </x14:conditionalFormatting>
        <x14:conditionalFormatting xmlns:xm="http://schemas.microsoft.com/office/excel/2006/main">
          <x14:cfRule type="expression" priority="4427" id="{F048FB2E-5037-4F38-AFB2-C26306772E17}">
            <xm:f>IF('Wniosek art 5 budowa'!AJ98="",1,0)</xm:f>
            <x14:dxf>
              <fill>
                <patternFill>
                  <bgColor theme="4" tint="-0.24994659260841701"/>
                </patternFill>
              </fill>
            </x14:dxf>
          </x14:cfRule>
          <xm:sqref>AJ93</xm:sqref>
        </x14:conditionalFormatting>
        <x14:conditionalFormatting xmlns:xm="http://schemas.microsoft.com/office/excel/2006/main">
          <x14:cfRule type="expression" priority="6427" id="{7DC32B43-0835-4951-ABA7-FBB866B91CE2}">
            <xm:f>IF('Wniosek art 5 budowa'!#REF!="",1,0)</xm:f>
            <x14:dxf>
              <fill>
                <patternFill>
                  <bgColor theme="4" tint="-0.24994659260841701"/>
                </patternFill>
              </fill>
            </x14:dxf>
          </x14:cfRule>
          <xm:sqref>AJ94</xm:sqref>
        </x14:conditionalFormatting>
      </x14:conditionalFormattings>
    </ext>
    <ext xmlns:x14="http://schemas.microsoft.com/office/spreadsheetml/2009/9/main" uri="{CCE6A557-97BC-4b89-ADB6-D9C93CAAB3DF}">
      <x14:dataValidations xmlns:xm="http://schemas.microsoft.com/office/excel/2006/main" count="27">
        <x14:dataValidation type="list" allowBlank="1" showInputMessage="1" showErrorMessage="1" promptTitle="Wprowadź" prompt="kwotę" xr:uid="{00000000-0002-0000-0F00-00002A000000}">
          <x14:formula1>
            <xm:f>'Słownik Infrasr'!$C$4:$C$11</xm:f>
          </x14:formula1>
          <xm:sqref>B49:AI55</xm:sqref>
        </x14:dataValidation>
        <x14:dataValidation type="date" operator="greaterThanOrEqual" allowBlank="1" showInputMessage="1" showErrorMessage="1" promptTitle="Wprowadź" prompt="wielkość dla budynku nr 1" xr:uid="{00000000-0002-0000-0F00-00002B000000}">
          <x14:formula1>
            <xm:f>Słowniki!$N$1</xm:f>
          </x14:formula1>
          <xm:sqref>B86:I86</xm:sqref>
        </x14:dataValidation>
        <x14:dataValidation type="list" allowBlank="1" showErrorMessage="1" promptTitle="Wybierz" prompt="rodzaj przedsięwzięcia" xr:uid="{00000000-0002-0000-0F00-00002C000000}">
          <x14:formula1>
            <xm:f>Słowniki!$D$8:$D$9</xm:f>
          </x14:formula1>
          <xm:sqref>A96:AL96</xm:sqref>
        </x14:dataValidation>
        <x14:dataValidation type="list" allowBlank="1" promptTitle="Wybierz" prompt="właściwe" xr:uid="{00000000-0002-0000-0F00-00002D000000}">
          <x14:formula1>
            <xm:f>Słowniki!$O$4</xm:f>
          </x14:formula1>
          <xm:sqref>A177:AL177</xm:sqref>
        </x14:dataValidation>
        <x14:dataValidation type="list" allowBlank="1" showInputMessage="1" showErrorMessage="1" promptTitle="Wybierz" prompt="beneficjenta" xr:uid="{00000000-0002-0000-0F00-00002E000000}">
          <x14:formula1>
            <xm:f>Słowniki!$A$4</xm:f>
          </x14:formula1>
          <xm:sqref>B17:AL17</xm:sqref>
        </x14:dataValidation>
        <x14:dataValidation type="list" allowBlank="1" showInputMessage="1" promptTitle="Wprowadź" prompt="dane lub wybierz nie dotyczy" xr:uid="{00000000-0002-0000-0F00-00002F000000}">
          <x14:formula1>
            <xm:f>Słowniki!$F$19</xm:f>
          </x14:formula1>
          <xm:sqref>B34:AL34 B32:AL32</xm:sqref>
        </x14:dataValidation>
        <x14:dataValidation type="list" allowBlank="1" showInputMessage="1" promptTitle="Wybierz" prompt="właściwe ośwaidczenie" xr:uid="{00000000-0002-0000-0F00-000030000000}">
          <x14:formula1>
            <xm:f>'Słownik Infrasr'!$D$2:$D$3</xm:f>
          </x14:formula1>
          <xm:sqref>A158:AL158</xm:sqref>
        </x14:dataValidation>
        <x14:dataValidation type="list" allowBlank="1" showInputMessage="1" showErrorMessage="1" promptTitle="Wybierz" prompt="właściwe" xr:uid="{00000000-0002-0000-0F00-000031000000}">
          <x14:formula1>
            <xm:f>Słowniki!$AO$1:$AO$2</xm:f>
          </x14:formula1>
          <xm:sqref>B56:AL56</xm:sqref>
        </x14:dataValidation>
        <x14:dataValidation type="list" allowBlank="1" showInputMessage="1" showErrorMessage="1" xr:uid="{00000000-0002-0000-0F00-000034000000}">
          <x14:formula1>
            <xm:f>'Słownik Infrasr'!$C$4:$C$11</xm:f>
          </x14:formula1>
          <xm:sqref>A99:AL102</xm:sqref>
        </x14:dataValidation>
        <x14:dataValidation type="list" allowBlank="1" showInputMessage="1" showErrorMessage="1" promptTitle="Wybierz" prompt="właściwe" xr:uid="{00000000-0002-0000-0F00-000035000000}">
          <x14:formula1>
            <xm:f>Słowniki!$C$3:$C$4</xm:f>
          </x14:formula1>
          <xm:sqref>AB81:AL82 AB7:AE7 N7:P7</xm:sqref>
        </x14:dataValidation>
        <x14:dataValidation type="list" allowBlank="1" showInputMessage="1" showErrorMessage="1" xr:uid="{00000000-0002-0000-0F00-000036000000}">
          <x14:formula1>
            <xm:f>Słowniki!$F$20</xm:f>
          </x14:formula1>
          <xm:sqref>A98:AL98</xm:sqref>
        </x14:dataValidation>
        <x14:dataValidation type="list" allowBlank="1" showInputMessage="1" showErrorMessage="1" promptTitle="Wybierz" prompt="właściwe" xr:uid="{00000000-0002-0000-0F00-000037000000}">
          <x14:formula1>
            <xm:f>Słowniki!$U$1:$U$2</xm:f>
          </x14:formula1>
          <xm:sqref>A119:AL119</xm:sqref>
        </x14:dataValidation>
        <x14:dataValidation type="list" allowBlank="1" showInputMessage="1" showErrorMessage="1" promptTitle="Wybierz" prompt="właściwe" xr:uid="{00000000-0002-0000-0F00-000038000000}">
          <x14:formula1>
            <xm:f>Słowniki!$U$5:$U$6</xm:f>
          </x14:formula1>
          <xm:sqref>A121:AL121</xm:sqref>
        </x14:dataValidation>
        <x14:dataValidation type="list" allowBlank="1" showInputMessage="1" showErrorMessage="1" promptTitle="Wybierz" prompt="właściwe" xr:uid="{00000000-0002-0000-0F00-000039000000}">
          <x14:formula1>
            <xm:f>Słowniki!$W$1:$W$2</xm:f>
          </x14:formula1>
          <xm:sqref>A154:AL154</xm:sqref>
        </x14:dataValidation>
        <x14:dataValidation type="list" allowBlank="1" showInputMessage="1" showErrorMessage="1" promptTitle="Wybierz" prompt="właściwe" xr:uid="{00000000-0002-0000-0F00-00003A000000}">
          <x14:formula1>
            <xm:f>Słowniki!$AC$4:$AC$9</xm:f>
          </x14:formula1>
          <xm:sqref>A163:AL163</xm:sqref>
        </x14:dataValidation>
        <x14:dataValidation type="list" errorStyle="information" allowBlank="1" showInputMessage="1" showErrorMessage="1" xr:uid="{00000000-0002-0000-0F00-00003B000000}">
          <x14:formula1>
            <xm:f>Słowniki!$A$34:$A$39</xm:f>
          </x14:formula1>
          <xm:sqref>G125:K146</xm:sqref>
        </x14:dataValidation>
        <x14:dataValidation type="list" allowBlank="1" showInputMessage="1" showErrorMessage="1" promptTitle="Wybierz" prompt="właściwe" xr:uid="{00000000-0002-0000-0F00-00003C000000}">
          <x14:formula1>
            <xm:f>Słowniki!$W$7:$W$9</xm:f>
          </x14:formula1>
          <xm:sqref>A156:AL156</xm:sqref>
        </x14:dataValidation>
        <x14:dataValidation type="list" allowBlank="1" showInputMessage="1" promptTitle="Wybierz" prompt="i/lub modyfikuj nr załącznika" xr:uid="{00000000-0002-0000-0F00-00003E000000}">
          <x14:formula1>
            <xm:f>Słowniki!$Q$3:$Q$4</xm:f>
          </x14:formula1>
          <xm:sqref>A152:AL152</xm:sqref>
        </x14:dataValidation>
        <x14:dataValidation type="list" allowBlank="1" showInputMessage="1" showErrorMessage="1" promptTitle="Wybierz" prompt="właściwe" xr:uid="{00000000-0002-0000-0F00-00003F000000}">
          <x14:formula1>
            <xm:f>Słowniki!$W$12:$W$14</xm:f>
          </x14:formula1>
          <xm:sqref>A168:AL168</xm:sqref>
        </x14:dataValidation>
        <x14:dataValidation type="list" allowBlank="1" showInputMessage="1" showErrorMessage="1" promptTitle="Wybierz" prompt="właściwe" xr:uid="{00000000-0002-0000-0F00-000040000000}">
          <x14:formula1>
            <xm:f>Słowniki!$D$17:$D$18</xm:f>
          </x14:formula1>
          <xm:sqref>T165:AL165</xm:sqref>
        </x14:dataValidation>
        <x14:dataValidation type="list" allowBlank="1" showInputMessage="1" showErrorMessage="1" promptTitle="Wybierz" prompt="właściwe" xr:uid="{00000000-0002-0000-0F00-000041000000}">
          <x14:formula1>
            <xm:f>Słowniki!$C$17:$C$18</xm:f>
          </x14:formula1>
          <xm:sqref>A165:S165</xm:sqref>
        </x14:dataValidation>
        <x14:dataValidation type="list" errorStyle="information" allowBlank="1" showInputMessage="1" showErrorMessage="1" promptTitle="Wybierz" prompt="właściwe" xr:uid="{4A2BC72E-7BFC-4D7E-8F96-815ED37B68FB}">
          <x14:formula1>
            <xm:f>Słowniki!$A$46:$A$57</xm:f>
          </x14:formula1>
          <xm:sqref>B125:F146</xm:sqref>
        </x14:dataValidation>
        <x14:dataValidation type="list" allowBlank="1" showInputMessage="1" showErrorMessage="1" xr:uid="{969CC8D1-8DCD-435A-AF9B-144284C322BC}">
          <x14:formula1>
            <xm:f>Słowniki!$Y$9:$Y$10</xm:f>
          </x14:formula1>
          <xm:sqref>A170:AL170</xm:sqref>
        </x14:dataValidation>
        <x14:dataValidation type="date" operator="greaterThanOrEqual" allowBlank="1" showInputMessage="1" showErrorMessage="1" promptTitle="Wprowadź" prompt="wielkość dla budynku nr 1" xr:uid="{00000000-0002-0000-0F00-000042000000}">
          <x14:formula1>
            <xm:f>Słowniki!N1</xm:f>
          </x14:formula1>
          <xm:sqref>B87:I87</xm:sqref>
        </x14:dataValidation>
        <x14:dataValidation type="date" operator="greaterThan" allowBlank="1" showInputMessage="1" showErrorMessage="1" promptTitle="Wprowadź" prompt="wielkość dla budynku nr 2" xr:uid="{00000000-0002-0000-0F00-000043000000}">
          <x14:formula1>
            <xm:f>Słowniki!N1</xm:f>
          </x14:formula1>
          <xm:sqref>J86:W86</xm:sqref>
        </x14:dataValidation>
        <x14:dataValidation type="date" operator="greaterThanOrEqual" allowBlank="1" showInputMessage="1" showErrorMessage="1" promptTitle="Wprowadź" prompt="wielkość dla budynku nr 1" xr:uid="{00000000-0002-0000-0F00-000044000000}">
          <x14:formula1>
            <xm:f>Słowniki!N3</xm:f>
          </x14:formula1>
          <xm:sqref>B88:I88</xm:sqref>
        </x14:dataValidation>
        <x14:dataValidation type="date" operator="greaterThan" allowBlank="1" showInputMessage="1" showErrorMessage="1" promptTitle="Wprowadź" prompt="datę w formacie rrrr-mm-dd_x000a_" xr:uid="{00000000-0002-0000-0F00-000045000000}">
          <x14:formula1>
            <xm:f>Słowniki!AQ15</xm:f>
          </x14:formula1>
          <xm:sqref>B57:AL57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B212"/>
  <sheetViews>
    <sheetView showGridLines="0" topLeftCell="A181" zoomScale="90" zoomScaleNormal="90" workbookViewId="0">
      <selection activeCell="AM196" sqref="AM196"/>
    </sheetView>
  </sheetViews>
  <sheetFormatPr defaultColWidth="9.33203125" defaultRowHeight="14.4" x14ac:dyDescent="0.3"/>
  <cols>
    <col min="1" max="1" width="3.33203125" style="88" customWidth="1"/>
    <col min="2" max="2" width="4" style="88" customWidth="1"/>
    <col min="3" max="3" width="2.33203125" style="88" customWidth="1"/>
    <col min="4" max="4" width="2.5546875" style="88" customWidth="1"/>
    <col min="5" max="5" width="2" style="88" customWidth="1"/>
    <col min="6" max="6" width="1.6640625" style="88" customWidth="1"/>
    <col min="7" max="7" width="1.44140625" style="88" customWidth="1"/>
    <col min="8" max="8" width="2.33203125" style="88" customWidth="1"/>
    <col min="9" max="9" width="2.44140625" style="88" customWidth="1"/>
    <col min="10" max="10" width="1.5546875" style="88" customWidth="1"/>
    <col min="11" max="11" width="1.6640625" style="88" customWidth="1"/>
    <col min="12" max="12" width="5.33203125" style="88" customWidth="1"/>
    <col min="13" max="13" width="0.6640625" style="88" customWidth="1"/>
    <col min="14" max="14" width="3.44140625" style="88" customWidth="1"/>
    <col min="15" max="15" width="2.5546875" style="88" customWidth="1"/>
    <col min="16" max="17" width="1.5546875" style="88" customWidth="1"/>
    <col min="18" max="18" width="1.33203125" style="88" customWidth="1"/>
    <col min="19" max="19" width="2.33203125" style="88" customWidth="1"/>
    <col min="20" max="20" width="1.33203125" style="88" customWidth="1"/>
    <col min="21" max="21" width="1" style="88" customWidth="1"/>
    <col min="22" max="22" width="0.6640625" style="88" customWidth="1"/>
    <col min="23" max="23" width="3" style="88" customWidth="1"/>
    <col min="24" max="24" width="1.33203125" style="88" customWidth="1"/>
    <col min="25" max="25" width="1.44140625" style="88" customWidth="1"/>
    <col min="26" max="27" width="1.33203125" style="88" customWidth="1"/>
    <col min="28" max="28" width="2" style="88" customWidth="1"/>
    <col min="29" max="29" width="1" style="88" customWidth="1"/>
    <col min="30" max="31" width="1.6640625" style="88" customWidth="1"/>
    <col min="32" max="32" width="1.33203125" style="88" customWidth="1"/>
    <col min="33" max="33" width="1.6640625" style="88" customWidth="1"/>
    <col min="34" max="34" width="2.33203125" style="88" customWidth="1"/>
    <col min="35" max="35" width="1.44140625" style="88" customWidth="1"/>
    <col min="36" max="36" width="4" style="88" customWidth="1"/>
    <col min="37" max="37" width="9.33203125" style="88" customWidth="1"/>
    <col min="38" max="38" width="5.6640625" style="88" customWidth="1"/>
    <col min="39" max="39" width="179.33203125" style="101" customWidth="1"/>
    <col min="40" max="16384" width="9.33203125" style="60"/>
  </cols>
  <sheetData>
    <row r="1" spans="1:54" ht="27.45" customHeight="1" x14ac:dyDescent="0.25">
      <c r="A1" s="464" t="s">
        <v>1055</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105"/>
      <c r="AN1" s="70"/>
      <c r="AO1" s="70"/>
      <c r="AP1" s="70"/>
      <c r="AQ1" s="70"/>
      <c r="AR1" s="70"/>
      <c r="AS1" s="70"/>
      <c r="AT1" s="70"/>
      <c r="AU1" s="70"/>
      <c r="AV1" s="70"/>
      <c r="AW1" s="70"/>
      <c r="AX1" s="70"/>
      <c r="AY1" s="70"/>
      <c r="AZ1" s="70"/>
      <c r="BA1" s="70"/>
      <c r="BB1" s="70"/>
    </row>
    <row r="2" spans="1:54" x14ac:dyDescent="0.3">
      <c r="A2" s="87" t="s">
        <v>123</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105"/>
      <c r="AN2" s="70"/>
      <c r="AO2" s="70"/>
      <c r="AP2" s="70"/>
      <c r="AQ2" s="70"/>
      <c r="AR2" s="70"/>
      <c r="AS2" s="70"/>
      <c r="AT2" s="70"/>
      <c r="AU2" s="70"/>
      <c r="AV2" s="70"/>
      <c r="AW2" s="70"/>
      <c r="AX2" s="70"/>
      <c r="AY2" s="70"/>
      <c r="AZ2" s="70"/>
      <c r="BA2" s="70"/>
      <c r="BB2" s="70"/>
    </row>
    <row r="3" spans="1:54" x14ac:dyDescent="0.3">
      <c r="AM3" s="102" t="s">
        <v>160</v>
      </c>
    </row>
    <row r="4" spans="1:54" x14ac:dyDescent="0.3">
      <c r="A4" s="597"/>
      <c r="B4" s="513"/>
      <c r="C4" s="513"/>
      <c r="D4" s="513"/>
      <c r="E4" s="513"/>
      <c r="F4" s="513"/>
      <c r="G4" s="89"/>
      <c r="H4" s="514">
        <f ca="1">TODAY()</f>
        <v>46184</v>
      </c>
      <c r="I4" s="513"/>
      <c r="J4" s="513"/>
      <c r="K4" s="513"/>
      <c r="L4" s="513"/>
      <c r="N4"/>
      <c r="O4"/>
      <c r="P4"/>
      <c r="Q4"/>
      <c r="R4"/>
      <c r="S4"/>
      <c r="T4"/>
      <c r="U4"/>
      <c r="V4"/>
      <c r="W4"/>
      <c r="X4"/>
      <c r="Y4"/>
      <c r="Z4"/>
    </row>
    <row r="5" spans="1:54" ht="15" customHeight="1" x14ac:dyDescent="0.3">
      <c r="A5" s="515" t="s">
        <v>125</v>
      </c>
      <c r="B5" s="515"/>
      <c r="C5" s="515"/>
      <c r="D5" s="515"/>
      <c r="E5" s="515"/>
      <c r="F5" s="515"/>
      <c r="G5" s="151"/>
      <c r="H5" s="515" t="s">
        <v>124</v>
      </c>
      <c r="I5" s="515"/>
      <c r="J5" s="515"/>
      <c r="K5" s="515"/>
      <c r="L5" s="515"/>
      <c r="M5" s="148"/>
      <c r="N5"/>
      <c r="O5"/>
      <c r="P5"/>
      <c r="Q5"/>
      <c r="R5"/>
      <c r="S5"/>
      <c r="T5"/>
      <c r="U5"/>
      <c r="V5"/>
      <c r="W5"/>
      <c r="X5"/>
      <c r="Y5"/>
      <c r="Z5"/>
      <c r="AA5" s="148"/>
      <c r="AB5" s="148"/>
      <c r="AC5" s="148"/>
      <c r="AD5" s="148"/>
      <c r="AE5" s="148"/>
      <c r="AF5" s="148"/>
      <c r="AG5" s="148"/>
      <c r="AH5" s="148"/>
      <c r="AI5" s="148"/>
      <c r="AJ5" s="148"/>
      <c r="AK5" s="148"/>
      <c r="AL5" s="148"/>
    </row>
    <row r="6" spans="1:54" x14ac:dyDescent="0.3">
      <c r="A6" s="153"/>
      <c r="B6" s="153"/>
      <c r="C6" s="153"/>
      <c r="D6" s="153"/>
      <c r="E6" s="153"/>
      <c r="F6" s="153"/>
      <c r="G6" s="151"/>
      <c r="H6" s="148"/>
      <c r="I6" s="148"/>
      <c r="J6" s="148"/>
      <c r="K6" s="148"/>
      <c r="L6" s="148"/>
      <c r="M6" s="148"/>
      <c r="N6"/>
      <c r="O6"/>
      <c r="P6"/>
      <c r="Q6"/>
      <c r="R6"/>
      <c r="S6"/>
      <c r="T6"/>
      <c r="U6"/>
      <c r="V6"/>
      <c r="W6"/>
      <c r="X6"/>
      <c r="Y6"/>
      <c r="Z6"/>
      <c r="AA6" s="148"/>
      <c r="AB6" s="148"/>
      <c r="AC6" s="148"/>
      <c r="AD6" s="148"/>
      <c r="AE6" s="148"/>
      <c r="AF6" s="148"/>
      <c r="AG6" s="148"/>
      <c r="AH6" s="148"/>
      <c r="AI6" s="148"/>
      <c r="AJ6" s="148"/>
      <c r="AK6" s="148"/>
      <c r="AL6" s="148"/>
    </row>
    <row r="7" spans="1:54" x14ac:dyDescent="0.25">
      <c r="A7" s="374" t="s">
        <v>962</v>
      </c>
      <c r="B7" s="374"/>
      <c r="C7" s="374"/>
      <c r="D7" s="374"/>
      <c r="E7" s="374"/>
      <c r="F7" s="374"/>
      <c r="G7" s="374" t="s">
        <v>963</v>
      </c>
      <c r="H7" s="374"/>
      <c r="I7" s="374"/>
      <c r="J7" s="374"/>
      <c r="K7" s="374"/>
      <c r="L7" s="374"/>
      <c r="M7" s="236"/>
      <c r="N7" s="376"/>
      <c r="O7" s="376"/>
      <c r="P7" s="376"/>
      <c r="Q7" s="516" t="s">
        <v>964</v>
      </c>
      <c r="R7" s="516"/>
      <c r="S7" s="516"/>
      <c r="T7" s="516"/>
      <c r="U7" s="516"/>
      <c r="V7" s="516"/>
      <c r="W7" s="516"/>
      <c r="X7" s="516"/>
      <c r="Y7" s="516"/>
      <c r="Z7" s="516"/>
      <c r="AA7" s="516"/>
      <c r="AB7" s="376"/>
      <c r="AC7" s="376"/>
      <c r="AD7" s="376"/>
      <c r="AE7" s="376"/>
      <c r="AF7" s="237"/>
      <c r="AG7" s="237"/>
      <c r="AH7" s="237"/>
      <c r="AI7" s="237"/>
      <c r="AJ7" s="237"/>
      <c r="AK7" s="237"/>
      <c r="AL7" s="237"/>
      <c r="AM7" s="77"/>
    </row>
    <row r="8" spans="1:54" ht="26.7" customHeight="1" x14ac:dyDescent="0.25">
      <c r="A8" s="374" t="s">
        <v>965</v>
      </c>
      <c r="B8" s="374"/>
      <c r="C8" s="374"/>
      <c r="D8" s="374"/>
      <c r="E8" s="374"/>
      <c r="F8" s="374"/>
      <c r="G8" s="374"/>
      <c r="H8" s="374"/>
      <c r="I8" s="374"/>
      <c r="J8" s="374"/>
      <c r="K8" s="374"/>
      <c r="L8" s="374"/>
      <c r="M8" s="374"/>
      <c r="N8" s="374"/>
      <c r="O8" s="374"/>
      <c r="P8" s="374"/>
      <c r="Q8" s="375"/>
      <c r="R8" s="375"/>
      <c r="S8" s="375"/>
      <c r="T8" s="375"/>
      <c r="U8" s="375"/>
      <c r="V8" s="375"/>
      <c r="W8" s="375"/>
      <c r="X8" s="375"/>
      <c r="Y8" s="375"/>
      <c r="Z8" s="375"/>
      <c r="AA8" s="375"/>
      <c r="AB8" s="375"/>
      <c r="AC8" s="375"/>
      <c r="AD8" s="375"/>
      <c r="AE8" s="375"/>
      <c r="AF8" s="375"/>
      <c r="AG8" s="375"/>
      <c r="AH8" s="375"/>
      <c r="AI8" s="375"/>
      <c r="AJ8" s="375"/>
      <c r="AK8" s="375"/>
      <c r="AL8" s="375"/>
      <c r="AM8" s="77" t="s">
        <v>966</v>
      </c>
    </row>
    <row r="9" spans="1:54" ht="114" customHeight="1" x14ac:dyDescent="0.25">
      <c r="A9" s="374" t="s">
        <v>1149</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c r="AC9" s="374"/>
      <c r="AD9" s="374"/>
      <c r="AE9" s="374"/>
      <c r="AF9" s="374"/>
      <c r="AG9" s="374"/>
      <c r="AH9" s="374"/>
      <c r="AI9" s="374"/>
      <c r="AJ9" s="374"/>
      <c r="AK9" s="374"/>
      <c r="AL9" s="374"/>
      <c r="AM9" s="77"/>
    </row>
    <row r="10" spans="1:54" x14ac:dyDescent="0.3">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row>
    <row r="11" spans="1:54" ht="14.7" customHeight="1" x14ac:dyDescent="0.25">
      <c r="A11" s="370" t="s">
        <v>106</v>
      </c>
      <c r="B11" s="370"/>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spans="1:54" x14ac:dyDescent="0.25">
      <c r="A12" s="326" t="s">
        <v>107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row>
    <row r="13" spans="1:54" ht="17.25" customHeight="1" x14ac:dyDescent="0.25">
      <c r="A13" s="371" t="s">
        <v>958</v>
      </c>
      <c r="B13" s="371"/>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row>
    <row r="14" spans="1:54" ht="17.25" customHeight="1" x14ac:dyDescent="0.25">
      <c r="A14" s="238"/>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238"/>
      <c r="AA14" s="238"/>
      <c r="AB14" s="238"/>
      <c r="AC14" s="238"/>
      <c r="AD14" s="238"/>
      <c r="AE14" s="238"/>
      <c r="AF14" s="238"/>
      <c r="AG14" s="238"/>
      <c r="AH14" s="238"/>
      <c r="AI14" s="238"/>
      <c r="AJ14" s="238"/>
      <c r="AK14" s="238"/>
      <c r="AL14" s="238"/>
    </row>
    <row r="15" spans="1:54" x14ac:dyDescent="0.3">
      <c r="A15" s="372" t="s">
        <v>71</v>
      </c>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2"/>
      <c r="AH15" s="372"/>
      <c r="AI15" s="372"/>
      <c r="AJ15" s="372"/>
      <c r="AK15" s="372"/>
      <c r="AL15" s="148"/>
    </row>
    <row r="16" spans="1:54" x14ac:dyDescent="0.25">
      <c r="A16" s="326" t="s">
        <v>1</v>
      </c>
      <c r="B16" s="373" t="s">
        <v>63</v>
      </c>
      <c r="C16" s="373"/>
      <c r="D16" s="373"/>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row>
    <row r="17" spans="1:39" x14ac:dyDescent="0.25">
      <c r="A17" s="326"/>
      <c r="B17" s="443"/>
      <c r="C17" s="443"/>
      <c r="D17" s="443"/>
      <c r="E17" s="443"/>
      <c r="F17" s="443"/>
      <c r="G17" s="443"/>
      <c r="H17" s="443"/>
      <c r="I17" s="443"/>
      <c r="J17" s="443"/>
      <c r="K17" s="443"/>
      <c r="L17" s="443"/>
      <c r="M17" s="443"/>
      <c r="N17" s="443"/>
      <c r="O17" s="443"/>
      <c r="P17" s="443"/>
      <c r="Q17" s="443"/>
      <c r="R17" s="443"/>
      <c r="S17" s="443"/>
      <c r="T17" s="443"/>
      <c r="U17" s="443"/>
      <c r="V17" s="443"/>
      <c r="W17" s="443"/>
      <c r="X17" s="443"/>
      <c r="Y17" s="443"/>
      <c r="Z17" s="443"/>
      <c r="AA17" s="443"/>
      <c r="AB17" s="443"/>
      <c r="AC17" s="443"/>
      <c r="AD17" s="443"/>
      <c r="AE17" s="443"/>
      <c r="AF17" s="443"/>
      <c r="AG17" s="443"/>
      <c r="AH17" s="443"/>
      <c r="AI17" s="443"/>
      <c r="AJ17" s="443"/>
      <c r="AK17" s="443"/>
      <c r="AL17" s="443"/>
    </row>
    <row r="18" spans="1:39" x14ac:dyDescent="0.3">
      <c r="A18" s="326" t="s">
        <v>4</v>
      </c>
      <c r="B18" s="344" t="s">
        <v>64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4"/>
      <c r="AH18" s="344"/>
      <c r="AI18" s="344"/>
      <c r="AJ18" s="344"/>
      <c r="AK18" s="344"/>
      <c r="AL18" s="344"/>
      <c r="AM18" s="100" t="s">
        <v>969</v>
      </c>
    </row>
    <row r="19" spans="1:39" x14ac:dyDescent="0.25">
      <c r="A19" s="326"/>
      <c r="B19" s="591"/>
      <c r="C19" s="592"/>
      <c r="D19" s="592"/>
      <c r="E19" s="592"/>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92"/>
      <c r="AK19" s="592"/>
      <c r="AL19" s="592"/>
    </row>
    <row r="20" spans="1:39" ht="28.95" customHeight="1" x14ac:dyDescent="0.3">
      <c r="A20" s="326" t="s">
        <v>6</v>
      </c>
      <c r="B20" s="465" t="s">
        <v>986</v>
      </c>
      <c r="C20" s="465"/>
      <c r="D20" s="465"/>
      <c r="E20" s="465"/>
      <c r="F20" s="465"/>
      <c r="G20" s="465"/>
      <c r="H20" s="465"/>
      <c r="I20" s="465"/>
      <c r="J20" s="465"/>
      <c r="K20" s="465"/>
      <c r="L20" s="465"/>
      <c r="M20" s="465"/>
      <c r="N20" s="465"/>
      <c r="O20" s="465"/>
      <c r="P20" s="465"/>
      <c r="Q20" s="465"/>
      <c r="R20" s="465"/>
      <c r="S20" s="465"/>
      <c r="T20" s="465"/>
      <c r="U20" s="465"/>
      <c r="V20" s="465"/>
      <c r="W20" s="465"/>
      <c r="X20" s="465"/>
      <c r="Y20" s="465"/>
      <c r="Z20" s="465"/>
      <c r="AA20" s="465"/>
      <c r="AB20" s="465"/>
      <c r="AC20" s="465"/>
      <c r="AD20" s="465"/>
      <c r="AE20" s="465"/>
      <c r="AF20" s="465"/>
      <c r="AG20" s="465"/>
      <c r="AH20" s="465"/>
      <c r="AI20" s="465"/>
      <c r="AJ20" s="465"/>
      <c r="AK20" s="465"/>
      <c r="AL20" s="465"/>
      <c r="AM20" s="100" t="s">
        <v>959</v>
      </c>
    </row>
    <row r="21" spans="1:39" x14ac:dyDescent="0.25">
      <c r="A21" s="326"/>
      <c r="B21" s="339"/>
      <c r="C21" s="339"/>
      <c r="D21" s="339"/>
      <c r="E21" s="339"/>
      <c r="F21" s="339"/>
      <c r="G21" s="339"/>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row>
    <row r="22" spans="1:39" ht="46.2" customHeight="1" x14ac:dyDescent="0.3">
      <c r="A22" s="326"/>
      <c r="B22" s="309" t="s">
        <v>1067</v>
      </c>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242" t="s">
        <v>967</v>
      </c>
    </row>
    <row r="23" spans="1:39" x14ac:dyDescent="0.25">
      <c r="A23" s="326"/>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row>
    <row r="24" spans="1:39" x14ac:dyDescent="0.3">
      <c r="A24" s="337" t="s">
        <v>7</v>
      </c>
      <c r="B24" s="344" t="s">
        <v>65</v>
      </c>
      <c r="C24" s="344"/>
      <c r="D24" s="344"/>
      <c r="E24" s="344"/>
      <c r="F24" s="344"/>
      <c r="G24" s="344"/>
      <c r="H24" s="344"/>
      <c r="I24" s="344"/>
      <c r="J24" s="344"/>
      <c r="K24" s="344"/>
      <c r="L24" s="344"/>
      <c r="M24" s="344"/>
      <c r="N24" s="344"/>
      <c r="O24" s="344"/>
      <c r="P24" s="344"/>
      <c r="Q24" s="344"/>
      <c r="R24" s="344"/>
      <c r="S24" s="344"/>
      <c r="T24" s="344"/>
      <c r="U24" s="344"/>
      <c r="V24" s="344"/>
      <c r="W24" s="349" t="s">
        <v>224</v>
      </c>
      <c r="X24" s="344"/>
      <c r="Y24" s="344"/>
      <c r="Z24" s="344"/>
      <c r="AA24" s="344"/>
      <c r="AB24" s="344"/>
      <c r="AC24" s="344"/>
      <c r="AD24" s="344"/>
      <c r="AE24" s="344"/>
      <c r="AF24" s="344"/>
      <c r="AG24" s="344"/>
      <c r="AH24" s="344"/>
      <c r="AI24" s="344"/>
      <c r="AJ24" s="344"/>
      <c r="AK24" s="344"/>
      <c r="AL24" s="344"/>
      <c r="AM24" s="100" t="s">
        <v>968</v>
      </c>
    </row>
    <row r="25" spans="1:39" x14ac:dyDescent="0.3">
      <c r="A25" s="326"/>
      <c r="B25" s="600"/>
      <c r="C25" s="600"/>
      <c r="D25" s="600"/>
      <c r="E25" s="600"/>
      <c r="F25" s="600"/>
      <c r="G25" s="600"/>
      <c r="H25" s="600"/>
      <c r="I25" s="600"/>
      <c r="J25" s="600"/>
      <c r="K25" s="600"/>
      <c r="L25" s="600"/>
      <c r="M25" s="600"/>
      <c r="N25" s="600"/>
      <c r="O25" s="600"/>
      <c r="P25" s="600"/>
      <c r="Q25" s="600"/>
      <c r="R25" s="600"/>
      <c r="S25" s="600"/>
      <c r="T25" s="600"/>
      <c r="U25" s="600"/>
      <c r="V25" s="600"/>
      <c r="W25" s="352"/>
      <c r="X25" s="352"/>
      <c r="Y25" s="352"/>
      <c r="Z25" s="352"/>
      <c r="AA25" s="352"/>
      <c r="AB25" s="352"/>
      <c r="AC25" s="352"/>
      <c r="AD25" s="352"/>
      <c r="AE25" s="352"/>
      <c r="AF25" s="352"/>
      <c r="AG25" s="352"/>
      <c r="AH25" s="352"/>
      <c r="AI25" s="352"/>
      <c r="AJ25" s="352"/>
      <c r="AK25" s="352"/>
      <c r="AL25" s="352"/>
    </row>
    <row r="26" spans="1:39" x14ac:dyDescent="0.25">
      <c r="A26" s="337" t="s">
        <v>9</v>
      </c>
      <c r="B26" s="344" t="s">
        <v>66</v>
      </c>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row>
    <row r="27" spans="1:39" x14ac:dyDescent="0.25">
      <c r="A27" s="326"/>
      <c r="B27" s="344" t="s">
        <v>170</v>
      </c>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344"/>
      <c r="AF27" s="344"/>
      <c r="AG27" s="344"/>
      <c r="AH27" s="344"/>
      <c r="AI27" s="344"/>
      <c r="AJ27" s="344"/>
      <c r="AK27" s="344"/>
      <c r="AL27" s="606"/>
    </row>
    <row r="28" spans="1:39" x14ac:dyDescent="0.25">
      <c r="A28" s="326"/>
      <c r="B28" s="593"/>
      <c r="C28" s="594"/>
      <c r="D28" s="594"/>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5"/>
    </row>
    <row r="29" spans="1:39" x14ac:dyDescent="0.25">
      <c r="A29" s="326"/>
      <c r="B29" s="587" t="s">
        <v>211</v>
      </c>
      <c r="C29" s="588"/>
      <c r="D29" s="588"/>
      <c r="E29" s="588"/>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88"/>
      <c r="AH29" s="588"/>
      <c r="AI29" s="588"/>
      <c r="AJ29" s="588"/>
      <c r="AK29" s="588"/>
      <c r="AL29" s="589"/>
    </row>
    <row r="30" spans="1:39" x14ac:dyDescent="0.25">
      <c r="A30" s="326"/>
      <c r="B30" s="593"/>
      <c r="C30" s="594"/>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5"/>
    </row>
    <row r="31" spans="1:39" x14ac:dyDescent="0.25">
      <c r="A31" s="326"/>
      <c r="B31" s="588" t="s">
        <v>171</v>
      </c>
      <c r="C31" s="588"/>
      <c r="D31" s="588"/>
      <c r="E31" s="5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88"/>
      <c r="AH31" s="588"/>
      <c r="AI31" s="588"/>
      <c r="AJ31" s="588"/>
      <c r="AK31" s="588"/>
      <c r="AL31" s="589"/>
    </row>
    <row r="32" spans="1:39" x14ac:dyDescent="0.25">
      <c r="A32" s="326"/>
      <c r="B32" s="593"/>
      <c r="C32" s="594"/>
      <c r="D32" s="594"/>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5"/>
      <c r="AM32" s="101" t="s">
        <v>174</v>
      </c>
    </row>
    <row r="33" spans="1:39" x14ac:dyDescent="0.25">
      <c r="A33" s="326"/>
      <c r="B33" s="587" t="s">
        <v>212</v>
      </c>
      <c r="C33" s="588"/>
      <c r="D33" s="588"/>
      <c r="E33" s="588"/>
      <c r="F33" s="588"/>
      <c r="G33" s="588"/>
      <c r="H33" s="588"/>
      <c r="I33" s="588"/>
      <c r="J33" s="588"/>
      <c r="K33" s="588"/>
      <c r="L33" s="588"/>
      <c r="M33" s="588"/>
      <c r="N33" s="588"/>
      <c r="O33" s="588"/>
      <c r="P33" s="588"/>
      <c r="Q33" s="588"/>
      <c r="R33" s="588"/>
      <c r="S33" s="588"/>
      <c r="T33" s="588"/>
      <c r="U33" s="588"/>
      <c r="V33" s="588"/>
      <c r="W33" s="588"/>
      <c r="X33" s="588"/>
      <c r="Y33" s="588"/>
      <c r="Z33" s="588"/>
      <c r="AA33" s="588"/>
      <c r="AB33" s="588"/>
      <c r="AC33" s="588"/>
      <c r="AD33" s="588"/>
      <c r="AE33" s="588"/>
      <c r="AF33" s="588"/>
      <c r="AG33" s="588"/>
      <c r="AH33" s="588"/>
      <c r="AI33" s="588"/>
      <c r="AJ33" s="588"/>
      <c r="AK33" s="588"/>
      <c r="AL33" s="588"/>
    </row>
    <row r="34" spans="1:39" x14ac:dyDescent="0.25">
      <c r="A34" s="326"/>
      <c r="B34" s="593"/>
      <c r="C34" s="594"/>
      <c r="D34" s="594"/>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5"/>
      <c r="AM34" s="101" t="s">
        <v>174</v>
      </c>
    </row>
    <row r="35" spans="1:39" ht="14.7" customHeight="1" x14ac:dyDescent="0.25">
      <c r="A35" s="337" t="s">
        <v>882</v>
      </c>
      <c r="B35" s="614" t="s">
        <v>676</v>
      </c>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row>
    <row r="36" spans="1:39" x14ac:dyDescent="0.25">
      <c r="A36" s="326"/>
      <c r="B36" s="615"/>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c r="AA36" s="616"/>
      <c r="AB36" s="616"/>
      <c r="AC36" s="616"/>
      <c r="AD36" s="616"/>
      <c r="AE36" s="616"/>
      <c r="AF36" s="616"/>
      <c r="AG36" s="616"/>
      <c r="AH36" s="616"/>
      <c r="AI36" s="616"/>
      <c r="AJ36" s="616"/>
      <c r="AK36" s="616"/>
      <c r="AL36" s="616"/>
    </row>
    <row r="37" spans="1:39" ht="60" customHeight="1" x14ac:dyDescent="0.25">
      <c r="A37" s="326"/>
      <c r="B37" s="599" t="s">
        <v>677</v>
      </c>
      <c r="C37" s="601"/>
      <c r="D37" s="601"/>
      <c r="E37" s="601"/>
      <c r="F37" s="601"/>
      <c r="G37" s="601"/>
      <c r="H37" s="601"/>
      <c r="I37" s="601"/>
      <c r="J37" s="601"/>
      <c r="K37" s="601"/>
      <c r="L37" s="601"/>
      <c r="M37" s="601"/>
      <c r="N37" s="601"/>
      <c r="O37" s="601"/>
      <c r="P37" s="601"/>
      <c r="Q37" s="601"/>
      <c r="R37" s="601"/>
      <c r="S37" s="601"/>
      <c r="T37" s="601"/>
      <c r="U37" s="601"/>
      <c r="V37" s="601"/>
      <c r="W37" s="601"/>
      <c r="X37" s="601"/>
      <c r="Y37" s="602" t="s">
        <v>1068</v>
      </c>
      <c r="Z37" s="603"/>
      <c r="AA37" s="603"/>
      <c r="AB37" s="603"/>
      <c r="AC37" s="603"/>
      <c r="AD37" s="603"/>
      <c r="AE37" s="603"/>
      <c r="AF37" s="603"/>
      <c r="AG37" s="603"/>
      <c r="AH37" s="603"/>
      <c r="AI37" s="603"/>
      <c r="AJ37" s="603"/>
      <c r="AK37" s="603"/>
      <c r="AL37" s="603"/>
    </row>
    <row r="38" spans="1:39" x14ac:dyDescent="0.25">
      <c r="A38" s="326"/>
      <c r="B38" s="604"/>
      <c r="C38" s="605"/>
      <c r="D38" s="605"/>
      <c r="E38" s="605"/>
      <c r="F38" s="605"/>
      <c r="G38" s="605"/>
      <c r="H38" s="605"/>
      <c r="I38" s="605"/>
      <c r="J38" s="605"/>
      <c r="K38" s="605"/>
      <c r="L38" s="605"/>
      <c r="M38" s="605"/>
      <c r="N38" s="605"/>
      <c r="O38" s="605"/>
      <c r="P38" s="605"/>
      <c r="Q38" s="605"/>
      <c r="R38" s="605"/>
      <c r="S38" s="605"/>
      <c r="T38" s="605"/>
      <c r="U38" s="605"/>
      <c r="V38" s="605"/>
      <c r="W38" s="605"/>
      <c r="X38" s="605"/>
      <c r="Y38" s="598"/>
      <c r="Z38" s="605"/>
      <c r="AA38" s="605"/>
      <c r="AB38" s="605"/>
      <c r="AC38" s="605"/>
      <c r="AD38" s="605"/>
      <c r="AE38" s="605"/>
      <c r="AF38" s="605"/>
      <c r="AG38" s="605"/>
      <c r="AH38" s="605"/>
      <c r="AI38" s="605"/>
      <c r="AJ38" s="605"/>
      <c r="AK38" s="605"/>
      <c r="AL38" s="605"/>
    </row>
    <row r="39" spans="1:39" x14ac:dyDescent="0.25">
      <c r="A39" s="326"/>
      <c r="B39" s="599" t="s">
        <v>678</v>
      </c>
      <c r="C39" s="344"/>
      <c r="D39" s="344"/>
      <c r="E39" s="344"/>
      <c r="F39" s="344"/>
      <c r="G39" s="344"/>
      <c r="H39" s="344"/>
      <c r="I39" s="344"/>
      <c r="J39" s="344"/>
      <c r="K39" s="344"/>
      <c r="L39" s="344"/>
      <c r="M39" s="344"/>
      <c r="N39" s="344"/>
      <c r="O39" s="344"/>
      <c r="P39" s="344"/>
      <c r="Q39" s="344"/>
      <c r="R39" s="344"/>
      <c r="S39" s="344"/>
      <c r="T39" s="344"/>
      <c r="U39" s="344"/>
      <c r="V39" s="344"/>
      <c r="W39" s="599" t="s">
        <v>679</v>
      </c>
      <c r="X39" s="344"/>
      <c r="Y39" s="344"/>
      <c r="Z39" s="344"/>
      <c r="AA39" s="344"/>
      <c r="AB39" s="344"/>
      <c r="AC39" s="344"/>
      <c r="AD39" s="344"/>
      <c r="AE39" s="344"/>
      <c r="AF39" s="344"/>
      <c r="AG39" s="344"/>
      <c r="AH39" s="344"/>
      <c r="AI39" s="344"/>
      <c r="AJ39" s="344"/>
      <c r="AK39" s="344"/>
      <c r="AL39" s="344"/>
    </row>
    <row r="40" spans="1:39" x14ac:dyDescent="0.3">
      <c r="A40" s="326"/>
      <c r="B40" s="350"/>
      <c r="C40" s="350"/>
      <c r="D40" s="350"/>
      <c r="E40" s="350"/>
      <c r="F40" s="350"/>
      <c r="G40" s="350"/>
      <c r="H40" s="350"/>
      <c r="I40" s="350"/>
      <c r="J40" s="350"/>
      <c r="K40" s="350"/>
      <c r="L40" s="350"/>
      <c r="M40" s="350"/>
      <c r="N40" s="350"/>
      <c r="O40" s="350"/>
      <c r="P40" s="350"/>
      <c r="Q40" s="350"/>
      <c r="R40" s="350"/>
      <c r="S40" s="350"/>
      <c r="T40" s="350"/>
      <c r="U40" s="350"/>
      <c r="V40" s="350"/>
      <c r="W40" s="327"/>
      <c r="X40" s="327"/>
      <c r="Y40" s="327"/>
      <c r="Z40" s="327"/>
      <c r="AA40" s="327"/>
      <c r="AB40" s="327"/>
      <c r="AC40" s="327"/>
      <c r="AD40" s="327"/>
      <c r="AE40" s="327"/>
      <c r="AF40" s="327"/>
      <c r="AG40" s="327"/>
      <c r="AH40" s="327"/>
      <c r="AI40" s="327"/>
      <c r="AJ40" s="327"/>
      <c r="AK40" s="327"/>
      <c r="AL40" s="327"/>
    </row>
    <row r="41" spans="1:39" x14ac:dyDescent="0.3">
      <c r="A41" s="326"/>
      <c r="B41" s="338" t="s">
        <v>680</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100" t="s">
        <v>971</v>
      </c>
    </row>
    <row r="42" spans="1:39" x14ac:dyDescent="0.3">
      <c r="A42" s="326"/>
      <c r="B42" s="327"/>
      <c r="C42" s="327"/>
      <c r="D42" s="327"/>
      <c r="E42" s="327"/>
      <c r="F42" s="327"/>
      <c r="G42" s="327"/>
      <c r="H42" s="327"/>
      <c r="I42" s="327"/>
      <c r="J42" s="327"/>
      <c r="K42" s="327"/>
      <c r="L42" s="327"/>
      <c r="M42" s="327"/>
      <c r="N42" s="327"/>
      <c r="O42" s="327"/>
      <c r="P42" s="327"/>
      <c r="Q42" s="327"/>
      <c r="R42" s="327"/>
      <c r="S42" s="327"/>
      <c r="T42" s="327"/>
      <c r="U42" s="327"/>
      <c r="V42" s="327"/>
      <c r="W42" s="327"/>
      <c r="X42" s="327"/>
      <c r="Y42" s="327"/>
      <c r="Z42" s="327"/>
      <c r="AA42" s="327"/>
      <c r="AB42" s="327"/>
      <c r="AC42" s="327"/>
      <c r="AD42" s="327"/>
      <c r="AE42" s="327"/>
      <c r="AF42" s="327"/>
      <c r="AG42" s="327"/>
      <c r="AH42" s="327"/>
      <c r="AI42" s="327"/>
      <c r="AJ42" s="327"/>
      <c r="AK42" s="327"/>
      <c r="AL42" s="327"/>
    </row>
    <row r="43" spans="1:39" ht="40.200000000000003" customHeight="1" x14ac:dyDescent="0.25">
      <c r="A43" s="337" t="s">
        <v>640</v>
      </c>
      <c r="B43" s="342" t="s">
        <v>754</v>
      </c>
      <c r="C43" s="342"/>
      <c r="D43" s="342"/>
      <c r="E43" s="342"/>
      <c r="F43" s="342"/>
      <c r="G43" s="342"/>
      <c r="H43" s="342"/>
      <c r="I43" s="342"/>
      <c r="J43" s="342"/>
      <c r="K43" s="342"/>
      <c r="L43" s="342"/>
      <c r="M43" s="342"/>
      <c r="N43" s="342"/>
      <c r="O43" s="342"/>
      <c r="P43" s="342"/>
      <c r="Q43" s="342"/>
      <c r="R43" s="342"/>
      <c r="S43" s="342"/>
      <c r="T43" s="342"/>
      <c r="U43" s="342"/>
      <c r="V43" s="342"/>
      <c r="W43" s="342"/>
      <c r="X43" s="342"/>
      <c r="Y43" s="342"/>
      <c r="Z43" s="342"/>
      <c r="AA43" s="342"/>
      <c r="AB43" s="342"/>
      <c r="AC43" s="342"/>
      <c r="AD43" s="342"/>
      <c r="AE43" s="342"/>
      <c r="AF43" s="342"/>
      <c r="AG43" s="342"/>
      <c r="AH43" s="342"/>
      <c r="AI43" s="342"/>
      <c r="AJ43" s="342"/>
      <c r="AK43" s="342"/>
      <c r="AL43" s="342"/>
    </row>
    <row r="44" spans="1:39" x14ac:dyDescent="0.3">
      <c r="A44" s="326"/>
      <c r="B44" s="352"/>
      <c r="C44" s="352"/>
      <c r="D44" s="352"/>
      <c r="E44" s="352"/>
      <c r="F44" s="352"/>
      <c r="G44" s="352"/>
      <c r="H44" s="352"/>
      <c r="I44" s="352"/>
      <c r="J44" s="352"/>
      <c r="K44" s="352"/>
      <c r="L44" s="352"/>
      <c r="M44" s="352"/>
      <c r="N44" s="352"/>
      <c r="O44" s="352"/>
      <c r="P44" s="352"/>
      <c r="Q44" s="352"/>
      <c r="R44" s="352"/>
      <c r="S44" s="352"/>
      <c r="T44" s="348" t="str" cm="1">
        <f t="array" ref="T44">LEFT(B44,2)&amp;" "&amp;_xlfn.TEXTJOIN(" ",,MID(B44,{3,7,11,15,19,23},4))</f>
        <v xml:space="preserve"> </v>
      </c>
      <c r="U44" s="348"/>
      <c r="V44" s="348"/>
      <c r="W44" s="348"/>
      <c r="X44" s="348"/>
      <c r="Y44" s="348"/>
      <c r="Z44" s="348"/>
      <c r="AA44" s="348"/>
      <c r="AB44" s="348"/>
      <c r="AC44" s="348"/>
      <c r="AD44" s="348"/>
      <c r="AE44" s="348"/>
      <c r="AF44" s="348"/>
      <c r="AG44" s="348"/>
      <c r="AH44" s="348"/>
      <c r="AI44" s="348"/>
      <c r="AJ44" s="348"/>
      <c r="AK44" s="348"/>
      <c r="AL44" s="348"/>
    </row>
    <row r="45" spans="1:39" x14ac:dyDescent="0.25">
      <c r="A45" s="149" t="s">
        <v>67</v>
      </c>
      <c r="B45" s="351" t="s">
        <v>68</v>
      </c>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351"/>
      <c r="AH45" s="351"/>
      <c r="AI45" s="351"/>
      <c r="AJ45" s="351"/>
      <c r="AK45" s="351"/>
      <c r="AL45" s="351"/>
    </row>
    <row r="46" spans="1:39" x14ac:dyDescent="0.25">
      <c r="A46" s="326" t="s">
        <v>1</v>
      </c>
      <c r="B46" s="743" t="s">
        <v>85</v>
      </c>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344"/>
      <c r="AF46" s="344"/>
      <c r="AG46" s="344"/>
      <c r="AH46" s="344"/>
      <c r="AI46" s="344"/>
      <c r="AJ46" s="344"/>
      <c r="AK46" s="344"/>
      <c r="AL46" s="344"/>
    </row>
    <row r="47" spans="1:39" x14ac:dyDescent="0.3">
      <c r="A47" s="326"/>
      <c r="B47" s="655">
        <f>IF(AJ101&gt;(ROUNDDOWN(AK154*T156*T157,2)),(ROUNDDOWN(AK154*T156*T157,2)),AJ101)</f>
        <v>0</v>
      </c>
      <c r="C47" s="655"/>
      <c r="D47" s="655"/>
      <c r="E47" s="655"/>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c r="AL47" s="655"/>
      <c r="AM47" s="118" t="s">
        <v>213</v>
      </c>
    </row>
    <row r="48" spans="1:39" x14ac:dyDescent="0.25">
      <c r="A48" s="184"/>
      <c r="B48" s="743" t="s">
        <v>661</v>
      </c>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4"/>
      <c r="AI48" s="344"/>
      <c r="AJ48" s="344"/>
      <c r="AK48" s="344"/>
      <c r="AL48" s="344"/>
      <c r="AM48" s="118"/>
    </row>
    <row r="49" spans="1:41" ht="32.700000000000003" customHeight="1" x14ac:dyDescent="0.3">
      <c r="A49" s="184"/>
      <c r="B49" s="740" t="s">
        <v>644</v>
      </c>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741"/>
      <c r="AK49" s="742"/>
      <c r="AL49" s="742"/>
      <c r="AM49" s="118"/>
    </row>
    <row r="50" spans="1:41" ht="70.95" customHeight="1" x14ac:dyDescent="0.3">
      <c r="A50" s="184"/>
      <c r="B50" s="740" t="s">
        <v>652</v>
      </c>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741"/>
      <c r="AK50" s="742"/>
      <c r="AL50" s="742"/>
      <c r="AM50" s="118"/>
    </row>
    <row r="51" spans="1:41" ht="33.6" customHeight="1" x14ac:dyDescent="0.3">
      <c r="A51" s="184"/>
      <c r="B51" s="740" t="s">
        <v>645</v>
      </c>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c r="AJ51" s="741"/>
      <c r="AK51" s="742"/>
      <c r="AL51" s="742"/>
      <c r="AM51" s="118"/>
    </row>
    <row r="52" spans="1:41" ht="33.6" customHeight="1" x14ac:dyDescent="0.3">
      <c r="A52" s="184"/>
      <c r="B52" s="740" t="s">
        <v>646</v>
      </c>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c r="AJ52" s="741"/>
      <c r="AK52" s="742"/>
      <c r="AL52" s="742"/>
      <c r="AM52" s="118"/>
    </row>
    <row r="53" spans="1:41" ht="34.200000000000003" customHeight="1" x14ac:dyDescent="0.3">
      <c r="A53" s="184"/>
      <c r="B53" s="740" t="s">
        <v>647</v>
      </c>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89"/>
      <c r="AH53" s="289"/>
      <c r="AI53" s="289"/>
      <c r="AJ53" s="741"/>
      <c r="AK53" s="742"/>
      <c r="AL53" s="742"/>
      <c r="AM53" s="118"/>
    </row>
    <row r="54" spans="1:41" ht="30" customHeight="1" x14ac:dyDescent="0.3">
      <c r="A54" s="184"/>
      <c r="B54" s="740" t="s">
        <v>648</v>
      </c>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89"/>
      <c r="AH54" s="289"/>
      <c r="AI54" s="289"/>
      <c r="AJ54" s="741"/>
      <c r="AK54" s="742"/>
      <c r="AL54" s="742"/>
      <c r="AM54" s="118"/>
    </row>
    <row r="55" spans="1:41" ht="43.2" customHeight="1" x14ac:dyDescent="0.3">
      <c r="A55" s="184"/>
      <c r="B55" s="740" t="s">
        <v>649</v>
      </c>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741"/>
      <c r="AK55" s="742"/>
      <c r="AL55" s="742"/>
      <c r="AM55" s="118"/>
    </row>
    <row r="56" spans="1:41" ht="40.950000000000003" customHeight="1" x14ac:dyDescent="0.3">
      <c r="A56" s="184"/>
      <c r="B56" s="740" t="s">
        <v>650</v>
      </c>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c r="AA56" s="289"/>
      <c r="AB56" s="289"/>
      <c r="AC56" s="289"/>
      <c r="AD56" s="289"/>
      <c r="AE56" s="289"/>
      <c r="AF56" s="289"/>
      <c r="AG56" s="289"/>
      <c r="AH56" s="289"/>
      <c r="AI56" s="289"/>
      <c r="AJ56" s="741"/>
      <c r="AK56" s="742"/>
      <c r="AL56" s="742"/>
      <c r="AM56" s="118"/>
    </row>
    <row r="57" spans="1:41" ht="33" customHeight="1" x14ac:dyDescent="0.3">
      <c r="A57" s="184"/>
      <c r="B57" s="740" t="s">
        <v>651</v>
      </c>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c r="AA57" s="289"/>
      <c r="AB57" s="289"/>
      <c r="AC57" s="289"/>
      <c r="AD57" s="289"/>
      <c r="AE57" s="289"/>
      <c r="AF57" s="289"/>
      <c r="AG57" s="289"/>
      <c r="AH57" s="289"/>
      <c r="AI57" s="289"/>
      <c r="AJ57" s="741"/>
      <c r="AK57" s="742"/>
      <c r="AL57" s="742"/>
      <c r="AM57" s="118"/>
    </row>
    <row r="58" spans="1:41" ht="28.2" customHeight="1" x14ac:dyDescent="0.25">
      <c r="A58" s="744" t="s">
        <v>6</v>
      </c>
      <c r="B58" s="445" t="s">
        <v>1023</v>
      </c>
      <c r="C58" s="445"/>
      <c r="D58" s="445"/>
      <c r="E58" s="445"/>
      <c r="F58" s="445"/>
      <c r="G58" s="445"/>
      <c r="H58" s="445"/>
      <c r="I58" s="445"/>
      <c r="J58" s="445"/>
      <c r="K58" s="445"/>
      <c r="L58" s="445"/>
      <c r="M58" s="445"/>
      <c r="N58" s="445"/>
      <c r="O58" s="445"/>
      <c r="P58" s="445"/>
      <c r="Q58" s="445"/>
      <c r="R58" s="445"/>
      <c r="S58" s="445"/>
      <c r="T58" s="445"/>
      <c r="U58" s="445"/>
      <c r="V58" s="445"/>
      <c r="W58" s="445"/>
      <c r="X58" s="445"/>
      <c r="Y58" s="445"/>
      <c r="Z58" s="445"/>
      <c r="AA58" s="445"/>
      <c r="AB58" s="445"/>
      <c r="AC58" s="445"/>
      <c r="AD58" s="445"/>
      <c r="AE58" s="445"/>
      <c r="AF58" s="445"/>
      <c r="AG58" s="445"/>
      <c r="AH58" s="445"/>
      <c r="AI58" s="445"/>
      <c r="AJ58" s="445"/>
      <c r="AK58" s="445"/>
      <c r="AL58" s="445"/>
    </row>
    <row r="59" spans="1:41" x14ac:dyDescent="0.25">
      <c r="A59" s="326"/>
      <c r="B59" s="347"/>
      <c r="C59" s="347"/>
      <c r="D59" s="347"/>
      <c r="E59" s="347"/>
      <c r="F59" s="347"/>
      <c r="G59" s="347"/>
      <c r="H59" s="347"/>
      <c r="I59" s="347"/>
      <c r="J59" s="347"/>
      <c r="K59" s="347"/>
      <c r="L59" s="347"/>
      <c r="M59" s="347"/>
      <c r="N59" s="347"/>
      <c r="O59" s="347"/>
      <c r="P59" s="347"/>
      <c r="Q59" s="347"/>
      <c r="R59" s="347"/>
      <c r="S59" s="347"/>
      <c r="T59" s="347"/>
      <c r="U59" s="347"/>
      <c r="V59" s="347"/>
      <c r="W59" s="347"/>
      <c r="X59" s="347"/>
      <c r="Y59" s="347"/>
      <c r="Z59" s="347"/>
      <c r="AA59" s="347"/>
      <c r="AB59" s="347"/>
      <c r="AC59" s="347"/>
      <c r="AD59" s="347"/>
      <c r="AE59" s="347"/>
      <c r="AF59" s="347"/>
      <c r="AG59" s="347"/>
      <c r="AH59" s="347"/>
      <c r="AI59" s="347"/>
      <c r="AJ59" s="347"/>
      <c r="AK59" s="347"/>
      <c r="AL59" s="347"/>
    </row>
    <row r="60" spans="1:41" x14ac:dyDescent="0.25">
      <c r="A60" s="744" t="s">
        <v>7</v>
      </c>
      <c r="B60" s="444" t="s">
        <v>885</v>
      </c>
      <c r="C60" s="444"/>
      <c r="D60" s="444"/>
      <c r="E60" s="444"/>
      <c r="F60" s="444"/>
      <c r="G60" s="444"/>
      <c r="H60" s="444"/>
      <c r="I60" s="444"/>
      <c r="J60" s="444"/>
      <c r="K60" s="444"/>
      <c r="L60" s="444"/>
      <c r="M60" s="444"/>
      <c r="N60" s="444"/>
      <c r="O60" s="444"/>
      <c r="P60" s="444"/>
      <c r="Q60" s="444"/>
      <c r="R60" s="444"/>
      <c r="S60" s="444"/>
      <c r="T60" s="444"/>
      <c r="U60" s="444"/>
      <c r="V60" s="444"/>
      <c r="W60" s="444"/>
      <c r="X60" s="444"/>
      <c r="Y60" s="444"/>
      <c r="Z60" s="444"/>
      <c r="AA60" s="444"/>
      <c r="AB60" s="444"/>
      <c r="AC60" s="444"/>
      <c r="AD60" s="444"/>
      <c r="AE60" s="444"/>
      <c r="AF60" s="444"/>
      <c r="AG60" s="444"/>
      <c r="AH60" s="444"/>
      <c r="AI60" s="444"/>
      <c r="AJ60" s="444"/>
      <c r="AK60" s="444"/>
      <c r="AL60" s="444"/>
    </row>
    <row r="61" spans="1:41" x14ac:dyDescent="0.25">
      <c r="A61" s="326"/>
      <c r="B61" s="347"/>
      <c r="C61" s="347"/>
      <c r="D61" s="347"/>
      <c r="E61" s="347"/>
      <c r="F61" s="347"/>
      <c r="G61" s="347"/>
      <c r="H61" s="347"/>
      <c r="I61" s="347"/>
      <c r="J61" s="347"/>
      <c r="K61" s="347"/>
      <c r="L61" s="347"/>
      <c r="M61" s="347"/>
      <c r="N61" s="347"/>
      <c r="O61" s="347"/>
      <c r="P61" s="347"/>
      <c r="Q61" s="347"/>
      <c r="R61" s="347"/>
      <c r="S61" s="347"/>
      <c r="T61" s="347"/>
      <c r="U61" s="347"/>
      <c r="V61" s="347"/>
      <c r="W61" s="347"/>
      <c r="X61" s="347"/>
      <c r="Y61" s="347"/>
      <c r="Z61" s="347"/>
      <c r="AA61" s="347"/>
      <c r="AB61" s="347"/>
      <c r="AC61" s="347"/>
      <c r="AD61" s="347"/>
      <c r="AE61" s="347"/>
      <c r="AF61" s="347"/>
      <c r="AG61" s="347"/>
      <c r="AH61" s="347"/>
      <c r="AI61" s="347"/>
      <c r="AJ61" s="347"/>
      <c r="AK61" s="347"/>
      <c r="AL61" s="347"/>
    </row>
    <row r="62" spans="1:41" x14ac:dyDescent="0.25">
      <c r="A62" s="345" t="s">
        <v>9</v>
      </c>
      <c r="B62" s="419" t="s">
        <v>223</v>
      </c>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s="344"/>
      <c r="AJ62" s="344"/>
      <c r="AK62" s="344"/>
      <c r="AL62" s="344"/>
      <c r="AM62" s="590"/>
      <c r="AN62" s="590"/>
      <c r="AO62" s="590"/>
    </row>
    <row r="63" spans="1:41" ht="14.7" customHeight="1" x14ac:dyDescent="0.25">
      <c r="A63" s="344"/>
      <c r="B63" s="763" t="s">
        <v>700</v>
      </c>
      <c r="C63" s="763"/>
      <c r="D63" s="763"/>
      <c r="E63" s="763"/>
      <c r="F63" s="763"/>
      <c r="G63" s="763"/>
      <c r="H63" s="763"/>
      <c r="I63" s="763"/>
      <c r="J63" s="763"/>
      <c r="K63" s="763"/>
      <c r="L63" s="763"/>
      <c r="M63" s="763"/>
      <c r="N63" s="763"/>
      <c r="O63" s="763"/>
      <c r="P63" s="763"/>
      <c r="Q63" s="763"/>
      <c r="R63" s="763"/>
      <c r="S63" s="763"/>
      <c r="T63" s="763"/>
      <c r="U63" s="763"/>
      <c r="V63" s="763"/>
      <c r="W63" s="763"/>
      <c r="X63" s="763"/>
      <c r="Y63" s="764"/>
      <c r="Z63" s="426" t="s">
        <v>702</v>
      </c>
      <c r="AA63" s="427"/>
      <c r="AB63" s="427"/>
      <c r="AC63" s="427"/>
      <c r="AD63" s="427"/>
      <c r="AE63" s="427"/>
      <c r="AF63" s="427"/>
      <c r="AG63" s="427"/>
      <c r="AH63" s="427"/>
      <c r="AI63" s="427"/>
      <c r="AJ63" s="427"/>
      <c r="AK63" s="426" t="s">
        <v>701</v>
      </c>
      <c r="AL63" s="427"/>
    </row>
    <row r="64" spans="1:41" ht="16.2" customHeight="1" x14ac:dyDescent="0.3">
      <c r="A64" s="344"/>
      <c r="B64" s="763" t="s">
        <v>222</v>
      </c>
      <c r="C64" s="763"/>
      <c r="D64" s="763"/>
      <c r="E64" s="763"/>
      <c r="F64" s="763"/>
      <c r="G64" s="763"/>
      <c r="H64" s="763"/>
      <c r="I64" s="763"/>
      <c r="J64" s="763"/>
      <c r="K64" s="763"/>
      <c r="L64" s="763"/>
      <c r="M64" s="763"/>
      <c r="N64" s="763"/>
      <c r="O64" s="763"/>
      <c r="P64" s="763"/>
      <c r="Q64" s="763"/>
      <c r="R64" s="763"/>
      <c r="S64" s="763"/>
      <c r="T64" s="763"/>
      <c r="U64" s="763"/>
      <c r="V64" s="763"/>
      <c r="W64" s="763"/>
      <c r="X64" s="763"/>
      <c r="Y64" s="764"/>
      <c r="Z64" s="403"/>
      <c r="AA64" s="403"/>
      <c r="AB64" s="403"/>
      <c r="AC64" s="403"/>
      <c r="AD64" s="403"/>
      <c r="AE64" s="403"/>
      <c r="AF64" s="403"/>
      <c r="AG64" s="403"/>
      <c r="AH64" s="403"/>
      <c r="AI64" s="403"/>
      <c r="AJ64" s="403"/>
      <c r="AK64" s="341" t="e">
        <f>ROUND(Z64/Z$68,5)</f>
        <v>#DIV/0!</v>
      </c>
      <c r="AL64" s="341"/>
    </row>
    <row r="65" spans="1:39" ht="15.45" customHeight="1" x14ac:dyDescent="0.3">
      <c r="A65" s="344"/>
      <c r="B65" s="763" t="s">
        <v>226</v>
      </c>
      <c r="C65" s="763"/>
      <c r="D65" s="763"/>
      <c r="E65" s="763"/>
      <c r="F65" s="763"/>
      <c r="G65" s="763"/>
      <c r="H65" s="763"/>
      <c r="I65" s="763"/>
      <c r="J65" s="763"/>
      <c r="K65" s="763"/>
      <c r="L65" s="763"/>
      <c r="M65" s="763"/>
      <c r="N65" s="763"/>
      <c r="O65" s="763"/>
      <c r="P65" s="763"/>
      <c r="Q65" s="763"/>
      <c r="R65" s="763"/>
      <c r="S65" s="763"/>
      <c r="T65" s="763"/>
      <c r="U65" s="763"/>
      <c r="V65" s="763"/>
      <c r="W65" s="763"/>
      <c r="X65" s="763"/>
      <c r="Y65" s="764"/>
      <c r="Z65" s="745"/>
      <c r="AA65" s="746"/>
      <c r="AB65" s="746"/>
      <c r="AC65" s="746"/>
      <c r="AD65" s="746"/>
      <c r="AE65" s="746"/>
      <c r="AF65" s="746"/>
      <c r="AG65" s="746"/>
      <c r="AH65" s="746"/>
      <c r="AI65" s="746"/>
      <c r="AJ65" s="747"/>
      <c r="AK65" s="341" t="e">
        <f t="shared" ref="AK65:AK67" si="0">ROUND(Z65/Z$68,5)</f>
        <v>#DIV/0!</v>
      </c>
      <c r="AL65" s="341"/>
      <c r="AM65" s="76"/>
    </row>
    <row r="66" spans="1:39" ht="15" customHeight="1" x14ac:dyDescent="0.3">
      <c r="A66" s="344"/>
      <c r="B66" s="763" t="s">
        <v>88</v>
      </c>
      <c r="C66" s="763"/>
      <c r="D66" s="763"/>
      <c r="E66" s="763"/>
      <c r="F66" s="763"/>
      <c r="G66" s="763"/>
      <c r="H66" s="763"/>
      <c r="I66" s="763"/>
      <c r="J66" s="763"/>
      <c r="K66" s="763"/>
      <c r="L66" s="763"/>
      <c r="M66" s="763"/>
      <c r="N66" s="763"/>
      <c r="O66" s="763"/>
      <c r="P66" s="763"/>
      <c r="Q66" s="763"/>
      <c r="R66" s="763"/>
      <c r="S66" s="763"/>
      <c r="T66" s="763"/>
      <c r="U66" s="763"/>
      <c r="V66" s="763"/>
      <c r="W66" s="763"/>
      <c r="X66" s="763"/>
      <c r="Y66" s="764"/>
      <c r="Z66" s="432">
        <f>B47</f>
        <v>0</v>
      </c>
      <c r="AA66" s="341"/>
      <c r="AB66" s="341"/>
      <c r="AC66" s="341"/>
      <c r="AD66" s="341"/>
      <c r="AE66" s="341"/>
      <c r="AF66" s="341"/>
      <c r="AG66" s="341"/>
      <c r="AH66" s="341"/>
      <c r="AI66" s="341"/>
      <c r="AJ66" s="341"/>
      <c r="AK66" s="341" t="e">
        <f t="shared" si="0"/>
        <v>#DIV/0!</v>
      </c>
      <c r="AL66" s="341"/>
    </row>
    <row r="67" spans="1:39" ht="14.7" customHeight="1" x14ac:dyDescent="0.3">
      <c r="A67" s="344"/>
      <c r="B67" s="763" t="s">
        <v>92</v>
      </c>
      <c r="C67" s="763"/>
      <c r="D67" s="763"/>
      <c r="E67" s="763"/>
      <c r="F67" s="763"/>
      <c r="G67" s="763"/>
      <c r="H67" s="763"/>
      <c r="I67" s="763"/>
      <c r="J67" s="763"/>
      <c r="K67" s="763"/>
      <c r="L67" s="763"/>
      <c r="M67" s="763"/>
      <c r="N67" s="763"/>
      <c r="O67" s="763"/>
      <c r="P67" s="763"/>
      <c r="Q67" s="763"/>
      <c r="R67" s="763"/>
      <c r="S67" s="763"/>
      <c r="T67" s="763"/>
      <c r="U67" s="763"/>
      <c r="V67" s="763"/>
      <c r="W67" s="763"/>
      <c r="X67" s="763"/>
      <c r="Y67" s="764"/>
      <c r="Z67" s="403"/>
      <c r="AA67" s="403"/>
      <c r="AB67" s="403"/>
      <c r="AC67" s="403"/>
      <c r="AD67" s="403"/>
      <c r="AE67" s="403"/>
      <c r="AF67" s="403"/>
      <c r="AG67" s="403"/>
      <c r="AH67" s="403"/>
      <c r="AI67" s="403"/>
      <c r="AJ67" s="403"/>
      <c r="AK67" s="341" t="e">
        <f t="shared" si="0"/>
        <v>#DIV/0!</v>
      </c>
      <c r="AL67" s="341"/>
    </row>
    <row r="68" spans="1:39" ht="14.7" customHeight="1" x14ac:dyDescent="0.3">
      <c r="A68" s="344"/>
      <c r="B68" s="763" t="s">
        <v>89</v>
      </c>
      <c r="C68" s="763"/>
      <c r="D68" s="763"/>
      <c r="E68" s="763"/>
      <c r="F68" s="763"/>
      <c r="G68" s="763"/>
      <c r="H68" s="763"/>
      <c r="I68" s="763"/>
      <c r="J68" s="763"/>
      <c r="K68" s="763"/>
      <c r="L68" s="763"/>
      <c r="M68" s="763"/>
      <c r="N68" s="763"/>
      <c r="O68" s="763"/>
      <c r="P68" s="763"/>
      <c r="Q68" s="763"/>
      <c r="R68" s="763"/>
      <c r="S68" s="763"/>
      <c r="T68" s="763"/>
      <c r="U68" s="763"/>
      <c r="V68" s="763"/>
      <c r="W68" s="763"/>
      <c r="X68" s="763"/>
      <c r="Y68" s="764"/>
      <c r="Z68" s="422">
        <f>SUM(Z64:AJ67)</f>
        <v>0</v>
      </c>
      <c r="AA68" s="422"/>
      <c r="AB68" s="422"/>
      <c r="AC68" s="422"/>
      <c r="AD68" s="422"/>
      <c r="AE68" s="422"/>
      <c r="AF68" s="422"/>
      <c r="AG68" s="422"/>
      <c r="AH68" s="422"/>
      <c r="AI68" s="422"/>
      <c r="AJ68" s="422"/>
      <c r="AK68" s="341" t="e">
        <f>SUM(AK64:AL67)</f>
        <v>#DIV/0!</v>
      </c>
      <c r="AL68" s="341"/>
      <c r="AM68" s="77" t="s">
        <v>1150</v>
      </c>
    </row>
    <row r="69" spans="1:39" ht="46.2" customHeight="1" x14ac:dyDescent="0.25">
      <c r="A69" s="343" t="s">
        <v>11</v>
      </c>
      <c r="B69" s="374" t="s">
        <v>1070</v>
      </c>
      <c r="C69" s="374"/>
      <c r="D69" s="374"/>
      <c r="E69" s="374"/>
      <c r="F69" s="374"/>
      <c r="G69" s="374"/>
      <c r="H69" s="374"/>
      <c r="I69" s="374"/>
      <c r="J69" s="374"/>
      <c r="K69" s="374"/>
      <c r="L69" s="374"/>
      <c r="M69" s="374"/>
      <c r="N69" s="374"/>
      <c r="O69" s="374"/>
      <c r="P69" s="374"/>
      <c r="Q69" s="374"/>
      <c r="R69" s="374"/>
      <c r="S69" s="374"/>
      <c r="T69" s="374"/>
      <c r="U69" s="374"/>
      <c r="V69" s="374"/>
      <c r="W69" s="374"/>
      <c r="X69" s="374"/>
      <c r="Y69" s="374"/>
      <c r="Z69" s="374"/>
      <c r="AA69" s="374"/>
      <c r="AB69" s="374"/>
      <c r="AC69" s="374"/>
      <c r="AD69" s="374"/>
      <c r="AE69" s="374"/>
      <c r="AF69" s="374"/>
      <c r="AG69" s="374"/>
      <c r="AH69" s="374"/>
      <c r="AI69" s="374"/>
      <c r="AJ69" s="374"/>
      <c r="AK69" s="374"/>
      <c r="AL69" s="374"/>
    </row>
    <row r="70" spans="1:39" ht="60" customHeight="1" x14ac:dyDescent="0.3">
      <c r="A70" s="343"/>
      <c r="B70" s="388" t="s">
        <v>1072</v>
      </c>
      <c r="C70" s="389"/>
      <c r="D70" s="389"/>
      <c r="E70" s="389"/>
      <c r="F70" s="389"/>
      <c r="G70" s="389"/>
      <c r="H70" s="389"/>
      <c r="I70" s="389"/>
      <c r="J70" s="389"/>
      <c r="K70" s="389"/>
      <c r="L70" s="389"/>
      <c r="M70" s="389"/>
      <c r="N70" s="389"/>
      <c r="O70" s="389"/>
      <c r="P70" s="389"/>
      <c r="Q70" s="389"/>
      <c r="R70" s="389"/>
      <c r="S70" s="389"/>
      <c r="T70" s="389"/>
      <c r="U70" s="389"/>
      <c r="V70" s="389"/>
      <c r="W70" s="389"/>
      <c r="X70" s="389"/>
      <c r="Y70" s="389"/>
      <c r="Z70" s="389"/>
      <c r="AA70" s="389"/>
      <c r="AB70" s="389"/>
      <c r="AC70" s="389"/>
      <c r="AD70" s="389"/>
      <c r="AE70" s="389"/>
      <c r="AF70" s="389"/>
      <c r="AG70" s="389"/>
      <c r="AH70" s="389"/>
      <c r="AI70" s="389"/>
      <c r="AJ70" s="389"/>
      <c r="AK70" s="389"/>
      <c r="AL70" s="389"/>
    </row>
    <row r="71" spans="1:39" ht="14.7" customHeight="1" x14ac:dyDescent="0.3">
      <c r="A71" s="343"/>
      <c r="B71" s="390" t="s">
        <v>703</v>
      </c>
      <c r="C71" s="390"/>
      <c r="D71" s="390"/>
      <c r="E71" s="390"/>
      <c r="F71" s="390"/>
      <c r="G71" s="390"/>
      <c r="H71" s="390"/>
      <c r="I71" s="390"/>
      <c r="J71" s="390"/>
      <c r="K71" s="390"/>
      <c r="L71" s="390"/>
      <c r="M71" s="390"/>
      <c r="N71" s="390"/>
      <c r="O71" s="390"/>
      <c r="P71" s="390"/>
      <c r="Q71" s="390"/>
      <c r="R71" s="390"/>
      <c r="S71" s="386"/>
      <c r="T71" s="387"/>
      <c r="U71" s="387"/>
      <c r="V71" s="387"/>
      <c r="W71" s="387"/>
      <c r="X71" s="387"/>
      <c r="Y71" s="387"/>
      <c r="Z71" s="387"/>
      <c r="AA71" s="387"/>
      <c r="AB71" s="387"/>
      <c r="AC71" s="387"/>
      <c r="AD71" s="387"/>
      <c r="AE71" s="387"/>
      <c r="AF71" s="387"/>
      <c r="AG71" s="387"/>
      <c r="AH71" s="387"/>
      <c r="AI71" s="387"/>
      <c r="AJ71" s="387"/>
      <c r="AK71" s="387"/>
      <c r="AL71" s="387"/>
    </row>
    <row r="72" spans="1:39" ht="14.7" customHeight="1" x14ac:dyDescent="0.3">
      <c r="A72" s="343"/>
      <c r="B72" s="390" t="s">
        <v>704</v>
      </c>
      <c r="C72" s="390"/>
      <c r="D72" s="390"/>
      <c r="E72" s="390"/>
      <c r="F72" s="390"/>
      <c r="G72" s="390"/>
      <c r="H72" s="390"/>
      <c r="I72" s="390"/>
      <c r="J72" s="390"/>
      <c r="K72" s="390"/>
      <c r="L72" s="390"/>
      <c r="M72" s="390"/>
      <c r="N72" s="390"/>
      <c r="O72" s="390"/>
      <c r="P72" s="390"/>
      <c r="Q72" s="390"/>
      <c r="R72" s="390"/>
      <c r="S72" s="386"/>
      <c r="T72" s="387"/>
      <c r="U72" s="387"/>
      <c r="V72" s="387"/>
      <c r="W72" s="387"/>
      <c r="X72" s="387"/>
      <c r="Y72" s="387"/>
      <c r="Z72" s="387"/>
      <c r="AA72" s="387"/>
      <c r="AB72" s="387"/>
      <c r="AC72" s="387"/>
      <c r="AD72" s="387"/>
      <c r="AE72" s="387"/>
      <c r="AF72" s="387"/>
      <c r="AG72" s="387"/>
      <c r="AH72" s="387"/>
      <c r="AI72" s="387"/>
      <c r="AJ72" s="387"/>
      <c r="AK72" s="387"/>
      <c r="AL72" s="387"/>
    </row>
    <row r="73" spans="1:39" ht="14.7" customHeight="1" x14ac:dyDescent="0.3">
      <c r="A73" s="343"/>
      <c r="B73" s="390" t="s">
        <v>705</v>
      </c>
      <c r="C73" s="390"/>
      <c r="D73" s="390"/>
      <c r="E73" s="390"/>
      <c r="F73" s="390"/>
      <c r="G73" s="390"/>
      <c r="H73" s="390"/>
      <c r="I73" s="390"/>
      <c r="J73" s="390"/>
      <c r="K73" s="390"/>
      <c r="L73" s="390"/>
      <c r="M73" s="390"/>
      <c r="N73" s="390"/>
      <c r="O73" s="390"/>
      <c r="P73" s="390"/>
      <c r="Q73" s="390"/>
      <c r="R73" s="390"/>
      <c r="S73" s="386"/>
      <c r="T73" s="387"/>
      <c r="U73" s="387"/>
      <c r="V73" s="387"/>
      <c r="W73" s="387"/>
      <c r="X73" s="387"/>
      <c r="Y73" s="387"/>
      <c r="Z73" s="387"/>
      <c r="AA73" s="387"/>
      <c r="AB73" s="387"/>
      <c r="AC73" s="387"/>
      <c r="AD73" s="387"/>
      <c r="AE73" s="387"/>
      <c r="AF73" s="387"/>
      <c r="AG73" s="387"/>
      <c r="AH73" s="387"/>
      <c r="AI73" s="387"/>
      <c r="AJ73" s="387"/>
      <c r="AK73" s="387"/>
      <c r="AL73" s="387"/>
    </row>
    <row r="74" spans="1:39" ht="25.5" customHeight="1" x14ac:dyDescent="0.3">
      <c r="A74" s="343"/>
      <c r="B74" s="389" t="s">
        <v>706</v>
      </c>
      <c r="C74" s="389"/>
      <c r="D74" s="389"/>
      <c r="E74" s="389"/>
      <c r="F74" s="389"/>
      <c r="G74" s="389"/>
      <c r="H74" s="389"/>
      <c r="I74" s="389"/>
      <c r="J74" s="389"/>
      <c r="K74" s="389"/>
      <c r="L74" s="389"/>
      <c r="M74" s="389"/>
      <c r="N74" s="389"/>
      <c r="O74" s="389"/>
      <c r="P74" s="389"/>
      <c r="Q74" s="389"/>
      <c r="R74" s="389"/>
      <c r="S74" s="386"/>
      <c r="T74" s="387"/>
      <c r="U74" s="387"/>
      <c r="V74" s="387"/>
      <c r="W74" s="387"/>
      <c r="X74" s="387"/>
      <c r="Y74" s="387"/>
      <c r="Z74" s="387"/>
      <c r="AA74" s="387"/>
      <c r="AB74" s="387"/>
      <c r="AC74" s="387"/>
      <c r="AD74" s="387"/>
      <c r="AE74" s="387"/>
      <c r="AF74" s="387"/>
      <c r="AG74" s="387"/>
      <c r="AH74" s="387"/>
      <c r="AI74" s="387"/>
      <c r="AJ74" s="387"/>
      <c r="AK74" s="387"/>
      <c r="AL74" s="387"/>
    </row>
    <row r="75" spans="1:39" ht="25.5" customHeight="1" x14ac:dyDescent="0.3">
      <c r="A75" s="343"/>
      <c r="B75" s="436" t="s">
        <v>887</v>
      </c>
      <c r="C75" s="437"/>
      <c r="D75" s="437"/>
      <c r="E75" s="437"/>
      <c r="F75" s="437"/>
      <c r="G75" s="437"/>
      <c r="H75" s="437"/>
      <c r="I75" s="437"/>
      <c r="J75" s="437"/>
      <c r="K75" s="437"/>
      <c r="L75" s="437"/>
      <c r="M75" s="437"/>
      <c r="N75" s="437"/>
      <c r="O75" s="437"/>
      <c r="P75" s="437"/>
      <c r="Q75" s="437"/>
      <c r="R75" s="438"/>
      <c r="S75" s="428"/>
      <c r="T75" s="429"/>
      <c r="U75" s="429"/>
      <c r="V75" s="429"/>
      <c r="W75" s="429"/>
      <c r="X75" s="429"/>
      <c r="Y75" s="429"/>
      <c r="Z75" s="429"/>
      <c r="AA75" s="429"/>
      <c r="AB75" s="429"/>
      <c r="AC75" s="429"/>
      <c r="AD75" s="429"/>
      <c r="AE75" s="429"/>
      <c r="AF75" s="429"/>
      <c r="AG75" s="429"/>
      <c r="AH75" s="429"/>
      <c r="AI75" s="429"/>
      <c r="AJ75" s="429"/>
      <c r="AK75" s="429"/>
      <c r="AL75" s="430"/>
    </row>
    <row r="76" spans="1:39" ht="100.5" customHeight="1" x14ac:dyDescent="0.3">
      <c r="A76" s="343"/>
      <c r="B76" s="388" t="s">
        <v>1071</v>
      </c>
      <c r="C76" s="389"/>
      <c r="D76" s="389"/>
      <c r="E76" s="389"/>
      <c r="F76" s="389"/>
      <c r="G76" s="389"/>
      <c r="H76" s="389"/>
      <c r="I76" s="389"/>
      <c r="J76" s="389"/>
      <c r="K76" s="389"/>
      <c r="L76" s="389"/>
      <c r="M76" s="389"/>
      <c r="N76" s="389"/>
      <c r="O76" s="389"/>
      <c r="P76" s="389"/>
      <c r="Q76" s="389"/>
      <c r="R76" s="389"/>
      <c r="S76" s="389"/>
      <c r="T76" s="389"/>
      <c r="U76" s="389"/>
      <c r="V76" s="389"/>
      <c r="W76" s="389"/>
      <c r="X76" s="389"/>
      <c r="Y76" s="389"/>
      <c r="Z76" s="389"/>
      <c r="AA76" s="389"/>
      <c r="AB76" s="389"/>
      <c r="AC76" s="389"/>
      <c r="AD76" s="389"/>
      <c r="AE76" s="389"/>
      <c r="AF76" s="389"/>
      <c r="AG76" s="389"/>
      <c r="AH76" s="389"/>
      <c r="AI76" s="389"/>
      <c r="AJ76" s="389"/>
      <c r="AK76" s="389"/>
      <c r="AL76" s="389"/>
    </row>
    <row r="77" spans="1:39" ht="14.7" customHeight="1" x14ac:dyDescent="0.3">
      <c r="A77" s="343"/>
      <c r="B77" s="390" t="s">
        <v>707</v>
      </c>
      <c r="C77" s="390"/>
      <c r="D77" s="390"/>
      <c r="E77" s="390"/>
      <c r="F77" s="390"/>
      <c r="G77" s="390"/>
      <c r="H77" s="390"/>
      <c r="I77" s="390"/>
      <c r="J77" s="390"/>
      <c r="K77" s="390"/>
      <c r="L77" s="390"/>
      <c r="M77" s="390"/>
      <c r="N77" s="390"/>
      <c r="O77" s="390"/>
      <c r="P77" s="390"/>
      <c r="Q77" s="390"/>
      <c r="R77" s="390"/>
      <c r="S77" s="386"/>
      <c r="T77" s="387"/>
      <c r="U77" s="387"/>
      <c r="V77" s="387"/>
      <c r="W77" s="387"/>
      <c r="X77" s="387"/>
      <c r="Y77" s="387"/>
      <c r="Z77" s="387"/>
      <c r="AA77" s="387"/>
      <c r="AB77" s="387"/>
      <c r="AC77" s="387"/>
      <c r="AD77" s="387"/>
      <c r="AE77" s="387"/>
      <c r="AF77" s="387"/>
      <c r="AG77" s="387"/>
      <c r="AH77" s="387"/>
      <c r="AI77" s="387"/>
      <c r="AJ77" s="387"/>
      <c r="AK77" s="387"/>
      <c r="AL77" s="387"/>
    </row>
    <row r="78" spans="1:39" ht="46.95" customHeight="1" x14ac:dyDescent="0.3">
      <c r="A78" s="343"/>
      <c r="B78" s="390" t="s">
        <v>710</v>
      </c>
      <c r="C78" s="390"/>
      <c r="D78" s="390"/>
      <c r="E78" s="390"/>
      <c r="F78" s="390"/>
      <c r="G78" s="390"/>
      <c r="H78" s="390"/>
      <c r="I78" s="390"/>
      <c r="J78" s="390"/>
      <c r="K78" s="390"/>
      <c r="L78" s="390"/>
      <c r="M78" s="390"/>
      <c r="N78" s="390"/>
      <c r="O78" s="390"/>
      <c r="P78" s="390"/>
      <c r="Q78" s="390"/>
      <c r="R78" s="390"/>
      <c r="S78" s="386"/>
      <c r="T78" s="387"/>
      <c r="U78" s="387"/>
      <c r="V78" s="387"/>
      <c r="W78" s="387"/>
      <c r="X78" s="387"/>
      <c r="Y78" s="387"/>
      <c r="Z78" s="387"/>
      <c r="AA78" s="387"/>
      <c r="AB78" s="387"/>
      <c r="AC78" s="387"/>
      <c r="AD78" s="387"/>
      <c r="AE78" s="387"/>
      <c r="AF78" s="387"/>
      <c r="AG78" s="387"/>
      <c r="AH78" s="387"/>
      <c r="AI78" s="387"/>
      <c r="AJ78" s="387"/>
      <c r="AK78" s="387"/>
      <c r="AL78" s="387"/>
    </row>
    <row r="79" spans="1:39" ht="60" customHeight="1" x14ac:dyDescent="0.3">
      <c r="A79" s="343"/>
      <c r="B79" s="390" t="s">
        <v>709</v>
      </c>
      <c r="C79" s="390"/>
      <c r="D79" s="390"/>
      <c r="E79" s="390"/>
      <c r="F79" s="390"/>
      <c r="G79" s="390"/>
      <c r="H79" s="390"/>
      <c r="I79" s="390"/>
      <c r="J79" s="390"/>
      <c r="K79" s="390"/>
      <c r="L79" s="390"/>
      <c r="M79" s="390"/>
      <c r="N79" s="390"/>
      <c r="O79" s="390"/>
      <c r="P79" s="390"/>
      <c r="Q79" s="390"/>
      <c r="R79" s="390"/>
      <c r="S79" s="386"/>
      <c r="T79" s="387"/>
      <c r="U79" s="387"/>
      <c r="V79" s="387"/>
      <c r="W79" s="387"/>
      <c r="X79" s="387"/>
      <c r="Y79" s="387"/>
      <c r="Z79" s="387"/>
      <c r="AA79" s="387"/>
      <c r="AB79" s="387"/>
      <c r="AC79" s="387"/>
      <c r="AD79" s="387"/>
      <c r="AE79" s="387"/>
      <c r="AF79" s="387"/>
      <c r="AG79" s="387"/>
      <c r="AH79" s="387"/>
      <c r="AI79" s="387"/>
      <c r="AJ79" s="387"/>
      <c r="AK79" s="387"/>
      <c r="AL79" s="387"/>
    </row>
    <row r="80" spans="1:39" ht="14.7" customHeight="1" x14ac:dyDescent="0.3">
      <c r="A80" s="343"/>
      <c r="B80" s="390" t="s">
        <v>708</v>
      </c>
      <c r="C80" s="390"/>
      <c r="D80" s="390"/>
      <c r="E80" s="390"/>
      <c r="F80" s="390"/>
      <c r="G80" s="390"/>
      <c r="H80" s="390"/>
      <c r="I80" s="390"/>
      <c r="J80" s="390"/>
      <c r="K80" s="390"/>
      <c r="L80" s="390"/>
      <c r="M80" s="390"/>
      <c r="N80" s="390"/>
      <c r="O80" s="390"/>
      <c r="P80" s="390"/>
      <c r="Q80" s="390"/>
      <c r="R80" s="390"/>
      <c r="S80" s="386"/>
      <c r="T80" s="387"/>
      <c r="U80" s="387"/>
      <c r="V80" s="387"/>
      <c r="W80" s="387"/>
      <c r="X80" s="387"/>
      <c r="Y80" s="387"/>
      <c r="Z80" s="387"/>
      <c r="AA80" s="387"/>
      <c r="AB80" s="387"/>
      <c r="AC80" s="387"/>
      <c r="AD80" s="387"/>
      <c r="AE80" s="387"/>
      <c r="AF80" s="387"/>
      <c r="AG80" s="387"/>
      <c r="AH80" s="387"/>
      <c r="AI80" s="387"/>
      <c r="AJ80" s="387"/>
      <c r="AK80" s="387"/>
      <c r="AL80" s="387"/>
    </row>
    <row r="81" spans="1:38" ht="31.5" customHeight="1" x14ac:dyDescent="0.3">
      <c r="A81" s="343"/>
      <c r="B81" s="436" t="s">
        <v>888</v>
      </c>
      <c r="C81" s="437"/>
      <c r="D81" s="437"/>
      <c r="E81" s="437"/>
      <c r="F81" s="437"/>
      <c r="G81" s="437"/>
      <c r="H81" s="437"/>
      <c r="I81" s="437"/>
      <c r="J81" s="437"/>
      <c r="K81" s="437"/>
      <c r="L81" s="437"/>
      <c r="M81" s="437"/>
      <c r="N81" s="437"/>
      <c r="O81" s="437"/>
      <c r="P81" s="437"/>
      <c r="Q81" s="437"/>
      <c r="R81" s="438"/>
      <c r="S81" s="428"/>
      <c r="T81" s="429"/>
      <c r="U81" s="429"/>
      <c r="V81" s="429"/>
      <c r="W81" s="429"/>
      <c r="X81" s="429"/>
      <c r="Y81" s="429"/>
      <c r="Z81" s="429"/>
      <c r="AA81" s="429"/>
      <c r="AB81" s="429"/>
      <c r="AC81" s="429"/>
      <c r="AD81" s="429"/>
      <c r="AE81" s="429"/>
      <c r="AF81" s="429"/>
      <c r="AG81" s="429"/>
      <c r="AH81" s="429"/>
      <c r="AI81" s="429"/>
      <c r="AJ81" s="429"/>
      <c r="AK81" s="429"/>
      <c r="AL81" s="430"/>
    </row>
    <row r="82" spans="1:38" ht="70.2" customHeight="1" x14ac:dyDescent="0.3">
      <c r="A82" s="343" t="s">
        <v>640</v>
      </c>
      <c r="B82" s="388" t="s">
        <v>1073</v>
      </c>
      <c r="C82" s="389"/>
      <c r="D82" s="389"/>
      <c r="E82" s="389"/>
      <c r="F82" s="389"/>
      <c r="G82" s="389"/>
      <c r="H82" s="389"/>
      <c r="I82" s="389"/>
      <c r="J82" s="389"/>
      <c r="K82" s="389"/>
      <c r="L82" s="389"/>
      <c r="M82" s="389"/>
      <c r="N82" s="389"/>
      <c r="O82" s="389"/>
      <c r="P82" s="389"/>
      <c r="Q82" s="389"/>
      <c r="R82" s="389"/>
      <c r="S82" s="389"/>
      <c r="T82" s="389"/>
      <c r="U82" s="389"/>
      <c r="V82" s="389"/>
      <c r="W82" s="389"/>
      <c r="X82" s="389"/>
      <c r="Y82" s="389"/>
      <c r="Z82" s="389"/>
      <c r="AA82" s="389"/>
      <c r="AB82" s="389"/>
      <c r="AC82" s="389"/>
      <c r="AD82" s="389"/>
      <c r="AE82" s="389"/>
      <c r="AF82" s="389"/>
      <c r="AG82" s="389"/>
      <c r="AH82" s="389"/>
      <c r="AI82" s="389"/>
      <c r="AJ82" s="389"/>
      <c r="AK82" s="389"/>
      <c r="AL82" s="389"/>
    </row>
    <row r="83" spans="1:38" ht="14.7" customHeight="1" x14ac:dyDescent="0.3">
      <c r="A83" s="343"/>
      <c r="B83" s="389" t="s">
        <v>711</v>
      </c>
      <c r="C83" s="389"/>
      <c r="D83" s="389"/>
      <c r="E83" s="389"/>
      <c r="F83" s="389"/>
      <c r="G83" s="389"/>
      <c r="H83" s="389"/>
      <c r="I83" s="389"/>
      <c r="J83" s="389"/>
      <c r="K83" s="389"/>
      <c r="L83" s="389"/>
      <c r="M83" s="389"/>
      <c r="N83" s="389"/>
      <c r="O83" s="389"/>
      <c r="P83" s="389"/>
      <c r="Q83" s="389"/>
      <c r="R83" s="389"/>
      <c r="S83" s="389"/>
      <c r="T83" s="389"/>
      <c r="U83" s="389"/>
      <c r="V83" s="389"/>
      <c r="W83" s="389"/>
      <c r="X83" s="389"/>
      <c r="Y83" s="389"/>
      <c r="Z83" s="389"/>
      <c r="AA83" s="389"/>
      <c r="AB83" s="414"/>
      <c r="AC83" s="414"/>
      <c r="AD83" s="414"/>
      <c r="AE83" s="414"/>
      <c r="AF83" s="414"/>
      <c r="AG83" s="414"/>
      <c r="AH83" s="414"/>
      <c r="AI83" s="414"/>
      <c r="AJ83" s="414"/>
      <c r="AK83" s="414"/>
      <c r="AL83" s="414"/>
    </row>
    <row r="84" spans="1:38" ht="28.95" customHeight="1" x14ac:dyDescent="0.3">
      <c r="A84" s="343"/>
      <c r="B84" s="389" t="s">
        <v>712</v>
      </c>
      <c r="C84" s="389"/>
      <c r="D84" s="389"/>
      <c r="E84" s="389"/>
      <c r="F84" s="389"/>
      <c r="G84" s="389"/>
      <c r="H84" s="389"/>
      <c r="I84" s="389"/>
      <c r="J84" s="389"/>
      <c r="K84" s="389"/>
      <c r="L84" s="389"/>
      <c r="M84" s="389"/>
      <c r="N84" s="389"/>
      <c r="O84" s="389"/>
      <c r="P84" s="389"/>
      <c r="Q84" s="389"/>
      <c r="R84" s="389"/>
      <c r="S84" s="389"/>
      <c r="T84" s="389"/>
      <c r="U84" s="389"/>
      <c r="V84" s="389"/>
      <c r="W84" s="389"/>
      <c r="X84" s="389"/>
      <c r="Y84" s="389"/>
      <c r="Z84" s="389"/>
      <c r="AA84" s="389"/>
      <c r="AB84" s="414" t="s">
        <v>131</v>
      </c>
      <c r="AC84" s="414"/>
      <c r="AD84" s="414"/>
      <c r="AE84" s="414"/>
      <c r="AF84" s="414"/>
      <c r="AG84" s="414"/>
      <c r="AH84" s="414"/>
      <c r="AI84" s="414"/>
      <c r="AJ84" s="414"/>
      <c r="AK84" s="414"/>
      <c r="AL84" s="414"/>
    </row>
    <row r="85" spans="1:38" ht="28.5" customHeight="1" x14ac:dyDescent="0.3">
      <c r="A85" s="343"/>
      <c r="B85" s="389" t="s">
        <v>713</v>
      </c>
      <c r="C85" s="389"/>
      <c r="D85" s="389"/>
      <c r="E85" s="389"/>
      <c r="F85" s="389"/>
      <c r="G85" s="389"/>
      <c r="H85" s="389"/>
      <c r="I85" s="389"/>
      <c r="J85" s="389"/>
      <c r="K85" s="389"/>
      <c r="L85" s="389"/>
      <c r="M85" s="389"/>
      <c r="N85" s="389"/>
      <c r="O85" s="389"/>
      <c r="P85" s="389"/>
      <c r="Q85" s="389"/>
      <c r="R85" s="389"/>
      <c r="S85" s="389"/>
      <c r="T85" s="389"/>
      <c r="U85" s="389"/>
      <c r="V85" s="389"/>
      <c r="W85" s="389"/>
      <c r="X85" s="389"/>
      <c r="Y85" s="389"/>
      <c r="Z85" s="389"/>
      <c r="AA85" s="389"/>
      <c r="AB85" s="393"/>
      <c r="AC85" s="394"/>
      <c r="AD85" s="394"/>
      <c r="AE85" s="394"/>
      <c r="AF85" s="394"/>
      <c r="AG85" s="394"/>
      <c r="AH85" s="394"/>
      <c r="AI85" s="394"/>
      <c r="AJ85" s="394"/>
      <c r="AK85" s="394"/>
      <c r="AL85" s="394"/>
    </row>
    <row r="86" spans="1:38" ht="28.5" customHeight="1" x14ac:dyDescent="0.3">
      <c r="A86" s="343"/>
      <c r="B86" s="389" t="s">
        <v>714</v>
      </c>
      <c r="C86" s="389"/>
      <c r="D86" s="389"/>
      <c r="E86" s="389"/>
      <c r="F86" s="389"/>
      <c r="G86" s="389"/>
      <c r="H86" s="389"/>
      <c r="I86" s="389"/>
      <c r="J86" s="389"/>
      <c r="K86" s="389"/>
      <c r="L86" s="389"/>
      <c r="M86" s="389"/>
      <c r="N86" s="389"/>
      <c r="O86" s="389"/>
      <c r="P86" s="389"/>
      <c r="Q86" s="389"/>
      <c r="R86" s="389"/>
      <c r="S86" s="389"/>
      <c r="T86" s="389"/>
      <c r="U86" s="389"/>
      <c r="V86" s="389"/>
      <c r="W86" s="389"/>
      <c r="X86" s="389"/>
      <c r="Y86" s="389"/>
      <c r="Z86" s="389"/>
      <c r="AA86" s="389"/>
      <c r="AB86" s="393"/>
      <c r="AC86" s="394"/>
      <c r="AD86" s="394"/>
      <c r="AE86" s="394"/>
      <c r="AF86" s="394"/>
      <c r="AG86" s="394"/>
      <c r="AH86" s="394"/>
      <c r="AI86" s="394"/>
      <c r="AJ86" s="394"/>
      <c r="AK86" s="394"/>
      <c r="AL86" s="394"/>
    </row>
    <row r="87" spans="1:38" ht="43.5" customHeight="1" x14ac:dyDescent="0.25">
      <c r="A87" s="744" t="s">
        <v>802</v>
      </c>
      <c r="B87" s="332" t="s">
        <v>862</v>
      </c>
      <c r="C87" s="332"/>
      <c r="D87" s="332"/>
      <c r="E87" s="332"/>
      <c r="F87" s="332"/>
      <c r="G87" s="332"/>
      <c r="H87" s="332"/>
      <c r="I87" s="332"/>
      <c r="J87" s="332"/>
      <c r="K87" s="332"/>
      <c r="L87" s="332"/>
      <c r="M87" s="332"/>
      <c r="N87" s="332"/>
      <c r="O87" s="332"/>
      <c r="P87" s="332"/>
      <c r="Q87" s="332"/>
      <c r="R87" s="332"/>
      <c r="S87" s="332"/>
      <c r="T87" s="332"/>
      <c r="U87" s="332"/>
      <c r="V87" s="332"/>
      <c r="W87" s="332"/>
      <c r="X87" s="332"/>
      <c r="Y87" s="332"/>
      <c r="Z87" s="332"/>
      <c r="AA87" s="332"/>
      <c r="AB87" s="332"/>
      <c r="AC87" s="332"/>
      <c r="AD87" s="332"/>
      <c r="AE87" s="332"/>
      <c r="AF87" s="332"/>
      <c r="AG87" s="332"/>
      <c r="AH87" s="332"/>
      <c r="AI87" s="332"/>
      <c r="AJ87" s="332"/>
      <c r="AK87" s="332"/>
      <c r="AL87" s="332"/>
    </row>
    <row r="88" spans="1:38" x14ac:dyDescent="0.3">
      <c r="A88" s="326"/>
      <c r="B88" s="568"/>
      <c r="C88" s="568"/>
      <c r="D88" s="568"/>
      <c r="E88" s="568"/>
      <c r="F88" s="568"/>
      <c r="G88" s="568"/>
      <c r="H88" s="568"/>
      <c r="I88" s="568"/>
      <c r="J88" s="748"/>
      <c r="K88" s="749"/>
      <c r="L88" s="749"/>
      <c r="M88" s="749"/>
      <c r="N88" s="749"/>
      <c r="O88" s="749"/>
      <c r="P88" s="749"/>
      <c r="Q88" s="749"/>
      <c r="R88" s="749"/>
      <c r="S88" s="749"/>
      <c r="T88" s="749"/>
      <c r="U88" s="749"/>
      <c r="V88" s="749"/>
      <c r="W88" s="750"/>
      <c r="X88" s="748"/>
      <c r="Y88" s="749"/>
      <c r="Z88" s="749"/>
      <c r="AA88" s="749"/>
      <c r="AB88" s="749"/>
      <c r="AC88" s="749"/>
      <c r="AD88" s="749"/>
      <c r="AE88" s="749"/>
      <c r="AF88" s="749"/>
      <c r="AG88" s="749"/>
      <c r="AH88" s="749"/>
      <c r="AI88" s="749"/>
      <c r="AJ88" s="749"/>
      <c r="AK88" s="568"/>
      <c r="AL88" s="568"/>
    </row>
    <row r="89" spans="1:38" x14ac:dyDescent="0.3">
      <c r="A89" s="326"/>
      <c r="B89" s="568"/>
      <c r="C89" s="568"/>
      <c r="D89" s="568"/>
      <c r="E89" s="568"/>
      <c r="F89" s="568"/>
      <c r="G89" s="568"/>
      <c r="H89" s="568"/>
      <c r="I89" s="568"/>
      <c r="J89" s="635"/>
      <c r="K89" s="636"/>
      <c r="L89" s="636"/>
      <c r="M89" s="636"/>
      <c r="N89" s="636"/>
      <c r="O89" s="636"/>
      <c r="P89" s="636"/>
      <c r="Q89" s="636"/>
      <c r="R89" s="636"/>
      <c r="S89" s="636"/>
      <c r="T89" s="636"/>
      <c r="U89" s="636"/>
      <c r="V89" s="636"/>
      <c r="W89" s="637"/>
      <c r="X89" s="745"/>
      <c r="Y89" s="746"/>
      <c r="Z89" s="746"/>
      <c r="AA89" s="746"/>
      <c r="AB89" s="746"/>
      <c r="AC89" s="746"/>
      <c r="AD89" s="746"/>
      <c r="AE89" s="746"/>
      <c r="AF89" s="746"/>
      <c r="AG89" s="746"/>
      <c r="AH89" s="746"/>
      <c r="AI89" s="746"/>
      <c r="AJ89" s="747"/>
      <c r="AK89" s="745"/>
      <c r="AL89" s="747"/>
    </row>
    <row r="90" spans="1:38" x14ac:dyDescent="0.3">
      <c r="A90" s="326"/>
      <c r="B90" s="568"/>
      <c r="C90" s="568"/>
      <c r="D90" s="568"/>
      <c r="E90" s="568"/>
      <c r="F90" s="568"/>
      <c r="G90" s="568"/>
      <c r="H90" s="568"/>
      <c r="I90" s="568"/>
      <c r="J90" s="635"/>
      <c r="K90" s="636"/>
      <c r="L90" s="636"/>
      <c r="M90" s="636"/>
      <c r="N90" s="636"/>
      <c r="O90" s="636"/>
      <c r="P90" s="636"/>
      <c r="Q90" s="636"/>
      <c r="R90" s="636"/>
      <c r="S90" s="636"/>
      <c r="T90" s="636"/>
      <c r="U90" s="636"/>
      <c r="V90" s="636"/>
      <c r="W90" s="637"/>
      <c r="X90" s="745"/>
      <c r="Y90" s="746"/>
      <c r="Z90" s="746"/>
      <c r="AA90" s="746"/>
      <c r="AB90" s="746"/>
      <c r="AC90" s="746"/>
      <c r="AD90" s="746"/>
      <c r="AE90" s="746"/>
      <c r="AF90" s="746"/>
      <c r="AG90" s="746"/>
      <c r="AH90" s="746"/>
      <c r="AI90" s="746"/>
      <c r="AJ90" s="747"/>
      <c r="AK90" s="745"/>
      <c r="AL90" s="747"/>
    </row>
    <row r="91" spans="1:38" ht="40.5" customHeight="1" x14ac:dyDescent="0.25">
      <c r="A91" s="744" t="s">
        <v>803</v>
      </c>
      <c r="B91" s="332" t="s">
        <v>1078</v>
      </c>
      <c r="C91" s="332"/>
      <c r="D91" s="332"/>
      <c r="E91" s="332"/>
      <c r="F91" s="332"/>
      <c r="G91" s="332"/>
      <c r="H91" s="332"/>
      <c r="I91" s="332"/>
      <c r="J91" s="332"/>
      <c r="K91" s="332"/>
      <c r="L91" s="332"/>
      <c r="M91" s="332"/>
      <c r="N91" s="332"/>
      <c r="O91" s="332"/>
      <c r="P91" s="332"/>
      <c r="Q91" s="332"/>
      <c r="R91" s="332"/>
      <c r="S91" s="332"/>
      <c r="T91" s="332"/>
      <c r="U91" s="332"/>
      <c r="V91" s="332"/>
      <c r="W91" s="332"/>
      <c r="X91" s="332"/>
      <c r="Y91" s="332"/>
      <c r="Z91" s="332"/>
      <c r="AA91" s="332"/>
      <c r="AB91" s="332"/>
      <c r="AC91" s="332"/>
      <c r="AD91" s="332"/>
      <c r="AE91" s="332"/>
      <c r="AF91" s="332"/>
      <c r="AG91" s="332"/>
      <c r="AH91" s="332"/>
      <c r="AI91" s="332"/>
      <c r="AJ91" s="332"/>
      <c r="AK91" s="332"/>
      <c r="AL91" s="332"/>
    </row>
    <row r="92" spans="1:38" x14ac:dyDescent="0.25">
      <c r="A92" s="326"/>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3"/>
      <c r="AG92" s="443"/>
      <c r="AH92" s="443"/>
      <c r="AI92" s="443"/>
      <c r="AJ92" s="443"/>
      <c r="AK92" s="443"/>
      <c r="AL92" s="443"/>
    </row>
    <row r="93" spans="1:38" x14ac:dyDescent="0.25">
      <c r="A93" s="744" t="s">
        <v>805</v>
      </c>
      <c r="B93" s="332" t="s">
        <v>804</v>
      </c>
      <c r="C93" s="332"/>
      <c r="D93" s="332"/>
      <c r="E93" s="332"/>
      <c r="F93" s="332"/>
      <c r="G93" s="332"/>
      <c r="H93" s="332"/>
      <c r="I93" s="332"/>
      <c r="J93" s="332"/>
      <c r="K93" s="332"/>
      <c r="L93" s="332"/>
      <c r="M93" s="332"/>
      <c r="N93" s="332"/>
      <c r="O93" s="332"/>
      <c r="P93" s="332"/>
      <c r="Q93" s="332"/>
      <c r="R93" s="332"/>
      <c r="S93" s="332"/>
      <c r="T93" s="332"/>
      <c r="U93" s="332"/>
      <c r="V93" s="332"/>
      <c r="W93" s="332"/>
      <c r="X93" s="332"/>
      <c r="Y93" s="332"/>
      <c r="Z93" s="332"/>
      <c r="AA93" s="332"/>
      <c r="AB93" s="332"/>
      <c r="AC93" s="332"/>
      <c r="AD93" s="332"/>
      <c r="AE93" s="332"/>
      <c r="AF93" s="332"/>
      <c r="AG93" s="332"/>
      <c r="AH93" s="332"/>
      <c r="AI93" s="332"/>
      <c r="AJ93" s="332"/>
      <c r="AK93" s="332"/>
      <c r="AL93" s="332"/>
    </row>
    <row r="94" spans="1:38" ht="46.5" customHeight="1" x14ac:dyDescent="0.3">
      <c r="A94" s="326"/>
      <c r="B94" s="751" t="s">
        <v>1081</v>
      </c>
      <c r="C94" s="653"/>
      <c r="D94" s="653"/>
      <c r="E94" s="653"/>
      <c r="F94" s="653"/>
      <c r="G94" s="653"/>
      <c r="H94" s="653"/>
      <c r="I94" s="653"/>
      <c r="J94" s="653"/>
      <c r="K94" s="653"/>
      <c r="L94" s="653"/>
      <c r="M94" s="653"/>
      <c r="N94" s="653"/>
      <c r="O94" s="653"/>
      <c r="P94" s="653"/>
      <c r="Q94" s="653"/>
      <c r="R94" s="653"/>
      <c r="S94" s="653"/>
      <c r="T94" s="653"/>
      <c r="U94" s="653"/>
      <c r="V94" s="653"/>
      <c r="W94" s="653"/>
      <c r="X94" s="653"/>
      <c r="Y94" s="653"/>
      <c r="Z94" s="653"/>
      <c r="AA94" s="653"/>
      <c r="AB94" s="653"/>
      <c r="AC94" s="653"/>
      <c r="AD94" s="653"/>
      <c r="AE94" s="653"/>
      <c r="AF94" s="653"/>
      <c r="AG94" s="653"/>
      <c r="AH94" s="653"/>
      <c r="AI94" s="653"/>
      <c r="AJ94" s="745"/>
      <c r="AK94" s="746"/>
      <c r="AL94" s="747"/>
    </row>
    <row r="95" spans="1:38" ht="52.2" customHeight="1" x14ac:dyDescent="0.3">
      <c r="A95" s="326"/>
      <c r="B95" s="772" t="s">
        <v>1080</v>
      </c>
      <c r="C95" s="773"/>
      <c r="D95" s="773"/>
      <c r="E95" s="773"/>
      <c r="F95" s="773"/>
      <c r="G95" s="773"/>
      <c r="H95" s="773"/>
      <c r="I95" s="773"/>
      <c r="J95" s="773"/>
      <c r="K95" s="773"/>
      <c r="L95" s="773"/>
      <c r="M95" s="773"/>
      <c r="N95" s="773"/>
      <c r="O95" s="773"/>
      <c r="P95" s="773"/>
      <c r="Q95" s="773"/>
      <c r="R95" s="773"/>
      <c r="S95" s="773"/>
      <c r="T95" s="773"/>
      <c r="U95" s="773"/>
      <c r="V95" s="773"/>
      <c r="W95" s="773"/>
      <c r="X95" s="773"/>
      <c r="Y95" s="773"/>
      <c r="Z95" s="773"/>
      <c r="AA95" s="773"/>
      <c r="AB95" s="773"/>
      <c r="AC95" s="773"/>
      <c r="AD95" s="773"/>
      <c r="AE95" s="773"/>
      <c r="AF95" s="773"/>
      <c r="AG95" s="773"/>
      <c r="AH95" s="773"/>
      <c r="AI95" s="774"/>
      <c r="AJ95" s="403"/>
      <c r="AK95" s="403"/>
      <c r="AL95" s="403"/>
    </row>
    <row r="96" spans="1:38" ht="53.7" customHeight="1" x14ac:dyDescent="0.3">
      <c r="A96" s="326"/>
      <c r="B96" s="751" t="s">
        <v>811</v>
      </c>
      <c r="C96" s="653"/>
      <c r="D96" s="653"/>
      <c r="E96" s="653"/>
      <c r="F96" s="653"/>
      <c r="G96" s="653"/>
      <c r="H96" s="653"/>
      <c r="I96" s="653"/>
      <c r="J96" s="653"/>
      <c r="K96" s="653"/>
      <c r="L96" s="653"/>
      <c r="M96" s="653"/>
      <c r="N96" s="653"/>
      <c r="O96" s="653"/>
      <c r="P96" s="653"/>
      <c r="Q96" s="653"/>
      <c r="R96" s="653"/>
      <c r="S96" s="653"/>
      <c r="T96" s="653"/>
      <c r="U96" s="653"/>
      <c r="V96" s="653"/>
      <c r="W96" s="653"/>
      <c r="X96" s="653"/>
      <c r="Y96" s="653"/>
      <c r="Z96" s="653"/>
      <c r="AA96" s="653"/>
      <c r="AB96" s="653"/>
      <c r="AC96" s="653"/>
      <c r="AD96" s="653"/>
      <c r="AE96" s="653"/>
      <c r="AF96" s="653"/>
      <c r="AG96" s="653"/>
      <c r="AH96" s="653"/>
      <c r="AI96" s="653"/>
      <c r="AJ96" s="403"/>
      <c r="AK96" s="403"/>
      <c r="AL96" s="403"/>
    </row>
    <row r="97" spans="1:47" ht="140.69999999999999" customHeight="1" x14ac:dyDescent="0.3">
      <c r="A97" s="326"/>
      <c r="B97" s="751" t="s">
        <v>1082</v>
      </c>
      <c r="C97" s="653"/>
      <c r="D97" s="653"/>
      <c r="E97" s="653"/>
      <c r="F97" s="653"/>
      <c r="G97" s="653"/>
      <c r="H97" s="653"/>
      <c r="I97" s="653"/>
      <c r="J97" s="653"/>
      <c r="K97" s="653"/>
      <c r="L97" s="653"/>
      <c r="M97" s="653"/>
      <c r="N97" s="653"/>
      <c r="O97" s="653"/>
      <c r="P97" s="653"/>
      <c r="Q97" s="653"/>
      <c r="R97" s="653"/>
      <c r="S97" s="653"/>
      <c r="T97" s="653"/>
      <c r="U97" s="653"/>
      <c r="V97" s="653"/>
      <c r="W97" s="653"/>
      <c r="X97" s="653"/>
      <c r="Y97" s="653"/>
      <c r="Z97" s="653"/>
      <c r="AA97" s="653"/>
      <c r="AB97" s="653"/>
      <c r="AC97" s="653"/>
      <c r="AD97" s="653"/>
      <c r="AE97" s="653"/>
      <c r="AF97" s="653"/>
      <c r="AG97" s="653"/>
      <c r="AH97" s="653"/>
      <c r="AI97" s="653"/>
      <c r="AJ97" s="403"/>
      <c r="AK97" s="403"/>
      <c r="AL97" s="403"/>
    </row>
    <row r="98" spans="1:47" ht="73.95" customHeight="1" x14ac:dyDescent="0.3">
      <c r="A98" s="326"/>
      <c r="B98" s="751" t="s">
        <v>1079</v>
      </c>
      <c r="C98" s="653"/>
      <c r="D98" s="653"/>
      <c r="E98" s="653"/>
      <c r="F98" s="653"/>
      <c r="G98" s="653"/>
      <c r="H98" s="653"/>
      <c r="I98" s="653"/>
      <c r="J98" s="653"/>
      <c r="K98" s="653"/>
      <c r="L98" s="653"/>
      <c r="M98" s="653"/>
      <c r="N98" s="653"/>
      <c r="O98" s="653"/>
      <c r="P98" s="653"/>
      <c r="Q98" s="653"/>
      <c r="R98" s="653"/>
      <c r="S98" s="653"/>
      <c r="T98" s="653"/>
      <c r="U98" s="653"/>
      <c r="V98" s="653"/>
      <c r="W98" s="653"/>
      <c r="X98" s="653"/>
      <c r="Y98" s="653"/>
      <c r="Z98" s="653"/>
      <c r="AA98" s="653"/>
      <c r="AB98" s="653"/>
      <c r="AC98" s="653"/>
      <c r="AD98" s="653"/>
      <c r="AE98" s="653"/>
      <c r="AF98" s="653"/>
      <c r="AG98" s="653"/>
      <c r="AH98" s="653"/>
      <c r="AI98" s="653"/>
      <c r="AJ98" s="403"/>
      <c r="AK98" s="403"/>
      <c r="AL98" s="403"/>
    </row>
    <row r="99" spans="1:47" ht="100.2" customHeight="1" x14ac:dyDescent="0.3">
      <c r="A99" s="184"/>
      <c r="B99" s="775" t="s">
        <v>869</v>
      </c>
      <c r="C99" s="653"/>
      <c r="D99" s="653"/>
      <c r="E99" s="653"/>
      <c r="F99" s="653"/>
      <c r="G99" s="653"/>
      <c r="H99" s="653"/>
      <c r="I99" s="653"/>
      <c r="J99" s="653"/>
      <c r="K99" s="653"/>
      <c r="L99" s="653"/>
      <c r="M99" s="653"/>
      <c r="N99" s="653"/>
      <c r="O99" s="653"/>
      <c r="P99" s="653"/>
      <c r="Q99" s="653"/>
      <c r="R99" s="653"/>
      <c r="S99" s="653"/>
      <c r="T99" s="653"/>
      <c r="U99" s="653"/>
      <c r="V99" s="653"/>
      <c r="W99" s="653"/>
      <c r="X99" s="653"/>
      <c r="Y99" s="653"/>
      <c r="Z99" s="653"/>
      <c r="AA99" s="653"/>
      <c r="AB99" s="653"/>
      <c r="AC99" s="653"/>
      <c r="AD99" s="653"/>
      <c r="AE99" s="653"/>
      <c r="AF99" s="653"/>
      <c r="AG99" s="653"/>
      <c r="AH99" s="653"/>
      <c r="AI99" s="653"/>
      <c r="AJ99" s="403"/>
      <c r="AK99" s="403"/>
      <c r="AL99" s="403"/>
    </row>
    <row r="100" spans="1:47" x14ac:dyDescent="0.3">
      <c r="A100" s="184"/>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3"/>
      <c r="AG100" s="443"/>
      <c r="AH100" s="443"/>
      <c r="AI100" s="443"/>
      <c r="AJ100" s="403"/>
      <c r="AK100" s="403"/>
      <c r="AL100" s="403"/>
    </row>
    <row r="101" spans="1:47" x14ac:dyDescent="0.3">
      <c r="A101" s="184"/>
      <c r="B101" s="756" t="s">
        <v>89</v>
      </c>
      <c r="C101" s="756"/>
      <c r="D101" s="756"/>
      <c r="E101" s="756"/>
      <c r="F101" s="756"/>
      <c r="G101" s="756"/>
      <c r="H101" s="756"/>
      <c r="I101" s="756"/>
      <c r="J101" s="756"/>
      <c r="K101" s="756"/>
      <c r="L101" s="756"/>
      <c r="M101" s="756"/>
      <c r="N101" s="756"/>
      <c r="O101" s="756"/>
      <c r="P101" s="756"/>
      <c r="Q101" s="756"/>
      <c r="R101" s="756"/>
      <c r="S101" s="756"/>
      <c r="T101" s="756"/>
      <c r="U101" s="756"/>
      <c r="V101" s="756"/>
      <c r="W101" s="756"/>
      <c r="X101" s="756"/>
      <c r="Y101" s="756"/>
      <c r="Z101" s="756"/>
      <c r="AA101" s="756"/>
      <c r="AB101" s="756"/>
      <c r="AC101" s="756"/>
      <c r="AD101" s="756"/>
      <c r="AE101" s="756"/>
      <c r="AF101" s="756"/>
      <c r="AG101" s="756"/>
      <c r="AH101" s="756"/>
      <c r="AI101" s="756"/>
      <c r="AJ101" s="422">
        <f>AJ94+ROUNDDOWN(AJ95*50%,2)+AJ96+AJ97+AJ98+(ROUNDDOWN(AJ99/3,2))+AJ100</f>
        <v>0</v>
      </c>
      <c r="AK101" s="422"/>
      <c r="AL101" s="422"/>
    </row>
    <row r="102" spans="1:47" x14ac:dyDescent="0.3">
      <c r="A102" s="150" t="s">
        <v>69</v>
      </c>
      <c r="B102" s="328" t="s">
        <v>70</v>
      </c>
      <c r="C102" s="328"/>
      <c r="D102" s="328"/>
      <c r="E102" s="328"/>
      <c r="F102" s="328"/>
      <c r="G102" s="328"/>
      <c r="H102" s="328"/>
      <c r="I102" s="328"/>
      <c r="J102" s="328"/>
      <c r="K102" s="328"/>
      <c r="L102" s="328"/>
      <c r="M102" s="328"/>
      <c r="N102" s="328"/>
      <c r="O102" s="328"/>
      <c r="P102" s="328"/>
      <c r="Q102" s="328"/>
      <c r="R102" s="328"/>
      <c r="S102" s="328"/>
      <c r="T102" s="328"/>
      <c r="U102" s="328"/>
      <c r="V102" s="328"/>
      <c r="W102" s="328"/>
      <c r="X102" s="328"/>
      <c r="Y102" s="328"/>
      <c r="Z102" s="328"/>
      <c r="AA102" s="328"/>
      <c r="AB102" s="328"/>
      <c r="AC102" s="328"/>
      <c r="AD102" s="328"/>
      <c r="AE102" s="328"/>
      <c r="AF102" s="328"/>
      <c r="AG102" s="328"/>
      <c r="AH102" s="328"/>
      <c r="AI102" s="328"/>
      <c r="AJ102" s="328"/>
      <c r="AK102" s="328"/>
      <c r="AL102" s="328"/>
    </row>
    <row r="103" spans="1:47" ht="30.45" customHeight="1" x14ac:dyDescent="0.25">
      <c r="A103" s="508"/>
      <c r="B103" s="508"/>
      <c r="C103" s="508"/>
      <c r="D103" s="508"/>
      <c r="E103" s="508"/>
      <c r="F103" s="508"/>
      <c r="G103" s="508"/>
      <c r="H103" s="508"/>
      <c r="I103" s="508"/>
      <c r="J103" s="508"/>
      <c r="K103" s="508"/>
      <c r="L103" s="508"/>
      <c r="M103" s="508"/>
      <c r="N103" s="508"/>
      <c r="O103" s="508"/>
      <c r="P103" s="508"/>
      <c r="Q103" s="508"/>
      <c r="R103" s="508"/>
      <c r="S103" s="508"/>
      <c r="T103" s="508"/>
      <c r="U103" s="508"/>
      <c r="V103" s="508"/>
      <c r="W103" s="508"/>
      <c r="X103" s="508"/>
      <c r="Y103" s="508"/>
      <c r="Z103" s="508"/>
      <c r="AA103" s="508"/>
      <c r="AB103" s="508"/>
      <c r="AC103" s="508"/>
      <c r="AD103" s="508"/>
      <c r="AE103" s="508"/>
      <c r="AF103" s="508"/>
      <c r="AG103" s="508"/>
      <c r="AH103" s="508"/>
      <c r="AI103" s="508"/>
      <c r="AJ103" s="508"/>
      <c r="AK103" s="508"/>
      <c r="AL103" s="508"/>
    </row>
    <row r="104" spans="1:47" s="64" customFormat="1" x14ac:dyDescent="0.3">
      <c r="A104" s="150" t="s">
        <v>90</v>
      </c>
      <c r="B104" s="328" t="s">
        <v>674</v>
      </c>
      <c r="C104" s="328"/>
      <c r="D104" s="328"/>
      <c r="E104" s="328"/>
      <c r="F104" s="328"/>
      <c r="G104" s="328"/>
      <c r="H104" s="328"/>
      <c r="I104" s="328"/>
      <c r="J104" s="328"/>
      <c r="K104" s="328"/>
      <c r="L104" s="328"/>
      <c r="M104" s="328"/>
      <c r="N104" s="328"/>
      <c r="O104" s="328"/>
      <c r="P104" s="328"/>
      <c r="Q104" s="328"/>
      <c r="R104" s="328"/>
      <c r="S104" s="328"/>
      <c r="T104" s="328"/>
      <c r="U104" s="328"/>
      <c r="V104" s="328"/>
      <c r="W104" s="328"/>
      <c r="X104" s="328"/>
      <c r="Y104" s="328"/>
      <c r="Z104" s="328"/>
      <c r="AA104" s="328"/>
      <c r="AB104" s="328"/>
      <c r="AC104" s="328"/>
      <c r="AD104" s="328"/>
      <c r="AE104" s="328"/>
      <c r="AF104" s="328"/>
      <c r="AG104" s="328"/>
      <c r="AH104" s="328"/>
      <c r="AI104" s="328"/>
      <c r="AJ104" s="328"/>
      <c r="AK104" s="328"/>
      <c r="AL104" s="328"/>
      <c r="AM104" s="102"/>
    </row>
    <row r="105" spans="1:47" s="64" customFormat="1" ht="72.45" customHeight="1" x14ac:dyDescent="0.25">
      <c r="A105" s="714" t="s">
        <v>908</v>
      </c>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102"/>
    </row>
    <row r="106" spans="1:47" ht="55.2" customHeight="1" x14ac:dyDescent="0.25">
      <c r="A106" s="508"/>
      <c r="B106" s="508"/>
      <c r="C106" s="508"/>
      <c r="D106" s="508"/>
      <c r="E106" s="508"/>
      <c r="F106" s="508"/>
      <c r="G106" s="508"/>
      <c r="H106" s="508"/>
      <c r="I106" s="508"/>
      <c r="J106" s="508"/>
      <c r="K106" s="508"/>
      <c r="L106" s="508"/>
      <c r="M106" s="508"/>
      <c r="N106" s="508"/>
      <c r="O106" s="508"/>
      <c r="P106" s="508"/>
      <c r="Q106" s="508"/>
      <c r="R106" s="508"/>
      <c r="S106" s="508"/>
      <c r="T106" s="508"/>
      <c r="U106" s="508"/>
      <c r="V106" s="508"/>
      <c r="W106" s="508"/>
      <c r="X106" s="508"/>
      <c r="Y106" s="508"/>
      <c r="Z106" s="508"/>
      <c r="AA106" s="508"/>
      <c r="AB106" s="508"/>
      <c r="AC106" s="508"/>
      <c r="AD106" s="508"/>
      <c r="AE106" s="508"/>
      <c r="AF106" s="508"/>
      <c r="AG106" s="508"/>
      <c r="AH106" s="508"/>
      <c r="AI106" s="508"/>
      <c r="AJ106" s="508"/>
      <c r="AK106" s="508"/>
      <c r="AL106" s="508"/>
    </row>
    <row r="107" spans="1:47" ht="57" customHeight="1" x14ac:dyDescent="0.25">
      <c r="A107" s="753"/>
      <c r="B107" s="754"/>
      <c r="C107" s="754"/>
      <c r="D107" s="754"/>
      <c r="E107" s="754"/>
      <c r="F107" s="754"/>
      <c r="G107" s="754"/>
      <c r="H107" s="754"/>
      <c r="I107" s="754"/>
      <c r="J107" s="754"/>
      <c r="K107" s="754"/>
      <c r="L107" s="754"/>
      <c r="M107" s="754"/>
      <c r="N107" s="754"/>
      <c r="O107" s="754"/>
      <c r="P107" s="754"/>
      <c r="Q107" s="754"/>
      <c r="R107" s="754"/>
      <c r="S107" s="754"/>
      <c r="T107" s="754"/>
      <c r="U107" s="754"/>
      <c r="V107" s="754"/>
      <c r="W107" s="754"/>
      <c r="X107" s="754"/>
      <c r="Y107" s="754"/>
      <c r="Z107" s="754"/>
      <c r="AA107" s="754"/>
      <c r="AB107" s="754"/>
      <c r="AC107" s="754"/>
      <c r="AD107" s="754"/>
      <c r="AE107" s="754"/>
      <c r="AF107" s="754"/>
      <c r="AG107" s="754"/>
      <c r="AH107" s="754"/>
      <c r="AI107" s="754"/>
      <c r="AJ107" s="754"/>
      <c r="AK107" s="754"/>
      <c r="AL107" s="755"/>
    </row>
    <row r="108" spans="1:47" ht="46.95" customHeight="1" x14ac:dyDescent="0.25">
      <c r="A108" s="508"/>
      <c r="B108" s="508"/>
      <c r="C108" s="508"/>
      <c r="D108" s="508"/>
      <c r="E108" s="508"/>
      <c r="F108" s="508"/>
      <c r="G108" s="508"/>
      <c r="H108" s="508"/>
      <c r="I108" s="508"/>
      <c r="J108" s="508"/>
      <c r="K108" s="508"/>
      <c r="L108" s="508"/>
      <c r="M108" s="508"/>
      <c r="N108" s="508"/>
      <c r="O108" s="508"/>
      <c r="P108" s="508"/>
      <c r="Q108" s="508"/>
      <c r="R108" s="508"/>
      <c r="S108" s="508"/>
      <c r="T108" s="508"/>
      <c r="U108" s="508"/>
      <c r="V108" s="508"/>
      <c r="W108" s="508"/>
      <c r="X108" s="508"/>
      <c r="Y108" s="508"/>
      <c r="Z108" s="508"/>
      <c r="AA108" s="508"/>
      <c r="AB108" s="508"/>
      <c r="AC108" s="508"/>
      <c r="AD108" s="508"/>
      <c r="AE108" s="508"/>
      <c r="AF108" s="508"/>
      <c r="AG108" s="508"/>
      <c r="AH108" s="508"/>
      <c r="AI108" s="508"/>
      <c r="AJ108" s="508"/>
      <c r="AK108" s="508"/>
      <c r="AL108" s="508"/>
    </row>
    <row r="109" spans="1:47" ht="58.95" customHeight="1" x14ac:dyDescent="0.25">
      <c r="A109" s="753"/>
      <c r="B109" s="754"/>
      <c r="C109" s="754"/>
      <c r="D109" s="754"/>
      <c r="E109" s="754"/>
      <c r="F109" s="754"/>
      <c r="G109" s="754"/>
      <c r="H109" s="754"/>
      <c r="I109" s="754"/>
      <c r="J109" s="754"/>
      <c r="K109" s="754"/>
      <c r="L109" s="754"/>
      <c r="M109" s="754"/>
      <c r="N109" s="754"/>
      <c r="O109" s="754"/>
      <c r="P109" s="754"/>
      <c r="Q109" s="754"/>
      <c r="R109" s="754"/>
      <c r="S109" s="754"/>
      <c r="T109" s="754"/>
      <c r="U109" s="754"/>
      <c r="V109" s="754"/>
      <c r="W109" s="754"/>
      <c r="X109" s="754"/>
      <c r="Y109" s="754"/>
      <c r="Z109" s="754"/>
      <c r="AA109" s="754"/>
      <c r="AB109" s="754"/>
      <c r="AC109" s="754"/>
      <c r="AD109" s="754"/>
      <c r="AE109" s="754"/>
      <c r="AF109" s="754"/>
      <c r="AG109" s="754"/>
      <c r="AH109" s="754"/>
      <c r="AI109" s="754"/>
      <c r="AJ109" s="754"/>
      <c r="AK109" s="754"/>
      <c r="AL109" s="755"/>
    </row>
    <row r="110" spans="1:47" x14ac:dyDescent="0.25">
      <c r="A110" s="149" t="s">
        <v>91</v>
      </c>
      <c r="B110" s="351" t="s">
        <v>1108</v>
      </c>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c r="AH110" s="351"/>
      <c r="AI110" s="351"/>
      <c r="AJ110" s="351"/>
      <c r="AK110" s="351"/>
      <c r="AL110" s="351"/>
      <c r="AM110" s="119"/>
    </row>
    <row r="111" spans="1:47" ht="29.7" customHeight="1" x14ac:dyDescent="0.25">
      <c r="A111" s="768" t="s">
        <v>807</v>
      </c>
      <c r="B111" s="769"/>
      <c r="C111" s="769"/>
      <c r="D111" s="769"/>
      <c r="E111" s="769"/>
      <c r="F111" s="769"/>
      <c r="G111" s="769"/>
      <c r="H111" s="769"/>
      <c r="I111" s="769"/>
      <c r="J111" s="769"/>
      <c r="K111" s="769"/>
      <c r="L111" s="769"/>
      <c r="M111" s="769"/>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70"/>
      <c r="AM111" s="335"/>
      <c r="AN111" s="335"/>
      <c r="AO111" s="335"/>
      <c r="AP111" s="335"/>
      <c r="AQ111" s="335"/>
      <c r="AR111" s="335"/>
      <c r="AS111" s="335"/>
      <c r="AT111" s="335"/>
      <c r="AU111" s="335"/>
    </row>
    <row r="112" spans="1:47" x14ac:dyDescent="0.25">
      <c r="A112" s="771" t="s">
        <v>172</v>
      </c>
      <c r="B112" s="771"/>
      <c r="C112" s="771"/>
      <c r="D112" s="771"/>
      <c r="E112" s="771"/>
      <c r="F112" s="771"/>
      <c r="G112" s="771"/>
      <c r="H112" s="771"/>
      <c r="I112" s="771"/>
      <c r="J112" s="771"/>
      <c r="K112" s="771"/>
      <c r="L112" s="771"/>
      <c r="M112" s="771"/>
      <c r="N112" s="771"/>
      <c r="O112" s="771"/>
      <c r="P112" s="771"/>
      <c r="Q112" s="771"/>
      <c r="R112" s="771"/>
      <c r="S112" s="771"/>
      <c r="T112" s="771"/>
      <c r="U112" s="771"/>
      <c r="V112" s="771"/>
      <c r="W112" s="771"/>
      <c r="X112" s="771"/>
      <c r="Y112" s="771"/>
      <c r="Z112" s="771"/>
      <c r="AA112" s="771"/>
      <c r="AB112" s="771"/>
      <c r="AC112" s="771"/>
      <c r="AD112" s="771"/>
      <c r="AE112" s="771"/>
      <c r="AF112" s="771"/>
      <c r="AG112" s="771"/>
      <c r="AH112" s="771"/>
      <c r="AI112" s="771"/>
      <c r="AJ112" s="771"/>
      <c r="AK112" s="771"/>
      <c r="AL112" s="771"/>
      <c r="AM112" s="335"/>
      <c r="AN112" s="335"/>
      <c r="AO112" s="335"/>
      <c r="AP112" s="335"/>
      <c r="AQ112" s="335"/>
      <c r="AR112" s="335"/>
      <c r="AS112" s="335"/>
      <c r="AT112" s="335"/>
      <c r="AU112" s="335"/>
    </row>
    <row r="113" spans="1:39" x14ac:dyDescent="0.25">
      <c r="A113" s="767"/>
      <c r="B113" s="767"/>
      <c r="C113" s="767"/>
      <c r="D113" s="767"/>
      <c r="E113" s="767"/>
      <c r="F113" s="767"/>
      <c r="G113" s="767"/>
      <c r="H113" s="767"/>
      <c r="I113" s="767"/>
      <c r="J113" s="767"/>
      <c r="K113" s="767"/>
      <c r="L113" s="767"/>
      <c r="M113" s="767"/>
      <c r="N113" s="767"/>
      <c r="O113" s="767"/>
      <c r="P113" s="767"/>
      <c r="Q113" s="767"/>
      <c r="R113" s="767"/>
      <c r="S113" s="767"/>
      <c r="T113" s="767"/>
      <c r="U113" s="767"/>
      <c r="V113" s="767"/>
      <c r="W113" s="767"/>
      <c r="X113" s="767"/>
      <c r="Y113" s="767"/>
      <c r="Z113" s="767"/>
      <c r="AA113" s="767"/>
      <c r="AB113" s="767"/>
      <c r="AC113" s="767"/>
      <c r="AD113" s="767"/>
      <c r="AE113" s="767"/>
      <c r="AF113" s="767"/>
      <c r="AG113" s="767"/>
      <c r="AH113" s="767"/>
      <c r="AI113" s="767"/>
      <c r="AJ113" s="767"/>
      <c r="AK113" s="767"/>
      <c r="AL113" s="767"/>
    </row>
    <row r="114" spans="1:39" ht="28.5" customHeight="1" x14ac:dyDescent="0.25">
      <c r="A114" s="759" t="s">
        <v>919</v>
      </c>
      <c r="B114" s="760"/>
      <c r="C114" s="760"/>
      <c r="D114" s="760"/>
      <c r="E114" s="760"/>
      <c r="F114" s="760"/>
      <c r="G114" s="760"/>
      <c r="H114" s="760"/>
      <c r="I114" s="760"/>
      <c r="J114" s="760"/>
      <c r="K114" s="760"/>
      <c r="L114" s="760"/>
      <c r="M114" s="760"/>
      <c r="N114" s="760"/>
      <c r="O114" s="760"/>
      <c r="P114" s="760"/>
      <c r="Q114" s="760"/>
      <c r="R114" s="760"/>
      <c r="S114" s="760"/>
      <c r="T114" s="760"/>
      <c r="U114" s="760"/>
      <c r="V114" s="760"/>
      <c r="W114" s="760"/>
      <c r="X114" s="760"/>
      <c r="Y114" s="760"/>
      <c r="Z114" s="760"/>
      <c r="AA114" s="760"/>
      <c r="AB114" s="760"/>
      <c r="AC114" s="760"/>
      <c r="AD114" s="760"/>
      <c r="AE114" s="760"/>
      <c r="AF114" s="760"/>
      <c r="AG114" s="760"/>
      <c r="AH114" s="760"/>
      <c r="AI114" s="760"/>
      <c r="AJ114" s="760"/>
      <c r="AK114" s="760"/>
      <c r="AL114" s="760"/>
    </row>
    <row r="115" spans="1:39" ht="14.7" customHeight="1" x14ac:dyDescent="0.25">
      <c r="A115" s="767"/>
      <c r="B115" s="767"/>
      <c r="C115" s="767"/>
      <c r="D115" s="767"/>
      <c r="E115" s="767"/>
      <c r="F115" s="767"/>
      <c r="G115" s="767"/>
      <c r="H115" s="767"/>
      <c r="I115" s="767"/>
      <c r="J115" s="767"/>
      <c r="K115" s="767"/>
      <c r="L115" s="767"/>
      <c r="M115" s="767"/>
      <c r="N115" s="767"/>
      <c r="O115" s="767"/>
      <c r="P115" s="767"/>
      <c r="Q115" s="767"/>
      <c r="R115" s="767"/>
      <c r="S115" s="767"/>
      <c r="T115" s="767"/>
      <c r="U115" s="767"/>
      <c r="V115" s="767"/>
      <c r="W115" s="767"/>
      <c r="X115" s="767"/>
      <c r="Y115" s="767"/>
      <c r="Z115" s="767"/>
      <c r="AA115" s="767"/>
      <c r="AB115" s="767"/>
      <c r="AC115" s="767"/>
      <c r="AD115" s="767"/>
      <c r="AE115" s="767"/>
      <c r="AF115" s="767"/>
      <c r="AG115" s="767"/>
      <c r="AH115" s="767"/>
      <c r="AI115" s="767"/>
      <c r="AJ115" s="767"/>
      <c r="AK115" s="767"/>
      <c r="AL115" s="767"/>
    </row>
    <row r="116" spans="1:39" ht="14.7" customHeight="1" x14ac:dyDescent="0.25">
      <c r="A116" s="761" t="s">
        <v>920</v>
      </c>
      <c r="B116" s="754"/>
      <c r="C116" s="754"/>
      <c r="D116" s="754"/>
      <c r="E116" s="754"/>
      <c r="F116" s="754"/>
      <c r="G116" s="754"/>
      <c r="H116" s="754"/>
      <c r="I116" s="754"/>
      <c r="J116" s="754"/>
      <c r="K116" s="754"/>
      <c r="L116" s="754"/>
      <c r="M116" s="754"/>
      <c r="N116" s="754"/>
      <c r="O116" s="754"/>
      <c r="P116" s="754"/>
      <c r="Q116" s="754"/>
      <c r="R116" s="754"/>
      <c r="S116" s="754"/>
      <c r="T116" s="754"/>
      <c r="U116" s="754"/>
      <c r="V116" s="754"/>
      <c r="W116" s="754"/>
      <c r="X116" s="754"/>
      <c r="Y116" s="754"/>
      <c r="Z116" s="754"/>
      <c r="AA116" s="754"/>
      <c r="AB116" s="754"/>
      <c r="AC116" s="754"/>
      <c r="AD116" s="754"/>
      <c r="AE116" s="754"/>
      <c r="AF116" s="754"/>
      <c r="AG116" s="754"/>
      <c r="AH116" s="754"/>
      <c r="AI116" s="754"/>
      <c r="AJ116" s="754"/>
      <c r="AK116" s="754"/>
      <c r="AL116" s="754"/>
    </row>
    <row r="117" spans="1:39" x14ac:dyDescent="0.25">
      <c r="A117" s="767"/>
      <c r="B117" s="767"/>
      <c r="C117" s="767"/>
      <c r="D117" s="767"/>
      <c r="E117" s="767"/>
      <c r="F117" s="767"/>
      <c r="G117" s="767"/>
      <c r="H117" s="767"/>
      <c r="I117" s="767"/>
      <c r="J117" s="767"/>
      <c r="K117" s="767"/>
      <c r="L117" s="767"/>
      <c r="M117" s="767"/>
      <c r="N117" s="767"/>
      <c r="O117" s="767"/>
      <c r="P117" s="767"/>
      <c r="Q117" s="767"/>
      <c r="R117" s="767"/>
      <c r="S117" s="767"/>
      <c r="T117" s="767"/>
      <c r="U117" s="767"/>
      <c r="V117" s="767"/>
      <c r="W117" s="767"/>
      <c r="X117" s="767"/>
      <c r="Y117" s="767"/>
      <c r="Z117" s="767"/>
      <c r="AA117" s="767"/>
      <c r="AB117" s="767"/>
      <c r="AC117" s="767"/>
      <c r="AD117" s="767"/>
      <c r="AE117" s="767"/>
      <c r="AF117" s="767"/>
      <c r="AG117" s="767"/>
      <c r="AH117" s="767"/>
      <c r="AI117" s="767"/>
      <c r="AJ117" s="767"/>
      <c r="AK117" s="767"/>
      <c r="AL117" s="767"/>
    </row>
    <row r="118" spans="1:39" ht="41.7" customHeight="1" x14ac:dyDescent="0.25">
      <c r="A118" s="651" t="s">
        <v>921</v>
      </c>
      <c r="B118" s="651"/>
      <c r="C118" s="651"/>
      <c r="D118" s="651"/>
      <c r="E118" s="651"/>
      <c r="F118" s="651"/>
      <c r="G118" s="651"/>
      <c r="H118" s="651"/>
      <c r="I118" s="651"/>
      <c r="J118" s="651"/>
      <c r="K118" s="651"/>
      <c r="L118" s="651"/>
      <c r="M118" s="651"/>
      <c r="N118" s="651"/>
      <c r="O118" s="651"/>
      <c r="P118" s="651"/>
      <c r="Q118" s="651"/>
      <c r="R118" s="651"/>
      <c r="S118" s="651"/>
      <c r="T118" s="651"/>
      <c r="U118" s="651"/>
      <c r="V118" s="651"/>
      <c r="W118" s="651"/>
      <c r="X118" s="651"/>
      <c r="Y118" s="651"/>
      <c r="Z118" s="651"/>
      <c r="AA118" s="651"/>
      <c r="AB118" s="651"/>
      <c r="AC118" s="651"/>
      <c r="AD118" s="651"/>
      <c r="AE118" s="651"/>
      <c r="AF118" s="651"/>
      <c r="AG118" s="651"/>
      <c r="AH118" s="651"/>
      <c r="AI118" s="651"/>
      <c r="AJ118" s="651"/>
      <c r="AK118" s="651"/>
      <c r="AL118" s="651"/>
      <c r="AM118" s="119"/>
    </row>
    <row r="119" spans="1:39" x14ac:dyDescent="0.25">
      <c r="A119" s="753"/>
      <c r="B119" s="754"/>
      <c r="C119" s="754"/>
      <c r="D119" s="754"/>
      <c r="E119" s="754"/>
      <c r="F119" s="754"/>
      <c r="G119" s="754"/>
      <c r="H119" s="754"/>
      <c r="I119" s="754"/>
      <c r="J119" s="754"/>
      <c r="K119" s="754"/>
      <c r="L119" s="754"/>
      <c r="M119" s="754"/>
      <c r="N119" s="754"/>
      <c r="O119" s="754"/>
      <c r="P119" s="754"/>
      <c r="Q119" s="754"/>
      <c r="R119" s="754"/>
      <c r="S119" s="754"/>
      <c r="T119" s="754"/>
      <c r="U119" s="754"/>
      <c r="V119" s="754"/>
      <c r="W119" s="754"/>
      <c r="X119" s="754"/>
      <c r="Y119" s="754"/>
      <c r="Z119" s="754"/>
      <c r="AA119" s="754"/>
      <c r="AB119" s="754"/>
      <c r="AC119" s="754"/>
      <c r="AD119" s="754"/>
      <c r="AE119" s="754"/>
      <c r="AF119" s="754"/>
      <c r="AG119" s="754"/>
      <c r="AH119" s="754"/>
      <c r="AI119" s="754"/>
      <c r="AJ119" s="754"/>
      <c r="AK119" s="754"/>
      <c r="AL119" s="755"/>
      <c r="AM119" s="101" t="s">
        <v>136</v>
      </c>
    </row>
    <row r="120" spans="1:39" ht="15" customHeight="1" x14ac:dyDescent="0.25">
      <c r="A120" s="328" t="s">
        <v>922</v>
      </c>
      <c r="B120" s="328"/>
      <c r="C120" s="328"/>
      <c r="D120" s="328"/>
      <c r="E120" s="328"/>
      <c r="F120" s="328"/>
      <c r="G120" s="328"/>
      <c r="H120" s="328"/>
      <c r="I120" s="328"/>
      <c r="J120" s="328"/>
      <c r="K120" s="328"/>
      <c r="L120" s="328"/>
      <c r="M120" s="328"/>
      <c r="N120" s="328"/>
      <c r="O120" s="328"/>
      <c r="P120" s="328"/>
      <c r="Q120" s="328"/>
      <c r="R120" s="328"/>
      <c r="S120" s="328"/>
      <c r="T120" s="328"/>
      <c r="U120" s="328"/>
      <c r="V120" s="328"/>
      <c r="W120" s="328"/>
      <c r="X120" s="328"/>
      <c r="Y120" s="328"/>
      <c r="Z120" s="328"/>
      <c r="AA120" s="328"/>
      <c r="AB120" s="328"/>
      <c r="AC120" s="328"/>
      <c r="AD120" s="328"/>
      <c r="AE120" s="328"/>
      <c r="AF120" s="328"/>
      <c r="AG120" s="328"/>
      <c r="AH120" s="328"/>
      <c r="AI120" s="328"/>
      <c r="AJ120" s="328"/>
      <c r="AK120" s="328"/>
      <c r="AL120" s="328"/>
      <c r="AM120" s="119" t="s">
        <v>98</v>
      </c>
    </row>
    <row r="121" spans="1:39" x14ac:dyDescent="0.25">
      <c r="A121" s="777">
        <f>Z68</f>
        <v>0</v>
      </c>
      <c r="B121" s="778"/>
      <c r="C121" s="778"/>
      <c r="D121" s="778"/>
      <c r="E121" s="778"/>
      <c r="F121" s="778"/>
      <c r="G121" s="778"/>
      <c r="H121" s="778"/>
      <c r="I121" s="778"/>
      <c r="J121" s="778"/>
      <c r="K121" s="778"/>
      <c r="L121" s="778"/>
      <c r="M121" s="778"/>
      <c r="N121" s="778"/>
      <c r="O121" s="778"/>
      <c r="P121" s="778"/>
      <c r="Q121" s="778"/>
      <c r="R121" s="778"/>
      <c r="S121" s="778"/>
      <c r="T121" s="778"/>
      <c r="U121" s="778"/>
      <c r="V121" s="778"/>
      <c r="W121" s="778"/>
      <c r="X121" s="778"/>
      <c r="Y121" s="778"/>
      <c r="Z121" s="778"/>
      <c r="AA121" s="778"/>
      <c r="AB121" s="778"/>
      <c r="AC121" s="778"/>
      <c r="AD121" s="778"/>
      <c r="AE121" s="778"/>
      <c r="AF121" s="778"/>
      <c r="AG121" s="778"/>
      <c r="AH121" s="778"/>
      <c r="AI121" s="778"/>
      <c r="AJ121" s="778"/>
      <c r="AK121" s="778"/>
      <c r="AL121" s="779"/>
      <c r="AM121" s="101" t="s">
        <v>138</v>
      </c>
    </row>
    <row r="122" spans="1:39" ht="61.95" customHeight="1" x14ac:dyDescent="0.25">
      <c r="A122" s="308" t="s">
        <v>923</v>
      </c>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row>
    <row r="123" spans="1:39" ht="83.7" customHeight="1" x14ac:dyDescent="0.25">
      <c r="A123" s="753"/>
      <c r="B123" s="754"/>
      <c r="C123" s="754"/>
      <c r="D123" s="754"/>
      <c r="E123" s="754"/>
      <c r="F123" s="754"/>
      <c r="G123" s="754"/>
      <c r="H123" s="754"/>
      <c r="I123" s="754"/>
      <c r="J123" s="754"/>
      <c r="K123" s="754"/>
      <c r="L123" s="754"/>
      <c r="M123" s="754"/>
      <c r="N123" s="754"/>
      <c r="O123" s="754"/>
      <c r="P123" s="754"/>
      <c r="Q123" s="754"/>
      <c r="R123" s="754"/>
      <c r="S123" s="754"/>
      <c r="T123" s="754"/>
      <c r="U123" s="754"/>
      <c r="V123" s="754"/>
      <c r="W123" s="754"/>
      <c r="X123" s="754"/>
      <c r="Y123" s="754"/>
      <c r="Z123" s="754"/>
      <c r="AA123" s="754"/>
      <c r="AB123" s="754"/>
      <c r="AC123" s="754"/>
      <c r="AD123" s="754"/>
      <c r="AE123" s="754"/>
      <c r="AF123" s="754"/>
      <c r="AG123" s="754"/>
      <c r="AH123" s="754"/>
      <c r="AI123" s="754"/>
      <c r="AJ123" s="754"/>
      <c r="AK123" s="754"/>
      <c r="AL123" s="755"/>
    </row>
    <row r="124" spans="1:39" x14ac:dyDescent="0.25">
      <c r="A124" s="328" t="s">
        <v>687</v>
      </c>
      <c r="B124" s="328"/>
      <c r="C124" s="328"/>
      <c r="D124" s="328"/>
      <c r="E124" s="328"/>
      <c r="F124" s="328"/>
      <c r="G124" s="328"/>
      <c r="H124" s="328"/>
      <c r="I124" s="328"/>
      <c r="J124" s="328"/>
      <c r="K124" s="328"/>
      <c r="L124" s="328"/>
      <c r="M124" s="328"/>
      <c r="N124" s="328"/>
      <c r="O124" s="328"/>
      <c r="P124" s="328"/>
      <c r="Q124" s="328"/>
      <c r="R124" s="328"/>
      <c r="S124" s="328"/>
      <c r="T124" s="328"/>
      <c r="U124" s="328"/>
      <c r="V124" s="328"/>
      <c r="W124" s="328"/>
      <c r="X124" s="328"/>
      <c r="Y124" s="328"/>
      <c r="Z124" s="328"/>
      <c r="AA124" s="328"/>
      <c r="AB124" s="328"/>
      <c r="AC124" s="328"/>
      <c r="AD124" s="328"/>
      <c r="AE124" s="328"/>
      <c r="AF124" s="328"/>
      <c r="AG124" s="328"/>
      <c r="AH124" s="328"/>
      <c r="AI124" s="328"/>
      <c r="AJ124" s="328"/>
      <c r="AK124" s="328"/>
      <c r="AL124" s="328"/>
      <c r="AM124" s="119"/>
    </row>
    <row r="125" spans="1:39" ht="28.5" customHeight="1" x14ac:dyDescent="0.25">
      <c r="A125" s="391" t="s">
        <v>735</v>
      </c>
      <c r="B125" s="391"/>
      <c r="C125" s="391"/>
      <c r="D125" s="391"/>
      <c r="E125" s="391"/>
      <c r="F125" s="391"/>
      <c r="G125" s="391"/>
      <c r="H125" s="391"/>
      <c r="I125" s="391"/>
      <c r="J125" s="391"/>
      <c r="K125" s="391"/>
      <c r="L125" s="391"/>
      <c r="M125" s="391"/>
      <c r="N125" s="391"/>
      <c r="O125" s="391"/>
      <c r="P125" s="391"/>
      <c r="Q125" s="391"/>
      <c r="R125" s="391"/>
      <c r="S125" s="391"/>
      <c r="T125" s="391"/>
      <c r="U125" s="391"/>
      <c r="V125" s="391"/>
      <c r="W125" s="391"/>
      <c r="X125" s="391"/>
      <c r="Y125" s="391"/>
      <c r="Z125" s="391"/>
      <c r="AA125" s="391"/>
      <c r="AB125" s="391"/>
      <c r="AC125" s="391"/>
      <c r="AD125" s="391"/>
      <c r="AE125" s="391"/>
      <c r="AF125" s="391"/>
      <c r="AG125" s="391"/>
      <c r="AH125" s="391"/>
      <c r="AI125" s="391"/>
      <c r="AJ125" s="391"/>
      <c r="AK125" s="391"/>
      <c r="AL125" s="391"/>
      <c r="AM125" s="119"/>
    </row>
    <row r="126" spans="1:39" ht="45" customHeight="1" x14ac:dyDescent="0.25">
      <c r="A126" s="392" t="s">
        <v>736</v>
      </c>
      <c r="B126" s="392"/>
      <c r="C126" s="392"/>
      <c r="D126" s="392"/>
      <c r="E126" s="392"/>
      <c r="F126" s="392"/>
      <c r="G126" s="392"/>
      <c r="H126" s="392"/>
      <c r="I126" s="392"/>
      <c r="J126" s="392"/>
      <c r="K126" s="392"/>
      <c r="L126" s="392"/>
      <c r="M126" s="392"/>
      <c r="N126" s="392"/>
      <c r="O126" s="392"/>
      <c r="P126" s="392"/>
      <c r="Q126" s="392"/>
      <c r="R126" s="392"/>
      <c r="S126" s="392"/>
      <c r="T126" s="392"/>
      <c r="U126" s="392"/>
      <c r="V126" s="392"/>
      <c r="W126" s="392"/>
      <c r="X126" s="392"/>
      <c r="Y126" s="392"/>
      <c r="Z126" s="392"/>
      <c r="AA126" s="392"/>
      <c r="AB126" s="392"/>
      <c r="AC126" s="392"/>
      <c r="AD126" s="392"/>
      <c r="AE126" s="392"/>
      <c r="AF126" s="392"/>
      <c r="AG126" s="392"/>
      <c r="AH126" s="392"/>
      <c r="AI126" s="392"/>
      <c r="AJ126" s="392"/>
      <c r="AK126" s="392"/>
      <c r="AL126" s="392"/>
      <c r="AM126" s="119"/>
    </row>
    <row r="127" spans="1:39" ht="45" customHeight="1" x14ac:dyDescent="0.25">
      <c r="A127" s="308" t="s">
        <v>1109</v>
      </c>
      <c r="B127" s="332"/>
      <c r="C127" s="332"/>
      <c r="D127" s="332"/>
      <c r="E127" s="332"/>
      <c r="F127" s="332"/>
      <c r="G127" s="332"/>
      <c r="H127" s="332"/>
      <c r="I127" s="332"/>
      <c r="J127" s="332"/>
      <c r="K127" s="332"/>
      <c r="L127" s="332"/>
      <c r="M127" s="332"/>
      <c r="N127" s="332"/>
      <c r="O127" s="332"/>
      <c r="P127" s="332"/>
      <c r="Q127" s="332"/>
      <c r="R127" s="332"/>
      <c r="S127" s="332"/>
      <c r="T127" s="332"/>
      <c r="U127" s="332"/>
      <c r="V127" s="332"/>
      <c r="W127" s="332"/>
      <c r="X127" s="332"/>
      <c r="Y127" s="332"/>
      <c r="Z127" s="332"/>
      <c r="AA127" s="332"/>
      <c r="AB127" s="332"/>
      <c r="AC127" s="332"/>
      <c r="AD127" s="332"/>
      <c r="AE127" s="332"/>
      <c r="AF127" s="332"/>
      <c r="AG127" s="332"/>
      <c r="AH127" s="332"/>
      <c r="AI127" s="332"/>
      <c r="AJ127" s="332"/>
      <c r="AK127" s="332"/>
      <c r="AL127" s="332"/>
      <c r="AM127" s="119"/>
    </row>
    <row r="128" spans="1:39" ht="45" customHeight="1" x14ac:dyDescent="0.25">
      <c r="A128" s="333" t="s">
        <v>742</v>
      </c>
      <c r="B128" s="333"/>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c r="Z128" s="333"/>
      <c r="AA128" s="333"/>
      <c r="AB128" s="333"/>
      <c r="AC128" s="333"/>
      <c r="AD128" s="333"/>
      <c r="AE128" s="333"/>
      <c r="AF128" s="333"/>
      <c r="AG128" s="333"/>
      <c r="AH128" s="333"/>
      <c r="AI128" s="333"/>
      <c r="AJ128" s="333"/>
      <c r="AK128" s="333"/>
      <c r="AL128" s="333"/>
      <c r="AM128" s="119"/>
    </row>
    <row r="129" spans="1:41" ht="149.69999999999999" customHeight="1" x14ac:dyDescent="0.25">
      <c r="A129" s="308" t="s">
        <v>1110</v>
      </c>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c r="AH129" s="308"/>
      <c r="AI129" s="308"/>
      <c r="AJ129" s="308"/>
      <c r="AK129" s="308"/>
      <c r="AL129" s="308"/>
    </row>
    <row r="130" spans="1:41" ht="88.5" customHeight="1" x14ac:dyDescent="0.25">
      <c r="A130" s="135" t="s">
        <v>127</v>
      </c>
      <c r="B130" s="311" t="s">
        <v>812</v>
      </c>
      <c r="C130" s="312"/>
      <c r="D130" s="312"/>
      <c r="E130" s="312"/>
      <c r="F130" s="313"/>
      <c r="G130" s="325" t="s">
        <v>813</v>
      </c>
      <c r="H130" s="325"/>
      <c r="I130" s="325"/>
      <c r="J130" s="325"/>
      <c r="K130" s="325"/>
      <c r="L130" s="325" t="s">
        <v>185</v>
      </c>
      <c r="M130" s="325"/>
      <c r="N130" s="325"/>
      <c r="O130" s="325"/>
      <c r="P130" s="325" t="s">
        <v>184</v>
      </c>
      <c r="Q130" s="325"/>
      <c r="R130" s="325"/>
      <c r="S130" s="325"/>
      <c r="T130" s="325" t="s">
        <v>665</v>
      </c>
      <c r="U130" s="325"/>
      <c r="V130" s="325"/>
      <c r="W130" s="325"/>
      <c r="X130" s="325"/>
      <c r="Y130" s="325"/>
      <c r="Z130" s="325"/>
      <c r="AA130" s="325" t="s">
        <v>664</v>
      </c>
      <c r="AB130" s="325"/>
      <c r="AC130" s="325"/>
      <c r="AD130" s="325"/>
      <c r="AE130" s="325"/>
      <c r="AF130" s="325"/>
      <c r="AG130" s="325"/>
      <c r="AH130" s="325" t="s">
        <v>179</v>
      </c>
      <c r="AI130" s="325"/>
      <c r="AJ130" s="325"/>
      <c r="AK130" s="325" t="s">
        <v>186</v>
      </c>
      <c r="AL130" s="325"/>
      <c r="AM130" s="137" t="s">
        <v>221</v>
      </c>
    </row>
    <row r="131" spans="1:41" ht="14.7" customHeight="1" x14ac:dyDescent="0.25">
      <c r="A131" s="135">
        <v>1</v>
      </c>
      <c r="B131" s="311">
        <v>2</v>
      </c>
      <c r="C131" s="312"/>
      <c r="D131" s="312"/>
      <c r="E131" s="312"/>
      <c r="F131" s="312"/>
      <c r="G131" s="311">
        <v>3</v>
      </c>
      <c r="H131" s="312"/>
      <c r="I131" s="312"/>
      <c r="J131" s="312"/>
      <c r="K131" s="313"/>
      <c r="L131" s="311">
        <v>4</v>
      </c>
      <c r="M131" s="312"/>
      <c r="N131" s="312"/>
      <c r="O131" s="313"/>
      <c r="P131" s="311">
        <v>5</v>
      </c>
      <c r="Q131" s="312"/>
      <c r="R131" s="312"/>
      <c r="S131" s="313"/>
      <c r="T131" s="311">
        <v>6</v>
      </c>
      <c r="U131" s="312"/>
      <c r="V131" s="312"/>
      <c r="W131" s="312"/>
      <c r="X131" s="312"/>
      <c r="Y131" s="312"/>
      <c r="Z131" s="313"/>
      <c r="AA131" s="311" t="s">
        <v>821</v>
      </c>
      <c r="AB131" s="312"/>
      <c r="AC131" s="312"/>
      <c r="AD131" s="312"/>
      <c r="AE131" s="312"/>
      <c r="AF131" s="312"/>
      <c r="AG131" s="313"/>
      <c r="AH131" s="311">
        <v>8</v>
      </c>
      <c r="AI131" s="312"/>
      <c r="AJ131" s="313"/>
      <c r="AK131" s="311" t="s">
        <v>666</v>
      </c>
      <c r="AL131" s="313"/>
      <c r="AM131" s="137"/>
    </row>
    <row r="132" spans="1:41" s="223" customFormat="1" ht="36" customHeight="1" x14ac:dyDescent="0.25">
      <c r="A132" s="128">
        <v>1</v>
      </c>
      <c r="B132" s="303"/>
      <c r="C132" s="304"/>
      <c r="D132" s="304"/>
      <c r="E132" s="304"/>
      <c r="F132" s="305"/>
      <c r="G132" s="300"/>
      <c r="H132" s="301"/>
      <c r="I132" s="301"/>
      <c r="J132" s="301"/>
      <c r="K132" s="302"/>
      <c r="L132" s="306"/>
      <c r="M132" s="307"/>
      <c r="N132" s="307"/>
      <c r="O132" s="307"/>
      <c r="P132" s="294">
        <v>0.23</v>
      </c>
      <c r="Q132" s="295"/>
      <c r="R132" s="295"/>
      <c r="S132" s="295"/>
      <c r="T132" s="528">
        <v>1</v>
      </c>
      <c r="U132" s="528"/>
      <c r="V132" s="528"/>
      <c r="W132" s="528"/>
      <c r="X132" s="528"/>
      <c r="Y132" s="528"/>
      <c r="Z132" s="529"/>
      <c r="AA132" s="526">
        <f>L132+ROUND(L132*P132*T132,2)</f>
        <v>0</v>
      </c>
      <c r="AB132" s="530"/>
      <c r="AC132" s="530"/>
      <c r="AD132" s="530"/>
      <c r="AE132" s="530"/>
      <c r="AF132" s="530"/>
      <c r="AG132" s="527"/>
      <c r="AH132" s="531"/>
      <c r="AI132" s="532"/>
      <c r="AJ132" s="533"/>
      <c r="AK132" s="526">
        <f>ROUND(AA132*AH132,2)</f>
        <v>0</v>
      </c>
      <c r="AL132" s="527"/>
      <c r="AM132" s="221"/>
      <c r="AN132" s="222"/>
      <c r="AO132" s="222"/>
    </row>
    <row r="133" spans="1:41" s="223" customFormat="1" ht="36" customHeight="1" x14ac:dyDescent="0.25">
      <c r="A133" s="128">
        <v>2</v>
      </c>
      <c r="B133" s="303"/>
      <c r="C133" s="304"/>
      <c r="D133" s="304"/>
      <c r="E133" s="304"/>
      <c r="F133" s="305"/>
      <c r="G133" s="300"/>
      <c r="H133" s="301"/>
      <c r="I133" s="301"/>
      <c r="J133" s="301"/>
      <c r="K133" s="302"/>
      <c r="L133" s="306"/>
      <c r="M133" s="307"/>
      <c r="N133" s="307"/>
      <c r="O133" s="307"/>
      <c r="P133" s="294">
        <v>0.23</v>
      </c>
      <c r="Q133" s="295"/>
      <c r="R133" s="295"/>
      <c r="S133" s="295"/>
      <c r="T133" s="528">
        <v>1</v>
      </c>
      <c r="U133" s="528"/>
      <c r="V133" s="528"/>
      <c r="W133" s="528"/>
      <c r="X133" s="528"/>
      <c r="Y133" s="528"/>
      <c r="Z133" s="529"/>
      <c r="AA133" s="526">
        <f t="shared" ref="AA133:AA153" si="1">L133+ROUND(L133*P133*T133,2)</f>
        <v>0</v>
      </c>
      <c r="AB133" s="530"/>
      <c r="AC133" s="530"/>
      <c r="AD133" s="530"/>
      <c r="AE133" s="530"/>
      <c r="AF133" s="530"/>
      <c r="AG133" s="527"/>
      <c r="AH133" s="531"/>
      <c r="AI133" s="532"/>
      <c r="AJ133" s="533"/>
      <c r="AK133" s="526">
        <f t="shared" ref="AK133:AK153" si="2">ROUND(AA133*AH133,2)</f>
        <v>0</v>
      </c>
      <c r="AL133" s="527"/>
      <c r="AM133" s="221"/>
      <c r="AN133" s="222"/>
      <c r="AO133" s="222"/>
    </row>
    <row r="134" spans="1:41" s="223" customFormat="1" ht="36" customHeight="1" x14ac:dyDescent="0.25">
      <c r="A134" s="128">
        <v>3</v>
      </c>
      <c r="B134" s="303"/>
      <c r="C134" s="304"/>
      <c r="D134" s="304"/>
      <c r="E134" s="304"/>
      <c r="F134" s="305"/>
      <c r="G134" s="300"/>
      <c r="H134" s="301"/>
      <c r="I134" s="301"/>
      <c r="J134" s="301"/>
      <c r="K134" s="302"/>
      <c r="L134" s="306"/>
      <c r="M134" s="307"/>
      <c r="N134" s="307"/>
      <c r="O134" s="307"/>
      <c r="P134" s="294">
        <v>0.23</v>
      </c>
      <c r="Q134" s="295"/>
      <c r="R134" s="295"/>
      <c r="S134" s="295"/>
      <c r="T134" s="528">
        <v>1</v>
      </c>
      <c r="U134" s="528"/>
      <c r="V134" s="528"/>
      <c r="W134" s="528"/>
      <c r="X134" s="528"/>
      <c r="Y134" s="528"/>
      <c r="Z134" s="529"/>
      <c r="AA134" s="526">
        <f t="shared" si="1"/>
        <v>0</v>
      </c>
      <c r="AB134" s="530"/>
      <c r="AC134" s="530"/>
      <c r="AD134" s="530"/>
      <c r="AE134" s="530"/>
      <c r="AF134" s="530"/>
      <c r="AG134" s="527"/>
      <c r="AH134" s="531"/>
      <c r="AI134" s="532"/>
      <c r="AJ134" s="533"/>
      <c r="AK134" s="526">
        <f t="shared" si="2"/>
        <v>0</v>
      </c>
      <c r="AL134" s="527"/>
      <c r="AM134" s="221"/>
      <c r="AN134" s="221"/>
      <c r="AO134" s="222"/>
    </row>
    <row r="135" spans="1:41" s="223" customFormat="1" ht="36" customHeight="1" x14ac:dyDescent="0.25">
      <c r="A135" s="128">
        <v>4</v>
      </c>
      <c r="B135" s="303"/>
      <c r="C135" s="304"/>
      <c r="D135" s="304"/>
      <c r="E135" s="304"/>
      <c r="F135" s="305"/>
      <c r="G135" s="300"/>
      <c r="H135" s="301"/>
      <c r="I135" s="301"/>
      <c r="J135" s="301"/>
      <c r="K135" s="302"/>
      <c r="L135" s="306"/>
      <c r="M135" s="307"/>
      <c r="N135" s="307"/>
      <c r="O135" s="307"/>
      <c r="P135" s="294">
        <v>0.23</v>
      </c>
      <c r="Q135" s="295"/>
      <c r="R135" s="295"/>
      <c r="S135" s="295"/>
      <c r="T135" s="528">
        <v>1</v>
      </c>
      <c r="U135" s="528"/>
      <c r="V135" s="528"/>
      <c r="W135" s="528"/>
      <c r="X135" s="528"/>
      <c r="Y135" s="528"/>
      <c r="Z135" s="529"/>
      <c r="AA135" s="526">
        <f t="shared" si="1"/>
        <v>0</v>
      </c>
      <c r="AB135" s="530"/>
      <c r="AC135" s="530"/>
      <c r="AD135" s="530"/>
      <c r="AE135" s="530"/>
      <c r="AF135" s="530"/>
      <c r="AG135" s="527"/>
      <c r="AH135" s="531"/>
      <c r="AI135" s="532"/>
      <c r="AJ135" s="533"/>
      <c r="AK135" s="526">
        <f t="shared" si="2"/>
        <v>0</v>
      </c>
      <c r="AL135" s="527"/>
      <c r="AM135" s="221"/>
      <c r="AN135" s="221"/>
      <c r="AO135" s="222"/>
    </row>
    <row r="136" spans="1:41" s="223" customFormat="1" ht="36" customHeight="1" x14ac:dyDescent="0.25">
      <c r="A136" s="128">
        <v>5</v>
      </c>
      <c r="B136" s="303"/>
      <c r="C136" s="304"/>
      <c r="D136" s="304"/>
      <c r="E136" s="304"/>
      <c r="F136" s="305"/>
      <c r="G136" s="300"/>
      <c r="H136" s="301"/>
      <c r="I136" s="301"/>
      <c r="J136" s="301"/>
      <c r="K136" s="302"/>
      <c r="L136" s="306"/>
      <c r="M136" s="307"/>
      <c r="N136" s="307"/>
      <c r="O136" s="307"/>
      <c r="P136" s="294">
        <v>0.23</v>
      </c>
      <c r="Q136" s="295"/>
      <c r="R136" s="295"/>
      <c r="S136" s="295"/>
      <c r="T136" s="528">
        <v>1</v>
      </c>
      <c r="U136" s="528"/>
      <c r="V136" s="528"/>
      <c r="W136" s="528"/>
      <c r="X136" s="528"/>
      <c r="Y136" s="528"/>
      <c r="Z136" s="529"/>
      <c r="AA136" s="526">
        <f t="shared" si="1"/>
        <v>0</v>
      </c>
      <c r="AB136" s="530"/>
      <c r="AC136" s="530"/>
      <c r="AD136" s="530"/>
      <c r="AE136" s="530"/>
      <c r="AF136" s="530"/>
      <c r="AG136" s="527"/>
      <c r="AH136" s="531"/>
      <c r="AI136" s="532"/>
      <c r="AJ136" s="533"/>
      <c r="AK136" s="526">
        <f t="shared" si="2"/>
        <v>0</v>
      </c>
      <c r="AL136" s="527"/>
      <c r="AM136" s="221"/>
      <c r="AN136" s="221"/>
      <c r="AO136" s="222"/>
    </row>
    <row r="137" spans="1:41" s="223" customFormat="1" ht="36" customHeight="1" x14ac:dyDescent="0.25">
      <c r="A137" s="128">
        <v>6</v>
      </c>
      <c r="B137" s="303"/>
      <c r="C137" s="304"/>
      <c r="D137" s="304"/>
      <c r="E137" s="304"/>
      <c r="F137" s="305"/>
      <c r="G137" s="300"/>
      <c r="H137" s="301"/>
      <c r="I137" s="301"/>
      <c r="J137" s="301"/>
      <c r="K137" s="302"/>
      <c r="L137" s="306"/>
      <c r="M137" s="307"/>
      <c r="N137" s="307"/>
      <c r="O137" s="307"/>
      <c r="P137" s="294">
        <v>0.23</v>
      </c>
      <c r="Q137" s="295"/>
      <c r="R137" s="295"/>
      <c r="S137" s="295"/>
      <c r="T137" s="528">
        <v>1</v>
      </c>
      <c r="U137" s="528"/>
      <c r="V137" s="528"/>
      <c r="W137" s="528"/>
      <c r="X137" s="528"/>
      <c r="Y137" s="528"/>
      <c r="Z137" s="529"/>
      <c r="AA137" s="526">
        <f t="shared" si="1"/>
        <v>0</v>
      </c>
      <c r="AB137" s="530"/>
      <c r="AC137" s="530"/>
      <c r="AD137" s="530"/>
      <c r="AE137" s="530"/>
      <c r="AF137" s="530"/>
      <c r="AG137" s="527"/>
      <c r="AH137" s="531"/>
      <c r="AI137" s="532"/>
      <c r="AJ137" s="533"/>
      <c r="AK137" s="526">
        <f t="shared" si="2"/>
        <v>0</v>
      </c>
      <c r="AL137" s="527"/>
      <c r="AM137" s="221"/>
      <c r="AN137" s="221"/>
      <c r="AO137" s="222"/>
    </row>
    <row r="138" spans="1:41" s="223" customFormat="1" ht="36" customHeight="1" x14ac:dyDescent="0.25">
      <c r="A138" s="128">
        <v>7</v>
      </c>
      <c r="B138" s="303"/>
      <c r="C138" s="304"/>
      <c r="D138" s="304"/>
      <c r="E138" s="304"/>
      <c r="F138" s="305"/>
      <c r="G138" s="300"/>
      <c r="H138" s="301"/>
      <c r="I138" s="301"/>
      <c r="J138" s="301"/>
      <c r="K138" s="302"/>
      <c r="L138" s="306"/>
      <c r="M138" s="307"/>
      <c r="N138" s="307"/>
      <c r="O138" s="307"/>
      <c r="P138" s="294">
        <v>0.23</v>
      </c>
      <c r="Q138" s="295"/>
      <c r="R138" s="295"/>
      <c r="S138" s="295"/>
      <c r="T138" s="528">
        <v>1</v>
      </c>
      <c r="U138" s="528"/>
      <c r="V138" s="528"/>
      <c r="W138" s="528"/>
      <c r="X138" s="528"/>
      <c r="Y138" s="528"/>
      <c r="Z138" s="529"/>
      <c r="AA138" s="526">
        <f t="shared" si="1"/>
        <v>0</v>
      </c>
      <c r="AB138" s="530"/>
      <c r="AC138" s="530"/>
      <c r="AD138" s="530"/>
      <c r="AE138" s="530"/>
      <c r="AF138" s="530"/>
      <c r="AG138" s="527"/>
      <c r="AH138" s="531"/>
      <c r="AI138" s="532"/>
      <c r="AJ138" s="533"/>
      <c r="AK138" s="526">
        <f t="shared" si="2"/>
        <v>0</v>
      </c>
      <c r="AL138" s="527"/>
      <c r="AM138" s="221"/>
      <c r="AN138" s="221"/>
      <c r="AO138" s="222"/>
    </row>
    <row r="139" spans="1:41" s="223" customFormat="1" ht="36" customHeight="1" x14ac:dyDescent="0.25">
      <c r="A139" s="128">
        <v>8</v>
      </c>
      <c r="B139" s="303"/>
      <c r="C139" s="304"/>
      <c r="D139" s="304"/>
      <c r="E139" s="304"/>
      <c r="F139" s="305"/>
      <c r="G139" s="300"/>
      <c r="H139" s="301"/>
      <c r="I139" s="301"/>
      <c r="J139" s="301"/>
      <c r="K139" s="302"/>
      <c r="L139" s="306"/>
      <c r="M139" s="307"/>
      <c r="N139" s="307"/>
      <c r="O139" s="307"/>
      <c r="P139" s="294">
        <v>0.23</v>
      </c>
      <c r="Q139" s="295"/>
      <c r="R139" s="295"/>
      <c r="S139" s="295"/>
      <c r="T139" s="528">
        <v>1</v>
      </c>
      <c r="U139" s="528"/>
      <c r="V139" s="528"/>
      <c r="W139" s="528"/>
      <c r="X139" s="528"/>
      <c r="Y139" s="528"/>
      <c r="Z139" s="529"/>
      <c r="AA139" s="526">
        <f t="shared" si="1"/>
        <v>0</v>
      </c>
      <c r="AB139" s="530"/>
      <c r="AC139" s="530"/>
      <c r="AD139" s="530"/>
      <c r="AE139" s="530"/>
      <c r="AF139" s="530"/>
      <c r="AG139" s="527"/>
      <c r="AH139" s="531"/>
      <c r="AI139" s="532"/>
      <c r="AJ139" s="533"/>
      <c r="AK139" s="526">
        <f t="shared" si="2"/>
        <v>0</v>
      </c>
      <c r="AL139" s="527"/>
      <c r="AM139" s="221"/>
      <c r="AN139" s="221"/>
      <c r="AO139" s="222"/>
    </row>
    <row r="140" spans="1:41" s="223" customFormat="1" ht="36" customHeight="1" x14ac:dyDescent="0.25">
      <c r="A140" s="128">
        <v>9</v>
      </c>
      <c r="B140" s="303"/>
      <c r="C140" s="304"/>
      <c r="D140" s="304"/>
      <c r="E140" s="304"/>
      <c r="F140" s="305"/>
      <c r="G140" s="300"/>
      <c r="H140" s="301"/>
      <c r="I140" s="301"/>
      <c r="J140" s="301"/>
      <c r="K140" s="302"/>
      <c r="L140" s="306"/>
      <c r="M140" s="307"/>
      <c r="N140" s="307"/>
      <c r="O140" s="307"/>
      <c r="P140" s="294">
        <v>0.23</v>
      </c>
      <c r="Q140" s="295"/>
      <c r="R140" s="295"/>
      <c r="S140" s="295"/>
      <c r="T140" s="528">
        <v>1</v>
      </c>
      <c r="U140" s="528"/>
      <c r="V140" s="528"/>
      <c r="W140" s="528"/>
      <c r="X140" s="528"/>
      <c r="Y140" s="528"/>
      <c r="Z140" s="529"/>
      <c r="AA140" s="526">
        <f t="shared" si="1"/>
        <v>0</v>
      </c>
      <c r="AB140" s="530"/>
      <c r="AC140" s="530"/>
      <c r="AD140" s="530"/>
      <c r="AE140" s="530"/>
      <c r="AF140" s="530"/>
      <c r="AG140" s="527"/>
      <c r="AH140" s="531"/>
      <c r="AI140" s="532"/>
      <c r="AJ140" s="533"/>
      <c r="AK140" s="526">
        <f t="shared" si="2"/>
        <v>0</v>
      </c>
      <c r="AL140" s="527"/>
      <c r="AM140" s="221"/>
      <c r="AN140" s="221"/>
      <c r="AO140" s="222"/>
    </row>
    <row r="141" spans="1:41" s="223" customFormat="1" ht="36" customHeight="1" x14ac:dyDescent="0.25">
      <c r="A141" s="128">
        <v>10</v>
      </c>
      <c r="B141" s="303"/>
      <c r="C141" s="304"/>
      <c r="D141" s="304"/>
      <c r="E141" s="304"/>
      <c r="F141" s="305"/>
      <c r="G141" s="300"/>
      <c r="H141" s="301"/>
      <c r="I141" s="301"/>
      <c r="J141" s="301"/>
      <c r="K141" s="302"/>
      <c r="L141" s="306"/>
      <c r="M141" s="307"/>
      <c r="N141" s="307"/>
      <c r="O141" s="307"/>
      <c r="P141" s="294">
        <v>0.23</v>
      </c>
      <c r="Q141" s="295"/>
      <c r="R141" s="295"/>
      <c r="S141" s="295"/>
      <c r="T141" s="528">
        <v>1</v>
      </c>
      <c r="U141" s="528"/>
      <c r="V141" s="528"/>
      <c r="W141" s="528"/>
      <c r="X141" s="528"/>
      <c r="Y141" s="528"/>
      <c r="Z141" s="529"/>
      <c r="AA141" s="526">
        <f>L141+ROUND(L141*P141*T141,2)</f>
        <v>0</v>
      </c>
      <c r="AB141" s="530"/>
      <c r="AC141" s="530"/>
      <c r="AD141" s="530"/>
      <c r="AE141" s="530"/>
      <c r="AF141" s="530"/>
      <c r="AG141" s="527"/>
      <c r="AH141" s="531"/>
      <c r="AI141" s="532"/>
      <c r="AJ141" s="533"/>
      <c r="AK141" s="526">
        <f t="shared" si="2"/>
        <v>0</v>
      </c>
      <c r="AL141" s="527"/>
      <c r="AM141" s="221"/>
      <c r="AN141" s="221"/>
      <c r="AO141" s="222"/>
    </row>
    <row r="142" spans="1:41" s="223" customFormat="1" ht="36" customHeight="1" x14ac:dyDescent="0.25">
      <c r="A142" s="128">
        <v>11</v>
      </c>
      <c r="B142" s="303"/>
      <c r="C142" s="304"/>
      <c r="D142" s="304"/>
      <c r="E142" s="304"/>
      <c r="F142" s="305"/>
      <c r="G142" s="300"/>
      <c r="H142" s="301"/>
      <c r="I142" s="301"/>
      <c r="J142" s="301"/>
      <c r="K142" s="302"/>
      <c r="L142" s="306"/>
      <c r="M142" s="307"/>
      <c r="N142" s="307"/>
      <c r="O142" s="307"/>
      <c r="P142" s="294">
        <v>0.23</v>
      </c>
      <c r="Q142" s="295"/>
      <c r="R142" s="295"/>
      <c r="S142" s="295"/>
      <c r="T142" s="528">
        <v>1</v>
      </c>
      <c r="U142" s="528"/>
      <c r="V142" s="528"/>
      <c r="W142" s="528"/>
      <c r="X142" s="528"/>
      <c r="Y142" s="528"/>
      <c r="Z142" s="529"/>
      <c r="AA142" s="526">
        <f t="shared" si="1"/>
        <v>0</v>
      </c>
      <c r="AB142" s="530"/>
      <c r="AC142" s="530"/>
      <c r="AD142" s="530"/>
      <c r="AE142" s="530"/>
      <c r="AF142" s="530"/>
      <c r="AG142" s="527"/>
      <c r="AH142" s="531"/>
      <c r="AI142" s="532"/>
      <c r="AJ142" s="533"/>
      <c r="AK142" s="526">
        <f t="shared" si="2"/>
        <v>0</v>
      </c>
      <c r="AL142" s="527"/>
      <c r="AM142" s="221"/>
      <c r="AN142" s="221"/>
      <c r="AO142" s="222"/>
    </row>
    <row r="143" spans="1:41" s="223" customFormat="1" ht="36" customHeight="1" x14ac:dyDescent="0.25">
      <c r="A143" s="128">
        <v>12</v>
      </c>
      <c r="B143" s="303"/>
      <c r="C143" s="304"/>
      <c r="D143" s="304"/>
      <c r="E143" s="304"/>
      <c r="F143" s="305"/>
      <c r="G143" s="300"/>
      <c r="H143" s="301"/>
      <c r="I143" s="301"/>
      <c r="J143" s="301"/>
      <c r="K143" s="302"/>
      <c r="L143" s="306"/>
      <c r="M143" s="307"/>
      <c r="N143" s="307"/>
      <c r="O143" s="307"/>
      <c r="P143" s="294">
        <v>0.23</v>
      </c>
      <c r="Q143" s="295"/>
      <c r="R143" s="295"/>
      <c r="S143" s="295"/>
      <c r="T143" s="528">
        <v>1</v>
      </c>
      <c r="U143" s="528"/>
      <c r="V143" s="528"/>
      <c r="W143" s="528"/>
      <c r="X143" s="528"/>
      <c r="Y143" s="528"/>
      <c r="Z143" s="529"/>
      <c r="AA143" s="526">
        <f t="shared" si="1"/>
        <v>0</v>
      </c>
      <c r="AB143" s="530"/>
      <c r="AC143" s="530"/>
      <c r="AD143" s="530"/>
      <c r="AE143" s="530"/>
      <c r="AF143" s="530"/>
      <c r="AG143" s="527"/>
      <c r="AH143" s="531"/>
      <c r="AI143" s="532"/>
      <c r="AJ143" s="533"/>
      <c r="AK143" s="526">
        <f t="shared" si="2"/>
        <v>0</v>
      </c>
      <c r="AL143" s="527"/>
      <c r="AM143" s="221"/>
      <c r="AN143" s="221"/>
      <c r="AO143" s="222"/>
    </row>
    <row r="144" spans="1:41" s="223" customFormat="1" ht="36" customHeight="1" x14ac:dyDescent="0.25">
      <c r="A144" s="128">
        <v>13</v>
      </c>
      <c r="B144" s="303"/>
      <c r="C144" s="304"/>
      <c r="D144" s="304"/>
      <c r="E144" s="304"/>
      <c r="F144" s="305"/>
      <c r="G144" s="300"/>
      <c r="H144" s="301"/>
      <c r="I144" s="301"/>
      <c r="J144" s="301"/>
      <c r="K144" s="302"/>
      <c r="L144" s="306"/>
      <c r="M144" s="307"/>
      <c r="N144" s="307"/>
      <c r="O144" s="307"/>
      <c r="P144" s="294">
        <v>0.23</v>
      </c>
      <c r="Q144" s="295"/>
      <c r="R144" s="295"/>
      <c r="S144" s="295"/>
      <c r="T144" s="528">
        <v>1</v>
      </c>
      <c r="U144" s="528"/>
      <c r="V144" s="528"/>
      <c r="W144" s="528"/>
      <c r="X144" s="528"/>
      <c r="Y144" s="528"/>
      <c r="Z144" s="529"/>
      <c r="AA144" s="526">
        <f t="shared" si="1"/>
        <v>0</v>
      </c>
      <c r="AB144" s="530"/>
      <c r="AC144" s="530"/>
      <c r="AD144" s="530"/>
      <c r="AE144" s="530"/>
      <c r="AF144" s="530"/>
      <c r="AG144" s="527"/>
      <c r="AH144" s="531"/>
      <c r="AI144" s="532"/>
      <c r="AJ144" s="533"/>
      <c r="AK144" s="526">
        <f t="shared" si="2"/>
        <v>0</v>
      </c>
      <c r="AL144" s="527"/>
      <c r="AM144" s="221"/>
      <c r="AN144" s="221"/>
      <c r="AO144" s="222"/>
    </row>
    <row r="145" spans="1:41" s="223" customFormat="1" ht="36" customHeight="1" x14ac:dyDescent="0.25">
      <c r="A145" s="128">
        <v>14</v>
      </c>
      <c r="B145" s="303"/>
      <c r="C145" s="304"/>
      <c r="D145" s="304"/>
      <c r="E145" s="304"/>
      <c r="F145" s="305"/>
      <c r="G145" s="300"/>
      <c r="H145" s="301"/>
      <c r="I145" s="301"/>
      <c r="J145" s="301"/>
      <c r="K145" s="302"/>
      <c r="L145" s="306"/>
      <c r="M145" s="307"/>
      <c r="N145" s="307"/>
      <c r="O145" s="307"/>
      <c r="P145" s="294">
        <v>0.23</v>
      </c>
      <c r="Q145" s="295"/>
      <c r="R145" s="295"/>
      <c r="S145" s="295"/>
      <c r="T145" s="528">
        <v>1</v>
      </c>
      <c r="U145" s="528"/>
      <c r="V145" s="528"/>
      <c r="W145" s="528"/>
      <c r="X145" s="528"/>
      <c r="Y145" s="528"/>
      <c r="Z145" s="529"/>
      <c r="AA145" s="526">
        <f t="shared" si="1"/>
        <v>0</v>
      </c>
      <c r="AB145" s="530"/>
      <c r="AC145" s="530"/>
      <c r="AD145" s="530"/>
      <c r="AE145" s="530"/>
      <c r="AF145" s="530"/>
      <c r="AG145" s="527"/>
      <c r="AH145" s="531"/>
      <c r="AI145" s="532"/>
      <c r="AJ145" s="533"/>
      <c r="AK145" s="526">
        <f t="shared" si="2"/>
        <v>0</v>
      </c>
      <c r="AL145" s="527"/>
      <c r="AM145" s="221"/>
      <c r="AN145" s="221"/>
      <c r="AO145" s="222"/>
    </row>
    <row r="146" spans="1:41" s="223" customFormat="1" ht="36" customHeight="1" x14ac:dyDescent="0.25">
      <c r="A146" s="128">
        <v>15</v>
      </c>
      <c r="B146" s="303"/>
      <c r="C146" s="304"/>
      <c r="D146" s="304"/>
      <c r="E146" s="304"/>
      <c r="F146" s="305"/>
      <c r="G146" s="300"/>
      <c r="H146" s="301"/>
      <c r="I146" s="301"/>
      <c r="J146" s="301"/>
      <c r="K146" s="302"/>
      <c r="L146" s="306"/>
      <c r="M146" s="307"/>
      <c r="N146" s="307"/>
      <c r="O146" s="307"/>
      <c r="P146" s="294">
        <v>0.23</v>
      </c>
      <c r="Q146" s="295"/>
      <c r="R146" s="295"/>
      <c r="S146" s="295"/>
      <c r="T146" s="528">
        <v>1</v>
      </c>
      <c r="U146" s="528"/>
      <c r="V146" s="528"/>
      <c r="W146" s="528"/>
      <c r="X146" s="528"/>
      <c r="Y146" s="528"/>
      <c r="Z146" s="529"/>
      <c r="AA146" s="526">
        <f t="shared" si="1"/>
        <v>0</v>
      </c>
      <c r="AB146" s="530"/>
      <c r="AC146" s="530"/>
      <c r="AD146" s="530"/>
      <c r="AE146" s="530"/>
      <c r="AF146" s="530"/>
      <c r="AG146" s="527"/>
      <c r="AH146" s="531"/>
      <c r="AI146" s="532"/>
      <c r="AJ146" s="533"/>
      <c r="AK146" s="526">
        <f t="shared" si="2"/>
        <v>0</v>
      </c>
      <c r="AL146" s="527"/>
      <c r="AM146" s="221"/>
      <c r="AN146" s="221"/>
      <c r="AO146" s="222"/>
    </row>
    <row r="147" spans="1:41" s="223" customFormat="1" ht="36" customHeight="1" x14ac:dyDescent="0.25">
      <c r="A147" s="128">
        <v>16</v>
      </c>
      <c r="B147" s="303"/>
      <c r="C147" s="304"/>
      <c r="D147" s="304"/>
      <c r="E147" s="304"/>
      <c r="F147" s="305"/>
      <c r="G147" s="300"/>
      <c r="H147" s="301"/>
      <c r="I147" s="301"/>
      <c r="J147" s="301"/>
      <c r="K147" s="302"/>
      <c r="L147" s="306"/>
      <c r="M147" s="307"/>
      <c r="N147" s="307"/>
      <c r="O147" s="307"/>
      <c r="P147" s="294">
        <v>0.23</v>
      </c>
      <c r="Q147" s="295"/>
      <c r="R147" s="295"/>
      <c r="S147" s="295"/>
      <c r="T147" s="528">
        <v>1</v>
      </c>
      <c r="U147" s="528"/>
      <c r="V147" s="528"/>
      <c r="W147" s="528"/>
      <c r="X147" s="528"/>
      <c r="Y147" s="528"/>
      <c r="Z147" s="529"/>
      <c r="AA147" s="526">
        <f t="shared" si="1"/>
        <v>0</v>
      </c>
      <c r="AB147" s="530"/>
      <c r="AC147" s="530"/>
      <c r="AD147" s="530"/>
      <c r="AE147" s="530"/>
      <c r="AF147" s="530"/>
      <c r="AG147" s="527"/>
      <c r="AH147" s="531"/>
      <c r="AI147" s="532"/>
      <c r="AJ147" s="533"/>
      <c r="AK147" s="526">
        <f t="shared" si="2"/>
        <v>0</v>
      </c>
      <c r="AL147" s="527"/>
      <c r="AM147" s="221"/>
      <c r="AN147" s="221"/>
      <c r="AO147" s="222"/>
    </row>
    <row r="148" spans="1:41" s="223" customFormat="1" ht="36" customHeight="1" x14ac:dyDescent="0.25">
      <c r="A148" s="128">
        <v>17</v>
      </c>
      <c r="B148" s="303"/>
      <c r="C148" s="304"/>
      <c r="D148" s="304"/>
      <c r="E148" s="304"/>
      <c r="F148" s="305"/>
      <c r="G148" s="300"/>
      <c r="H148" s="301"/>
      <c r="I148" s="301"/>
      <c r="J148" s="301"/>
      <c r="K148" s="302"/>
      <c r="L148" s="306"/>
      <c r="M148" s="307"/>
      <c r="N148" s="307"/>
      <c r="O148" s="307"/>
      <c r="P148" s="294">
        <v>0.23</v>
      </c>
      <c r="Q148" s="295"/>
      <c r="R148" s="295"/>
      <c r="S148" s="295"/>
      <c r="T148" s="528">
        <v>1</v>
      </c>
      <c r="U148" s="528"/>
      <c r="V148" s="528"/>
      <c r="W148" s="528"/>
      <c r="X148" s="528"/>
      <c r="Y148" s="528"/>
      <c r="Z148" s="529"/>
      <c r="AA148" s="526">
        <f t="shared" si="1"/>
        <v>0</v>
      </c>
      <c r="AB148" s="530"/>
      <c r="AC148" s="530"/>
      <c r="AD148" s="530"/>
      <c r="AE148" s="530"/>
      <c r="AF148" s="530"/>
      <c r="AG148" s="527"/>
      <c r="AH148" s="531"/>
      <c r="AI148" s="532"/>
      <c r="AJ148" s="533"/>
      <c r="AK148" s="526">
        <f t="shared" si="2"/>
        <v>0</v>
      </c>
      <c r="AL148" s="527"/>
      <c r="AM148" s="221"/>
      <c r="AN148" s="221"/>
      <c r="AO148" s="222"/>
    </row>
    <row r="149" spans="1:41" s="223" customFormat="1" ht="36" customHeight="1" x14ac:dyDescent="0.25">
      <c r="A149" s="128">
        <v>18</v>
      </c>
      <c r="B149" s="303"/>
      <c r="C149" s="304"/>
      <c r="D149" s="304"/>
      <c r="E149" s="304"/>
      <c r="F149" s="305"/>
      <c r="G149" s="300"/>
      <c r="H149" s="301"/>
      <c r="I149" s="301"/>
      <c r="J149" s="301"/>
      <c r="K149" s="302"/>
      <c r="L149" s="306"/>
      <c r="M149" s="307"/>
      <c r="N149" s="307"/>
      <c r="O149" s="307"/>
      <c r="P149" s="294">
        <v>0.23</v>
      </c>
      <c r="Q149" s="295"/>
      <c r="R149" s="295"/>
      <c r="S149" s="295"/>
      <c r="T149" s="528">
        <v>1</v>
      </c>
      <c r="U149" s="528"/>
      <c r="V149" s="528"/>
      <c r="W149" s="528"/>
      <c r="X149" s="528"/>
      <c r="Y149" s="528"/>
      <c r="Z149" s="529"/>
      <c r="AA149" s="526">
        <f t="shared" si="1"/>
        <v>0</v>
      </c>
      <c r="AB149" s="530"/>
      <c r="AC149" s="530"/>
      <c r="AD149" s="530"/>
      <c r="AE149" s="530"/>
      <c r="AF149" s="530"/>
      <c r="AG149" s="527"/>
      <c r="AH149" s="531"/>
      <c r="AI149" s="532"/>
      <c r="AJ149" s="533"/>
      <c r="AK149" s="526">
        <f t="shared" si="2"/>
        <v>0</v>
      </c>
      <c r="AL149" s="527"/>
      <c r="AM149" s="221"/>
      <c r="AN149" s="221"/>
      <c r="AO149" s="222"/>
    </row>
    <row r="150" spans="1:41" s="223" customFormat="1" ht="36" customHeight="1" x14ac:dyDescent="0.25">
      <c r="A150" s="128">
        <v>19</v>
      </c>
      <c r="B150" s="303"/>
      <c r="C150" s="304"/>
      <c r="D150" s="304"/>
      <c r="E150" s="304"/>
      <c r="F150" s="305"/>
      <c r="G150" s="300"/>
      <c r="H150" s="301"/>
      <c r="I150" s="301"/>
      <c r="J150" s="301"/>
      <c r="K150" s="302"/>
      <c r="L150" s="306"/>
      <c r="M150" s="307"/>
      <c r="N150" s="307"/>
      <c r="O150" s="307"/>
      <c r="P150" s="294">
        <v>0.23</v>
      </c>
      <c r="Q150" s="295"/>
      <c r="R150" s="295"/>
      <c r="S150" s="295"/>
      <c r="T150" s="528">
        <v>1</v>
      </c>
      <c r="U150" s="528"/>
      <c r="V150" s="528"/>
      <c r="W150" s="528"/>
      <c r="X150" s="528"/>
      <c r="Y150" s="528"/>
      <c r="Z150" s="529"/>
      <c r="AA150" s="526">
        <f t="shared" si="1"/>
        <v>0</v>
      </c>
      <c r="AB150" s="530"/>
      <c r="AC150" s="530"/>
      <c r="AD150" s="530"/>
      <c r="AE150" s="530"/>
      <c r="AF150" s="530"/>
      <c r="AG150" s="527"/>
      <c r="AH150" s="531"/>
      <c r="AI150" s="532"/>
      <c r="AJ150" s="533"/>
      <c r="AK150" s="526">
        <f t="shared" si="2"/>
        <v>0</v>
      </c>
      <c r="AL150" s="527"/>
      <c r="AM150" s="221"/>
      <c r="AN150" s="221"/>
      <c r="AO150" s="222"/>
    </row>
    <row r="151" spans="1:41" s="223" customFormat="1" ht="36" customHeight="1" x14ac:dyDescent="0.25">
      <c r="A151" s="128">
        <v>20</v>
      </c>
      <c r="B151" s="303"/>
      <c r="C151" s="304"/>
      <c r="D151" s="304"/>
      <c r="E151" s="304"/>
      <c r="F151" s="305"/>
      <c r="G151" s="300"/>
      <c r="H151" s="301"/>
      <c r="I151" s="301"/>
      <c r="J151" s="301"/>
      <c r="K151" s="302"/>
      <c r="L151" s="306"/>
      <c r="M151" s="307"/>
      <c r="N151" s="307"/>
      <c r="O151" s="307"/>
      <c r="P151" s="294">
        <v>0.23</v>
      </c>
      <c r="Q151" s="295"/>
      <c r="R151" s="295"/>
      <c r="S151" s="295"/>
      <c r="T151" s="528">
        <v>1</v>
      </c>
      <c r="U151" s="528"/>
      <c r="V151" s="528"/>
      <c r="W151" s="528"/>
      <c r="X151" s="528"/>
      <c r="Y151" s="528"/>
      <c r="Z151" s="529"/>
      <c r="AA151" s="526">
        <f t="shared" si="1"/>
        <v>0</v>
      </c>
      <c r="AB151" s="530"/>
      <c r="AC151" s="530"/>
      <c r="AD151" s="530"/>
      <c r="AE151" s="530"/>
      <c r="AF151" s="530"/>
      <c r="AG151" s="527"/>
      <c r="AH151" s="531"/>
      <c r="AI151" s="532"/>
      <c r="AJ151" s="533"/>
      <c r="AK151" s="526">
        <f t="shared" si="2"/>
        <v>0</v>
      </c>
      <c r="AL151" s="527"/>
      <c r="AM151" s="221"/>
      <c r="AN151" s="221"/>
      <c r="AO151" s="222"/>
    </row>
    <row r="152" spans="1:41" s="223" customFormat="1" ht="36" customHeight="1" x14ac:dyDescent="0.25">
      <c r="A152" s="128">
        <v>21</v>
      </c>
      <c r="B152" s="303"/>
      <c r="C152" s="304"/>
      <c r="D152" s="304"/>
      <c r="E152" s="304"/>
      <c r="F152" s="305"/>
      <c r="G152" s="300"/>
      <c r="H152" s="301"/>
      <c r="I152" s="301"/>
      <c r="J152" s="301"/>
      <c r="K152" s="302"/>
      <c r="L152" s="306"/>
      <c r="M152" s="307"/>
      <c r="N152" s="307"/>
      <c r="O152" s="307"/>
      <c r="P152" s="294">
        <v>0.23</v>
      </c>
      <c r="Q152" s="295"/>
      <c r="R152" s="295"/>
      <c r="S152" s="295"/>
      <c r="T152" s="528">
        <v>1</v>
      </c>
      <c r="U152" s="528"/>
      <c r="V152" s="528"/>
      <c r="W152" s="528"/>
      <c r="X152" s="528"/>
      <c r="Y152" s="528"/>
      <c r="Z152" s="529"/>
      <c r="AA152" s="526">
        <f t="shared" si="1"/>
        <v>0</v>
      </c>
      <c r="AB152" s="530"/>
      <c r="AC152" s="530"/>
      <c r="AD152" s="530"/>
      <c r="AE152" s="530"/>
      <c r="AF152" s="530"/>
      <c r="AG152" s="527"/>
      <c r="AH152" s="531"/>
      <c r="AI152" s="532"/>
      <c r="AJ152" s="533"/>
      <c r="AK152" s="526">
        <f t="shared" si="2"/>
        <v>0</v>
      </c>
      <c r="AL152" s="527"/>
      <c r="AM152" s="221"/>
      <c r="AN152" s="221"/>
      <c r="AO152" s="222"/>
    </row>
    <row r="153" spans="1:41" s="223" customFormat="1" ht="36" customHeight="1" x14ac:dyDescent="0.25">
      <c r="A153" s="128">
        <v>22</v>
      </c>
      <c r="B153" s="303"/>
      <c r="C153" s="304"/>
      <c r="D153" s="304"/>
      <c r="E153" s="304"/>
      <c r="F153" s="305"/>
      <c r="G153" s="300"/>
      <c r="H153" s="301"/>
      <c r="I153" s="301"/>
      <c r="J153" s="301"/>
      <c r="K153" s="302"/>
      <c r="L153" s="306"/>
      <c r="M153" s="307"/>
      <c r="N153" s="307"/>
      <c r="O153" s="307"/>
      <c r="P153" s="294">
        <v>0.23</v>
      </c>
      <c r="Q153" s="295"/>
      <c r="R153" s="295"/>
      <c r="S153" s="295"/>
      <c r="T153" s="528">
        <v>1</v>
      </c>
      <c r="U153" s="528"/>
      <c r="V153" s="528"/>
      <c r="W153" s="528"/>
      <c r="X153" s="528"/>
      <c r="Y153" s="528"/>
      <c r="Z153" s="529"/>
      <c r="AA153" s="526">
        <f t="shared" si="1"/>
        <v>0</v>
      </c>
      <c r="AB153" s="530"/>
      <c r="AC153" s="530"/>
      <c r="AD153" s="530"/>
      <c r="AE153" s="530"/>
      <c r="AF153" s="530"/>
      <c r="AG153" s="527"/>
      <c r="AH153" s="531"/>
      <c r="AI153" s="532"/>
      <c r="AJ153" s="533"/>
      <c r="AK153" s="526">
        <f t="shared" si="2"/>
        <v>0</v>
      </c>
      <c r="AL153" s="527"/>
      <c r="AM153" s="221"/>
      <c r="AN153" s="221"/>
      <c r="AO153" s="222"/>
    </row>
    <row r="154" spans="1:41" ht="13.95" customHeight="1" x14ac:dyDescent="0.25">
      <c r="A154" s="128">
        <v>23</v>
      </c>
      <c r="B154" s="451" t="s">
        <v>128</v>
      </c>
      <c r="C154" s="452"/>
      <c r="D154" s="452"/>
      <c r="E154" s="452"/>
      <c r="F154" s="452"/>
      <c r="G154" s="452"/>
      <c r="H154" s="452"/>
      <c r="I154" s="452"/>
      <c r="J154" s="452"/>
      <c r="K154" s="452"/>
      <c r="L154" s="296">
        <f>SUM(L132:O153)</f>
        <v>0</v>
      </c>
      <c r="M154" s="296"/>
      <c r="N154" s="296"/>
      <c r="O154" s="297"/>
      <c r="P154" s="463" t="s">
        <v>129</v>
      </c>
      <c r="Q154" s="463"/>
      <c r="R154" s="463"/>
      <c r="S154" s="463"/>
      <c r="T154" s="462" t="s">
        <v>129</v>
      </c>
      <c r="U154" s="462"/>
      <c r="V154" s="462"/>
      <c r="W154" s="462"/>
      <c r="X154" s="462"/>
      <c r="Y154" s="462"/>
      <c r="Z154" s="462"/>
      <c r="AA154" s="457">
        <f>SUM(AA132:AG153)</f>
        <v>0</v>
      </c>
      <c r="AB154" s="457"/>
      <c r="AC154" s="457"/>
      <c r="AD154" s="457"/>
      <c r="AE154" s="457"/>
      <c r="AF154" s="457"/>
      <c r="AG154" s="457"/>
      <c r="AH154" s="461" t="s">
        <v>129</v>
      </c>
      <c r="AI154" s="461"/>
      <c r="AJ154" s="461"/>
      <c r="AK154" s="457">
        <f>ROUND(SUM(AK132:AL153),2)</f>
        <v>0</v>
      </c>
      <c r="AL154" s="457"/>
      <c r="AN154" s="77"/>
      <c r="AO154" s="61"/>
    </row>
    <row r="155" spans="1:41" ht="129" customHeight="1" x14ac:dyDescent="0.25">
      <c r="A155" s="334" t="s">
        <v>1111</v>
      </c>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c r="AI155" s="334"/>
      <c r="AJ155" s="334"/>
      <c r="AK155" s="334"/>
      <c r="AL155" s="334"/>
      <c r="AN155" s="77"/>
      <c r="AO155" s="61"/>
    </row>
    <row r="156" spans="1:41" ht="14.1" customHeight="1" x14ac:dyDescent="0.25">
      <c r="A156" s="129"/>
      <c r="B156" s="453" t="s">
        <v>181</v>
      </c>
      <c r="C156" s="453"/>
      <c r="D156" s="453"/>
      <c r="E156" s="453"/>
      <c r="F156" s="453"/>
      <c r="G156" s="453"/>
      <c r="H156" s="453"/>
      <c r="I156" s="453"/>
      <c r="J156" s="453"/>
      <c r="K156" s="453"/>
      <c r="L156" s="453"/>
      <c r="M156" s="453"/>
      <c r="N156" s="453"/>
      <c r="O156" s="453"/>
      <c r="P156" s="453"/>
      <c r="Q156" s="453"/>
      <c r="R156" s="453"/>
      <c r="S156" s="453"/>
      <c r="T156" s="458">
        <v>0.1</v>
      </c>
      <c r="U156" s="458"/>
      <c r="V156" s="458"/>
      <c r="W156" s="458"/>
      <c r="X156" s="458"/>
      <c r="Y156" s="458"/>
      <c r="Z156" s="458"/>
      <c r="AA156" s="458"/>
      <c r="AB156" s="458"/>
      <c r="AC156" s="458"/>
      <c r="AD156" s="458"/>
      <c r="AE156" s="458"/>
      <c r="AF156" s="458"/>
      <c r="AG156" s="458"/>
      <c r="AH156" s="458"/>
      <c r="AI156" s="458"/>
      <c r="AJ156" s="458"/>
      <c r="AK156" s="130"/>
      <c r="AL156" s="131"/>
      <c r="AM156" s="77"/>
      <c r="AN156" s="61"/>
      <c r="AO156" s="61"/>
    </row>
    <row r="157" spans="1:41" ht="13.95" customHeight="1" x14ac:dyDescent="0.3">
      <c r="A157" s="129"/>
      <c r="B157" s="453" t="s">
        <v>667</v>
      </c>
      <c r="C157" s="453"/>
      <c r="D157" s="453"/>
      <c r="E157" s="453"/>
      <c r="F157" s="453"/>
      <c r="G157" s="453"/>
      <c r="H157" s="453"/>
      <c r="I157" s="453"/>
      <c r="J157" s="453"/>
      <c r="K157" s="453"/>
      <c r="L157" s="453"/>
      <c r="M157" s="453"/>
      <c r="N157" s="453"/>
      <c r="O157" s="453"/>
      <c r="P157" s="453"/>
      <c r="Q157" s="453"/>
      <c r="R157" s="453"/>
      <c r="S157" s="453"/>
      <c r="T157" s="762"/>
      <c r="U157" s="762"/>
      <c r="V157" s="762"/>
      <c r="W157" s="762"/>
      <c r="X157" s="762"/>
      <c r="Y157" s="762"/>
      <c r="Z157" s="762"/>
      <c r="AA157" s="762"/>
      <c r="AB157" s="762"/>
      <c r="AC157" s="762"/>
      <c r="AD157" s="762"/>
      <c r="AE157" s="762"/>
      <c r="AF157" s="762"/>
      <c r="AG157" s="762"/>
      <c r="AH157" s="762"/>
      <c r="AI157" s="762"/>
      <c r="AJ157" s="762"/>
      <c r="AK157" s="130"/>
      <c r="AL157" s="131"/>
      <c r="AM157" s="133" t="s">
        <v>215</v>
      </c>
      <c r="AN157" s="61"/>
      <c r="AO157" s="61"/>
    </row>
    <row r="158" spans="1:41" ht="45.45" customHeight="1" x14ac:dyDescent="0.25">
      <c r="A158" s="404" t="s">
        <v>929</v>
      </c>
      <c r="B158" s="404"/>
      <c r="C158" s="404"/>
      <c r="D158" s="404"/>
      <c r="E158" s="404"/>
      <c r="F158" s="404"/>
      <c r="G158" s="404"/>
      <c r="H158" s="404"/>
      <c r="I158" s="404"/>
      <c r="J158" s="404"/>
      <c r="K158" s="404"/>
      <c r="L158" s="404"/>
      <c r="M158" s="404"/>
      <c r="N158" s="404"/>
      <c r="O158" s="404"/>
      <c r="P158" s="404"/>
      <c r="Q158" s="404"/>
      <c r="R158" s="404"/>
      <c r="S158" s="404"/>
      <c r="T158" s="404"/>
      <c r="U158" s="404"/>
      <c r="V158" s="404"/>
      <c r="W158" s="404"/>
      <c r="X158" s="404"/>
      <c r="Y158" s="404"/>
      <c r="Z158" s="404"/>
      <c r="AA158" s="404"/>
      <c r="AB158" s="404"/>
      <c r="AC158" s="404"/>
      <c r="AD158" s="404"/>
      <c r="AE158" s="404"/>
      <c r="AF158" s="404"/>
      <c r="AG158" s="404"/>
      <c r="AH158" s="404"/>
      <c r="AI158" s="404"/>
      <c r="AJ158" s="404"/>
      <c r="AK158" s="404"/>
      <c r="AL158" s="404"/>
      <c r="AM158" s="109"/>
      <c r="AN158" s="61"/>
      <c r="AO158" s="61"/>
    </row>
    <row r="159" spans="1:41" ht="13.95" customHeight="1" x14ac:dyDescent="0.3">
      <c r="A159" s="765"/>
      <c r="B159" s="765"/>
      <c r="C159" s="765"/>
      <c r="D159" s="765"/>
      <c r="E159" s="765"/>
      <c r="F159" s="765"/>
      <c r="G159" s="765"/>
      <c r="H159" s="765"/>
      <c r="I159" s="765"/>
      <c r="J159" s="765"/>
      <c r="K159" s="765"/>
      <c r="L159" s="765"/>
      <c r="M159" s="765"/>
      <c r="N159" s="765"/>
      <c r="O159" s="765"/>
      <c r="P159" s="765"/>
      <c r="Q159" s="765"/>
      <c r="R159" s="765"/>
      <c r="S159" s="765"/>
      <c r="T159" s="765"/>
      <c r="U159" s="765"/>
      <c r="V159" s="765"/>
      <c r="W159" s="765"/>
      <c r="X159" s="765"/>
      <c r="Y159" s="765"/>
      <c r="Z159" s="765"/>
      <c r="AA159" s="765"/>
      <c r="AB159" s="765"/>
      <c r="AC159" s="765"/>
      <c r="AD159" s="765"/>
      <c r="AE159" s="765"/>
      <c r="AF159" s="765"/>
      <c r="AG159" s="765"/>
      <c r="AH159" s="765"/>
      <c r="AI159" s="765"/>
      <c r="AJ159" s="765"/>
      <c r="AK159" s="765"/>
      <c r="AL159" s="765"/>
      <c r="AM159" s="104" t="s">
        <v>162</v>
      </c>
      <c r="AN159" s="61"/>
      <c r="AO159" s="61"/>
    </row>
    <row r="160" spans="1:41" ht="45" customHeight="1" x14ac:dyDescent="0.25">
      <c r="A160" s="332" t="s">
        <v>790</v>
      </c>
      <c r="B160" s="332"/>
      <c r="C160" s="332"/>
      <c r="D160" s="332"/>
      <c r="E160" s="332"/>
      <c r="F160" s="332"/>
      <c r="G160" s="332"/>
      <c r="H160" s="332"/>
      <c r="I160" s="332"/>
      <c r="J160" s="332"/>
      <c r="K160" s="332"/>
      <c r="L160" s="332"/>
      <c r="M160" s="332"/>
      <c r="N160" s="332"/>
      <c r="O160" s="332"/>
      <c r="P160" s="332"/>
      <c r="Q160" s="332"/>
      <c r="R160" s="332"/>
      <c r="S160" s="332"/>
      <c r="T160" s="332"/>
      <c r="U160" s="332"/>
      <c r="V160" s="332"/>
      <c r="W160" s="332"/>
      <c r="X160" s="332"/>
      <c r="Y160" s="332"/>
      <c r="Z160" s="332"/>
      <c r="AA160" s="332"/>
      <c r="AB160" s="332"/>
      <c r="AC160" s="332"/>
      <c r="AD160" s="332"/>
      <c r="AE160" s="332"/>
      <c r="AF160" s="332"/>
      <c r="AG160" s="332"/>
      <c r="AH160" s="332"/>
      <c r="AI160" s="332"/>
      <c r="AJ160" s="332"/>
      <c r="AK160" s="332"/>
      <c r="AL160" s="332"/>
      <c r="AM160" s="77"/>
      <c r="AN160" s="61"/>
      <c r="AO160" s="61"/>
    </row>
    <row r="161" spans="1:39" ht="41.7" customHeight="1" x14ac:dyDescent="0.25">
      <c r="A161" s="333"/>
      <c r="B161" s="333"/>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117"/>
    </row>
    <row r="162" spans="1:39" ht="41.7" customHeight="1" x14ac:dyDescent="0.25">
      <c r="A162" s="332" t="s">
        <v>831</v>
      </c>
      <c r="B162" s="332"/>
      <c r="C162" s="332"/>
      <c r="D162" s="332"/>
      <c r="E162" s="332"/>
      <c r="F162" s="332"/>
      <c r="G162" s="332"/>
      <c r="H162" s="332"/>
      <c r="I162" s="332"/>
      <c r="J162" s="332"/>
      <c r="K162" s="332"/>
      <c r="L162" s="332"/>
      <c r="M162" s="332"/>
      <c r="N162" s="332"/>
      <c r="O162" s="332"/>
      <c r="P162" s="332"/>
      <c r="Q162" s="332"/>
      <c r="R162" s="332"/>
      <c r="S162" s="332"/>
      <c r="T162" s="332"/>
      <c r="U162" s="332"/>
      <c r="V162" s="332"/>
      <c r="W162" s="332"/>
      <c r="X162" s="332"/>
      <c r="Y162" s="332"/>
      <c r="Z162" s="332"/>
      <c r="AA162" s="332"/>
      <c r="AB162" s="332"/>
      <c r="AC162" s="332"/>
      <c r="AD162" s="332"/>
      <c r="AE162" s="332"/>
      <c r="AF162" s="332"/>
      <c r="AG162" s="332"/>
      <c r="AH162" s="332"/>
      <c r="AI162" s="332"/>
      <c r="AJ162" s="332"/>
      <c r="AK162" s="332"/>
      <c r="AL162" s="332"/>
      <c r="AM162" s="217"/>
    </row>
    <row r="163" spans="1:39" ht="41.7" customHeight="1" x14ac:dyDescent="0.25">
      <c r="A163" s="333"/>
      <c r="B163" s="333"/>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c r="Z163" s="333"/>
      <c r="AA163" s="333"/>
      <c r="AB163" s="333"/>
      <c r="AC163" s="333"/>
      <c r="AD163" s="333"/>
      <c r="AE163" s="333"/>
      <c r="AF163" s="333"/>
      <c r="AG163" s="333"/>
      <c r="AH163" s="333"/>
      <c r="AI163" s="333"/>
      <c r="AJ163" s="333"/>
      <c r="AK163" s="333"/>
      <c r="AL163" s="333"/>
      <c r="AM163" s="217"/>
    </row>
    <row r="164" spans="1:39" s="116" customFormat="1" ht="34.950000000000003" customHeight="1" x14ac:dyDescent="0.2">
      <c r="A164" s="406" t="s">
        <v>1127</v>
      </c>
      <c r="B164" s="406"/>
      <c r="C164" s="406"/>
      <c r="D164" s="406"/>
      <c r="E164" s="406"/>
      <c r="F164" s="406"/>
      <c r="G164" s="406"/>
      <c r="H164" s="406"/>
      <c r="I164" s="406"/>
      <c r="J164" s="406"/>
      <c r="K164" s="406"/>
      <c r="L164" s="406"/>
      <c r="M164" s="406"/>
      <c r="N164" s="406"/>
      <c r="O164" s="406"/>
      <c r="P164" s="406"/>
      <c r="Q164" s="406"/>
      <c r="R164" s="406"/>
      <c r="S164" s="406"/>
      <c r="T164" s="406"/>
      <c r="U164" s="406"/>
      <c r="V164" s="406"/>
      <c r="W164" s="406"/>
      <c r="X164" s="406"/>
      <c r="Y164" s="406"/>
      <c r="Z164" s="406"/>
      <c r="AA164" s="406"/>
      <c r="AB164" s="406"/>
      <c r="AC164" s="406"/>
      <c r="AD164" s="406"/>
      <c r="AE164" s="406"/>
      <c r="AF164" s="406"/>
      <c r="AG164" s="406"/>
      <c r="AH164" s="406"/>
      <c r="AI164" s="406"/>
      <c r="AJ164" s="406"/>
      <c r="AK164" s="406"/>
      <c r="AL164" s="406"/>
      <c r="AM164" s="101"/>
    </row>
    <row r="165" spans="1:39" s="116" customFormat="1" ht="45" customHeight="1" x14ac:dyDescent="0.2">
      <c r="A165" s="333"/>
      <c r="B165" s="333"/>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c r="Z165" s="333"/>
      <c r="AA165" s="333"/>
      <c r="AB165" s="333"/>
      <c r="AC165" s="333"/>
      <c r="AD165" s="333"/>
      <c r="AE165" s="333"/>
      <c r="AF165" s="333"/>
      <c r="AG165" s="333"/>
      <c r="AH165" s="333"/>
      <c r="AI165" s="333"/>
      <c r="AJ165" s="333"/>
      <c r="AK165" s="333"/>
      <c r="AL165" s="333"/>
      <c r="AM165" s="117"/>
    </row>
    <row r="166" spans="1:39" s="116" customFormat="1" ht="45" customHeight="1" x14ac:dyDescent="0.2">
      <c r="A166" s="332" t="s">
        <v>1129</v>
      </c>
      <c r="B166" s="332"/>
      <c r="C166" s="332"/>
      <c r="D166" s="332"/>
      <c r="E166" s="332"/>
      <c r="F166" s="332"/>
      <c r="G166" s="332"/>
      <c r="H166" s="332"/>
      <c r="I166" s="332"/>
      <c r="J166" s="332"/>
      <c r="K166" s="332"/>
      <c r="L166" s="332"/>
      <c r="M166" s="332"/>
      <c r="N166" s="332"/>
      <c r="O166" s="332"/>
      <c r="P166" s="332"/>
      <c r="Q166" s="332"/>
      <c r="R166" s="332"/>
      <c r="S166" s="332"/>
      <c r="T166" s="332"/>
      <c r="U166" s="332"/>
      <c r="V166" s="332"/>
      <c r="W166" s="332"/>
      <c r="X166" s="332"/>
      <c r="Y166" s="332"/>
      <c r="Z166" s="332"/>
      <c r="AA166" s="332"/>
      <c r="AB166" s="332"/>
      <c r="AC166" s="332"/>
      <c r="AD166" s="332"/>
      <c r="AE166" s="332"/>
      <c r="AF166" s="332"/>
      <c r="AG166" s="332"/>
      <c r="AH166" s="332"/>
      <c r="AI166" s="332"/>
      <c r="AJ166" s="332"/>
      <c r="AK166" s="332"/>
      <c r="AL166" s="332"/>
      <c r="AM166" s="101"/>
    </row>
    <row r="167" spans="1:39" ht="41.7" customHeight="1" x14ac:dyDescent="0.25">
      <c r="A167" s="332" t="s">
        <v>169</v>
      </c>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77"/>
    </row>
    <row r="168" spans="1:39" ht="45" customHeight="1" x14ac:dyDescent="0.25">
      <c r="A168" s="456"/>
      <c r="B168" s="456"/>
      <c r="C168" s="456"/>
      <c r="D168" s="456"/>
      <c r="E168" s="456"/>
      <c r="F168" s="456"/>
      <c r="G168" s="456"/>
      <c r="H168" s="456"/>
      <c r="I168" s="456"/>
      <c r="J168" s="456"/>
      <c r="K168" s="456"/>
      <c r="L168" s="456"/>
      <c r="M168" s="456"/>
      <c r="N168" s="456"/>
      <c r="O168" s="456"/>
      <c r="P168" s="456"/>
      <c r="Q168" s="456"/>
      <c r="R168" s="456"/>
      <c r="S168" s="456"/>
      <c r="T168" s="456"/>
      <c r="U168" s="456"/>
      <c r="V168" s="456"/>
      <c r="W168" s="456"/>
      <c r="X168" s="456"/>
      <c r="Y168" s="456"/>
      <c r="Z168" s="456"/>
      <c r="AA168" s="456"/>
      <c r="AB168" s="456"/>
      <c r="AC168" s="456"/>
      <c r="AD168" s="456"/>
      <c r="AE168" s="456"/>
      <c r="AF168" s="456"/>
      <c r="AG168" s="456"/>
      <c r="AH168" s="456"/>
      <c r="AI168" s="456"/>
      <c r="AJ168" s="456"/>
      <c r="AK168" s="456"/>
      <c r="AL168" s="456"/>
      <c r="AM168" s="77"/>
    </row>
    <row r="169" spans="1:39" ht="85.2" customHeight="1" x14ac:dyDescent="0.25">
      <c r="A169" s="332" t="s">
        <v>1130</v>
      </c>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77"/>
    </row>
    <row r="170" spans="1:39" ht="45" customHeight="1" x14ac:dyDescent="0.25">
      <c r="A170" s="333"/>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77"/>
    </row>
    <row r="171" spans="1:39" ht="45" customHeight="1" x14ac:dyDescent="0.25">
      <c r="A171" s="308" t="s">
        <v>1133</v>
      </c>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c r="AH171" s="308"/>
      <c r="AI171" s="308"/>
      <c r="AJ171" s="308"/>
      <c r="AK171" s="308"/>
      <c r="AL171" s="308"/>
      <c r="AM171" s="77"/>
    </row>
    <row r="172" spans="1:39" ht="45" customHeight="1" x14ac:dyDescent="0.25">
      <c r="A172" s="630" t="s">
        <v>946</v>
      </c>
      <c r="B172" s="630"/>
      <c r="C172" s="630"/>
      <c r="D172" s="630"/>
      <c r="E172" s="630"/>
      <c r="F172" s="630"/>
      <c r="G172" s="630"/>
      <c r="H172" s="630"/>
      <c r="I172" s="630"/>
      <c r="J172" s="630"/>
      <c r="K172" s="630"/>
      <c r="L172" s="630"/>
      <c r="M172" s="630"/>
      <c r="N172" s="630"/>
      <c r="O172" s="630"/>
      <c r="P172" s="630"/>
      <c r="Q172" s="630"/>
      <c r="R172" s="630"/>
      <c r="S172" s="630"/>
      <c r="T172" s="630" t="s">
        <v>947</v>
      </c>
      <c r="U172" s="630"/>
      <c r="V172" s="630"/>
      <c r="W172" s="630"/>
      <c r="X172" s="630"/>
      <c r="Y172" s="630"/>
      <c r="Z172" s="630"/>
      <c r="AA172" s="630"/>
      <c r="AB172" s="630"/>
      <c r="AC172" s="630"/>
      <c r="AD172" s="630"/>
      <c r="AE172" s="630"/>
      <c r="AF172" s="630"/>
      <c r="AG172" s="630"/>
      <c r="AH172" s="630"/>
      <c r="AI172" s="630"/>
      <c r="AJ172" s="630"/>
      <c r="AK172" s="630"/>
      <c r="AL172" s="630"/>
      <c r="AM172" s="77"/>
    </row>
    <row r="173" spans="1:39" ht="45" customHeight="1" x14ac:dyDescent="0.25">
      <c r="A173" s="629"/>
      <c r="B173" s="629"/>
      <c r="C173" s="629"/>
      <c r="D173" s="629"/>
      <c r="E173" s="629"/>
      <c r="F173" s="629"/>
      <c r="G173" s="629"/>
      <c r="H173" s="629"/>
      <c r="I173" s="629"/>
      <c r="J173" s="629"/>
      <c r="K173" s="629"/>
      <c r="L173" s="629"/>
      <c r="M173" s="629"/>
      <c r="N173" s="629"/>
      <c r="O173" s="629"/>
      <c r="P173" s="629"/>
      <c r="Q173" s="629"/>
      <c r="R173" s="629"/>
      <c r="S173" s="629"/>
      <c r="T173" s="705"/>
      <c r="U173" s="705"/>
      <c r="V173" s="705"/>
      <c r="W173" s="705"/>
      <c r="X173" s="705"/>
      <c r="Y173" s="705"/>
      <c r="Z173" s="705"/>
      <c r="AA173" s="705"/>
      <c r="AB173" s="705"/>
      <c r="AC173" s="705"/>
      <c r="AD173" s="705"/>
      <c r="AE173" s="705"/>
      <c r="AF173" s="705"/>
      <c r="AG173" s="705"/>
      <c r="AH173" s="705"/>
      <c r="AI173" s="705"/>
      <c r="AJ173" s="705"/>
      <c r="AK173" s="705"/>
      <c r="AL173" s="705"/>
      <c r="AM173" s="77"/>
    </row>
    <row r="174" spans="1:39" ht="61.2" customHeight="1" x14ac:dyDescent="0.25">
      <c r="A174" s="315" t="s">
        <v>1135</v>
      </c>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c r="Y174" s="315"/>
      <c r="Z174" s="315"/>
      <c r="AA174" s="315"/>
      <c r="AB174" s="315"/>
      <c r="AC174" s="315"/>
      <c r="AD174" s="315"/>
      <c r="AE174" s="315"/>
      <c r="AF174" s="315"/>
      <c r="AG174" s="315"/>
      <c r="AH174" s="315"/>
      <c r="AI174" s="315"/>
      <c r="AJ174" s="315"/>
      <c r="AK174" s="315"/>
      <c r="AL174" s="315"/>
      <c r="AM174" s="77"/>
    </row>
    <row r="175" spans="1:39" ht="88.2" customHeight="1" x14ac:dyDescent="0.25">
      <c r="A175" s="333"/>
      <c r="B175" s="333"/>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c r="AM175" s="77"/>
    </row>
    <row r="176" spans="1:39" ht="68.7" customHeight="1" x14ac:dyDescent="0.25">
      <c r="A176" s="308" t="s">
        <v>1138</v>
      </c>
      <c r="B176" s="332"/>
      <c r="C176" s="332"/>
      <c r="D176" s="332"/>
      <c r="E176" s="332"/>
      <c r="F176" s="332"/>
      <c r="G176" s="332"/>
      <c r="H176" s="332"/>
      <c r="I176" s="332"/>
      <c r="J176" s="332"/>
      <c r="K176" s="332"/>
      <c r="L176" s="332"/>
      <c r="M176" s="332"/>
      <c r="N176" s="332"/>
      <c r="O176" s="332"/>
      <c r="P176" s="332"/>
      <c r="Q176" s="332"/>
      <c r="R176" s="332"/>
      <c r="S176" s="332"/>
      <c r="T176" s="332"/>
      <c r="U176" s="332"/>
      <c r="V176" s="332"/>
      <c r="W176" s="332"/>
      <c r="X176" s="332"/>
      <c r="Y176" s="332"/>
      <c r="Z176" s="332"/>
      <c r="AA176" s="332"/>
      <c r="AB176" s="332"/>
      <c r="AC176" s="332"/>
      <c r="AD176" s="332"/>
      <c r="AE176" s="332"/>
      <c r="AF176" s="332"/>
      <c r="AG176" s="332"/>
      <c r="AH176" s="332"/>
      <c r="AI176" s="332"/>
      <c r="AJ176" s="332"/>
      <c r="AK176" s="332"/>
      <c r="AL176" s="332"/>
      <c r="AM176" s="77"/>
    </row>
    <row r="177" spans="1:39" ht="68.7" customHeight="1" x14ac:dyDescent="0.25">
      <c r="A177" s="333" t="s">
        <v>1139</v>
      </c>
      <c r="B177" s="333"/>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c r="AM177" s="77"/>
    </row>
    <row r="178" spans="1:39" ht="45" customHeight="1" x14ac:dyDescent="0.25">
      <c r="A178" s="308" t="s">
        <v>752</v>
      </c>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308"/>
      <c r="AH178" s="308"/>
      <c r="AI178" s="308"/>
      <c r="AJ178" s="308"/>
      <c r="AK178" s="308"/>
      <c r="AL178" s="308"/>
      <c r="AM178" s="77"/>
    </row>
    <row r="179" spans="1:39" ht="63.45" customHeight="1" x14ac:dyDescent="0.25">
      <c r="A179" s="308" t="s">
        <v>979</v>
      </c>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c r="AJ179" s="308"/>
      <c r="AK179" s="308"/>
      <c r="AL179" s="308"/>
      <c r="AM179" s="77"/>
    </row>
    <row r="180" spans="1:39" ht="35.700000000000003" customHeight="1" x14ac:dyDescent="0.25">
      <c r="A180" s="308" t="s">
        <v>1024</v>
      </c>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c r="AH180" s="308"/>
      <c r="AI180" s="308"/>
      <c r="AJ180" s="308"/>
      <c r="AK180" s="308"/>
      <c r="AL180" s="308"/>
      <c r="AM180" s="77"/>
    </row>
    <row r="181" spans="1:39" ht="76.95" customHeight="1" x14ac:dyDescent="0.25">
      <c r="A181" s="308" t="s">
        <v>1153</v>
      </c>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c r="AH181" s="308"/>
      <c r="AI181" s="308"/>
      <c r="AJ181" s="308"/>
      <c r="AK181" s="308"/>
      <c r="AL181" s="308"/>
      <c r="AM181" s="77"/>
    </row>
    <row r="182" spans="1:39" ht="73.95" customHeight="1" x14ac:dyDescent="0.25">
      <c r="A182" s="308" t="s">
        <v>1011</v>
      </c>
      <c r="B182" s="328"/>
      <c r="C182" s="328"/>
      <c r="D182" s="328"/>
      <c r="E182" s="328"/>
      <c r="F182" s="328"/>
      <c r="G182" s="328"/>
      <c r="H182" s="328"/>
      <c r="I182" s="328"/>
      <c r="J182" s="328"/>
      <c r="K182" s="328"/>
      <c r="L182" s="328"/>
      <c r="M182" s="328"/>
      <c r="N182" s="328"/>
      <c r="O182" s="328"/>
      <c r="P182" s="328"/>
      <c r="Q182" s="328"/>
      <c r="R182" s="328"/>
      <c r="S182" s="328"/>
      <c r="T182" s="328"/>
      <c r="U182" s="328"/>
      <c r="V182" s="328"/>
      <c r="W182" s="328"/>
      <c r="X182" s="328"/>
      <c r="Y182" s="328"/>
      <c r="Z182" s="328"/>
      <c r="AA182" s="328"/>
      <c r="AB182" s="328"/>
      <c r="AC182" s="328"/>
      <c r="AD182" s="328"/>
      <c r="AE182" s="328"/>
      <c r="AF182" s="328"/>
      <c r="AG182" s="328"/>
      <c r="AH182" s="328"/>
      <c r="AI182" s="328"/>
      <c r="AJ182" s="328"/>
      <c r="AK182" s="328"/>
      <c r="AL182" s="328"/>
      <c r="AM182" s="77"/>
    </row>
    <row r="183" spans="1:39" ht="24" customHeight="1" x14ac:dyDescent="0.25">
      <c r="A183" s="308" t="s">
        <v>1051</v>
      </c>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c r="AH183" s="308"/>
      <c r="AI183" s="308"/>
      <c r="AJ183" s="308"/>
      <c r="AK183" s="308"/>
      <c r="AL183" s="308"/>
      <c r="AM183" s="77"/>
    </row>
    <row r="184" spans="1:39" ht="26.7" customHeight="1" x14ac:dyDescent="0.25">
      <c r="A184" s="505" t="str">
        <f>IF(B17="Gmina","1)  w przypadku gminy - wójta (burmistrza, prezydenta miasta)",IF(B17="Związek międzygminny","2)  w przypadku związku międzygminnego - zarząd związku",IF(B17="","")))</f>
        <v/>
      </c>
      <c r="B184" s="505"/>
      <c r="C184" s="505"/>
      <c r="D184" s="505"/>
      <c r="E184" s="505"/>
      <c r="F184" s="505"/>
      <c r="G184" s="505"/>
      <c r="H184" s="505"/>
      <c r="I184" s="505"/>
      <c r="J184" s="505"/>
      <c r="K184" s="505"/>
      <c r="L184" s="505"/>
      <c r="M184" s="505"/>
      <c r="N184" s="505"/>
      <c r="O184" s="505"/>
      <c r="P184" s="505"/>
      <c r="Q184" s="505"/>
      <c r="R184" s="505"/>
      <c r="S184" s="505"/>
      <c r="T184" s="505"/>
      <c r="U184" s="505"/>
      <c r="V184" s="505"/>
      <c r="W184" s="505"/>
      <c r="X184" s="505"/>
      <c r="Y184" s="505"/>
      <c r="Z184" s="505"/>
      <c r="AA184" s="505"/>
      <c r="AB184" s="505"/>
      <c r="AC184" s="505"/>
      <c r="AD184" s="505"/>
      <c r="AE184" s="505"/>
      <c r="AF184" s="505"/>
      <c r="AG184" s="505"/>
      <c r="AH184" s="505"/>
      <c r="AI184" s="505"/>
      <c r="AJ184" s="505"/>
      <c r="AK184" s="505"/>
      <c r="AL184" s="505"/>
      <c r="AM184" s="454" t="s">
        <v>978</v>
      </c>
    </row>
    <row r="185" spans="1:39" ht="45" customHeight="1" x14ac:dyDescent="0.3">
      <c r="A185" s="776" t="s">
        <v>753</v>
      </c>
      <c r="B185" s="776"/>
      <c r="C185" s="776"/>
      <c r="D185" s="776"/>
      <c r="E185" s="776"/>
      <c r="F185" s="776"/>
      <c r="G185" s="776"/>
      <c r="H185" s="776"/>
      <c r="I185" s="776"/>
      <c r="J185" s="776"/>
      <c r="K185" s="776"/>
      <c r="L185" s="776"/>
      <c r="M185" s="776"/>
      <c r="N185" s="776"/>
      <c r="O185" s="776"/>
      <c r="P185" s="776"/>
      <c r="Q185" s="776"/>
      <c r="R185" s="776"/>
      <c r="S185" s="776"/>
      <c r="T185" s="776"/>
      <c r="U185" s="776"/>
      <c r="V185" s="776"/>
      <c r="W185" s="776"/>
      <c r="X185" s="776"/>
      <c r="Y185" s="776"/>
      <c r="Z185" s="776"/>
      <c r="AA185" s="776"/>
      <c r="AB185" s="776"/>
      <c r="AC185" s="776"/>
      <c r="AD185" s="776"/>
      <c r="AE185" s="776"/>
      <c r="AF185" s="776"/>
      <c r="AG185" s="776"/>
      <c r="AH185" s="776"/>
      <c r="AI185" s="776"/>
      <c r="AJ185" s="776"/>
      <c r="AK185" s="776"/>
      <c r="AL185" s="776"/>
      <c r="AM185" s="455"/>
    </row>
    <row r="186" spans="1:39" ht="14.25" customHeight="1" x14ac:dyDescent="0.25">
      <c r="A186" s="449" t="s">
        <v>1148</v>
      </c>
      <c r="B186" s="449"/>
      <c r="C186" s="449"/>
      <c r="D186" s="449"/>
      <c r="E186" s="449"/>
      <c r="F186" s="449"/>
      <c r="G186" s="449"/>
      <c r="H186" s="449"/>
      <c r="I186" s="449"/>
      <c r="J186" s="449"/>
      <c r="K186" s="449"/>
      <c r="L186" s="449"/>
      <c r="M186" s="449"/>
      <c r="N186" s="449"/>
      <c r="O186" s="449"/>
      <c r="P186" s="449"/>
      <c r="Q186" s="449"/>
      <c r="R186" s="449"/>
      <c r="S186" s="449"/>
      <c r="T186" s="449"/>
      <c r="U186" s="449"/>
      <c r="V186" s="449"/>
      <c r="W186" s="449"/>
      <c r="X186" s="449"/>
      <c r="Y186" s="449"/>
      <c r="Z186" s="449"/>
      <c r="AA186" s="449"/>
      <c r="AB186" s="449"/>
      <c r="AC186" s="449"/>
      <c r="AD186" s="449"/>
      <c r="AE186" s="449"/>
      <c r="AF186" s="449"/>
      <c r="AG186" s="449"/>
      <c r="AH186" s="449"/>
      <c r="AI186" s="449"/>
      <c r="AJ186" s="449"/>
      <c r="AK186" s="449"/>
      <c r="AL186" s="449"/>
    </row>
    <row r="187" spans="1:39" ht="14.25" customHeight="1" x14ac:dyDescent="0.25">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c r="W187" s="450"/>
      <c r="X187" s="450"/>
      <c r="Y187" s="450"/>
      <c r="Z187" s="450"/>
      <c r="AA187" s="450"/>
      <c r="AB187" s="450"/>
      <c r="AC187" s="450"/>
      <c r="AD187" s="450"/>
      <c r="AE187" s="450"/>
      <c r="AF187" s="450"/>
      <c r="AG187" s="450"/>
      <c r="AH187" s="450"/>
      <c r="AI187" s="450"/>
      <c r="AJ187" s="450"/>
      <c r="AK187" s="450"/>
      <c r="AL187" s="450"/>
    </row>
    <row r="188" spans="1:39" ht="14.25" customHeight="1" x14ac:dyDescent="0.25">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c r="W188" s="450"/>
      <c r="X188" s="450"/>
      <c r="Y188" s="450"/>
      <c r="Z188" s="450"/>
      <c r="AA188" s="450"/>
      <c r="AB188" s="450"/>
      <c r="AC188" s="450"/>
      <c r="AD188" s="450"/>
      <c r="AE188" s="450"/>
      <c r="AF188" s="450"/>
      <c r="AG188" s="450"/>
      <c r="AH188" s="450"/>
      <c r="AI188" s="450"/>
      <c r="AJ188" s="450"/>
      <c r="AK188" s="450"/>
      <c r="AL188" s="450"/>
    </row>
    <row r="189" spans="1:39" ht="14.25" customHeight="1" x14ac:dyDescent="0.3">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c r="W189" s="450"/>
      <c r="X189" s="450"/>
      <c r="Y189" s="450"/>
      <c r="Z189" s="450"/>
      <c r="AA189" s="450"/>
      <c r="AB189" s="450"/>
      <c r="AC189" s="450"/>
      <c r="AD189" s="450"/>
      <c r="AE189" s="450"/>
      <c r="AF189" s="450"/>
      <c r="AG189" s="450"/>
      <c r="AH189" s="450"/>
      <c r="AI189" s="450"/>
      <c r="AJ189" s="450"/>
      <c r="AK189" s="450"/>
      <c r="AL189" s="450"/>
      <c r="AM189" s="256" t="s">
        <v>1155</v>
      </c>
    </row>
    <row r="190" spans="1:39" ht="150" customHeight="1" x14ac:dyDescent="0.25">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c r="W190" s="450"/>
      <c r="X190" s="450"/>
      <c r="Y190" s="450"/>
      <c r="Z190" s="450"/>
      <c r="AA190" s="450"/>
      <c r="AB190" s="450"/>
      <c r="AC190" s="450"/>
      <c r="AD190" s="450"/>
      <c r="AE190" s="450"/>
      <c r="AF190" s="450"/>
      <c r="AG190" s="450"/>
      <c r="AH190" s="450"/>
      <c r="AI190" s="450"/>
      <c r="AJ190" s="450"/>
      <c r="AK190" s="450"/>
      <c r="AL190" s="450"/>
      <c r="AM190" s="257" t="s">
        <v>1159</v>
      </c>
    </row>
    <row r="191" spans="1:39" ht="14.25" customHeight="1" x14ac:dyDescent="0.3"/>
    <row r="192" spans="1:39"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sheetData>
  <sheetProtection algorithmName="SHA-512" hashValue="qAYDqi4vSM+yHCpKkYF8b0JVX0h4E8ogws8P2sJ1bzbf7HNLyjKrrXFzI+7tLJIS4GDK4e+/Ynq5eMZvGDmdaQ==" saltValue="Z2UqQy/fSTQHqdBvV638fw==" spinCount="100000" sheet="1" formatCells="0" formatRows="0" insertRows="0"/>
  <mergeCells count="444">
    <mergeCell ref="A176:AL176"/>
    <mergeCell ref="A177:AL177"/>
    <mergeCell ref="A1:AL1"/>
    <mergeCell ref="A183:AL183"/>
    <mergeCell ref="AM184:AM185"/>
    <mergeCell ref="B21:AL21"/>
    <mergeCell ref="A186:AL190"/>
    <mergeCell ref="B63:Y63"/>
    <mergeCell ref="B64:Y64"/>
    <mergeCell ref="B65:Y65"/>
    <mergeCell ref="B66:Y66"/>
    <mergeCell ref="B67:Y67"/>
    <mergeCell ref="B68:Y68"/>
    <mergeCell ref="B150:F150"/>
    <mergeCell ref="G150:K150"/>
    <mergeCell ref="L150:O150"/>
    <mergeCell ref="B154:K154"/>
    <mergeCell ref="L154:O154"/>
    <mergeCell ref="B147:F147"/>
    <mergeCell ref="G147:K147"/>
    <mergeCell ref="L147:O147"/>
    <mergeCell ref="B144:F144"/>
    <mergeCell ref="G144:K144"/>
    <mergeCell ref="B148:F148"/>
    <mergeCell ref="L141:O141"/>
    <mergeCell ref="L144:O144"/>
    <mergeCell ref="B145:F145"/>
    <mergeCell ref="G145:K145"/>
    <mergeCell ref="A175:AL175"/>
    <mergeCell ref="A164:AL164"/>
    <mergeCell ref="A165:AL165"/>
    <mergeCell ref="B157:S157"/>
    <mergeCell ref="T157:AJ157"/>
    <mergeCell ref="A166:AL166"/>
    <mergeCell ref="A161:AL161"/>
    <mergeCell ref="A162:AL162"/>
    <mergeCell ref="A163:AL163"/>
    <mergeCell ref="A158:AL158"/>
    <mergeCell ref="A159:AL159"/>
    <mergeCell ref="P154:S154"/>
    <mergeCell ref="T154:Z154"/>
    <mergeCell ref="AA154:AG154"/>
    <mergeCell ref="AH154:AJ154"/>
    <mergeCell ref="B156:S156"/>
    <mergeCell ref="T156:AJ156"/>
    <mergeCell ref="AK154:AL154"/>
    <mergeCell ref="G152:K152"/>
    <mergeCell ref="P151:S151"/>
    <mergeCell ref="B81:R81"/>
    <mergeCell ref="S81:AL81"/>
    <mergeCell ref="B149:F149"/>
    <mergeCell ref="G149:K149"/>
    <mergeCell ref="L149:O149"/>
    <mergeCell ref="A174:AL174"/>
    <mergeCell ref="A172:S172"/>
    <mergeCell ref="T172:AL172"/>
    <mergeCell ref="A173:S173"/>
    <mergeCell ref="T173:AL173"/>
    <mergeCell ref="B151:F151"/>
    <mergeCell ref="G151:K151"/>
    <mergeCell ref="L151:O151"/>
    <mergeCell ref="L145:O145"/>
    <mergeCell ref="B146:F146"/>
    <mergeCell ref="G146:K146"/>
    <mergeCell ref="L146:O146"/>
    <mergeCell ref="G148:K148"/>
    <mergeCell ref="L148:O148"/>
    <mergeCell ref="A169:AL169"/>
    <mergeCell ref="A170:AL170"/>
    <mergeCell ref="A168:AL168"/>
    <mergeCell ref="A171:AL171"/>
    <mergeCell ref="A155:AL155"/>
    <mergeCell ref="A60:A61"/>
    <mergeCell ref="B60:AL60"/>
    <mergeCell ref="B59:AL59"/>
    <mergeCell ref="B61:AL61"/>
    <mergeCell ref="B69:AL69"/>
    <mergeCell ref="A69:A81"/>
    <mergeCell ref="B70:AL70"/>
    <mergeCell ref="B71:R71"/>
    <mergeCell ref="S71:AL71"/>
    <mergeCell ref="B72:R72"/>
    <mergeCell ref="S72:AL72"/>
    <mergeCell ref="B73:R73"/>
    <mergeCell ref="S73:AL73"/>
    <mergeCell ref="B74:R74"/>
    <mergeCell ref="S74:AL74"/>
    <mergeCell ref="B76:AL76"/>
    <mergeCell ref="B77:R77"/>
    <mergeCell ref="S77:AL77"/>
    <mergeCell ref="B78:R78"/>
    <mergeCell ref="S78:AL78"/>
    <mergeCell ref="B79:R79"/>
    <mergeCell ref="S79:AL79"/>
    <mergeCell ref="B80:R80"/>
    <mergeCell ref="B75:R75"/>
    <mergeCell ref="B50:AI50"/>
    <mergeCell ref="B51:AI51"/>
    <mergeCell ref="B52:AI52"/>
    <mergeCell ref="B45:AL45"/>
    <mergeCell ref="A46:A47"/>
    <mergeCell ref="B46:AL46"/>
    <mergeCell ref="B47:AL47"/>
    <mergeCell ref="A58:A59"/>
    <mergeCell ref="B55:AI55"/>
    <mergeCell ref="B56:AI56"/>
    <mergeCell ref="AJ49:AL49"/>
    <mergeCell ref="AJ50:AL50"/>
    <mergeCell ref="AJ51:AL51"/>
    <mergeCell ref="AJ52:AL52"/>
    <mergeCell ref="AJ55:AL55"/>
    <mergeCell ref="AJ56:AL56"/>
    <mergeCell ref="AJ57:AL57"/>
    <mergeCell ref="B53:AI53"/>
    <mergeCell ref="B49:AI49"/>
    <mergeCell ref="S75:AL75"/>
    <mergeCell ref="A179:AL179"/>
    <mergeCell ref="B57:AI57"/>
    <mergeCell ref="A35:A42"/>
    <mergeCell ref="B37:X37"/>
    <mergeCell ref="Y37:AL37"/>
    <mergeCell ref="B38:X38"/>
    <mergeCell ref="Y38:AL38"/>
    <mergeCell ref="B39:V39"/>
    <mergeCell ref="W39:AL39"/>
    <mergeCell ref="B40:V40"/>
    <mergeCell ref="W40:AL40"/>
    <mergeCell ref="B41:AL41"/>
    <mergeCell ref="B42:AL42"/>
    <mergeCell ref="B35:AL35"/>
    <mergeCell ref="B36:AL36"/>
    <mergeCell ref="B54:AI54"/>
    <mergeCell ref="AJ53:AL53"/>
    <mergeCell ref="AJ54:AL54"/>
    <mergeCell ref="S80:AL80"/>
    <mergeCell ref="A43:A44"/>
    <mergeCell ref="B43:AL43"/>
    <mergeCell ref="B58:AL58"/>
    <mergeCell ref="B48:AL48"/>
    <mergeCell ref="L152:O152"/>
    <mergeCell ref="A185:AL185"/>
    <mergeCell ref="A184:AL184"/>
    <mergeCell ref="AJ94:AL94"/>
    <mergeCell ref="A160:AL160"/>
    <mergeCell ref="A167:AL167"/>
    <mergeCell ref="A113:AL113"/>
    <mergeCell ref="B104:AL104"/>
    <mergeCell ref="A106:AL106"/>
    <mergeCell ref="A107:AL107"/>
    <mergeCell ref="A108:AL108"/>
    <mergeCell ref="A109:AL109"/>
    <mergeCell ref="B102:AL102"/>
    <mergeCell ref="A103:AL103"/>
    <mergeCell ref="AJ98:AL98"/>
    <mergeCell ref="A126:AL126"/>
    <mergeCell ref="A127:AL127"/>
    <mergeCell ref="A128:AL128"/>
    <mergeCell ref="A124:AL124"/>
    <mergeCell ref="A120:AL120"/>
    <mergeCell ref="A121:AL121"/>
    <mergeCell ref="A122:AL122"/>
    <mergeCell ref="A182:AL182"/>
    <mergeCell ref="A178:AL178"/>
    <mergeCell ref="A180:AL180"/>
    <mergeCell ref="T151:Z151"/>
    <mergeCell ref="AA151:AG151"/>
    <mergeCell ref="AH151:AJ151"/>
    <mergeCell ref="AK151:AL151"/>
    <mergeCell ref="P150:S150"/>
    <mergeCell ref="T150:Z150"/>
    <mergeCell ref="AA150:AG150"/>
    <mergeCell ref="AH150:AJ150"/>
    <mergeCell ref="AK150:AL150"/>
    <mergeCell ref="G153:K153"/>
    <mergeCell ref="L153:O153"/>
    <mergeCell ref="B152:F152"/>
    <mergeCell ref="AK152:AL152"/>
    <mergeCell ref="P153:S153"/>
    <mergeCell ref="T153:Z153"/>
    <mergeCell ref="AA153:AG153"/>
    <mergeCell ref="AH153:AJ153"/>
    <mergeCell ref="AK153:AL153"/>
    <mergeCell ref="P152:S152"/>
    <mergeCell ref="T152:Z152"/>
    <mergeCell ref="AA152:AG152"/>
    <mergeCell ref="AH152:AJ152"/>
    <mergeCell ref="B153:F153"/>
    <mergeCell ref="AK147:AL147"/>
    <mergeCell ref="P146:S146"/>
    <mergeCell ref="T146:Z146"/>
    <mergeCell ref="AA146:AG146"/>
    <mergeCell ref="AH146:AJ146"/>
    <mergeCell ref="AK148:AL148"/>
    <mergeCell ref="P149:S149"/>
    <mergeCell ref="T149:Z149"/>
    <mergeCell ref="AA149:AG149"/>
    <mergeCell ref="AH149:AJ149"/>
    <mergeCell ref="AK149:AL149"/>
    <mergeCell ref="P148:S148"/>
    <mergeCell ref="T148:Z148"/>
    <mergeCell ref="AA148:AG148"/>
    <mergeCell ref="AH148:AJ148"/>
    <mergeCell ref="AK146:AL146"/>
    <mergeCell ref="P147:S147"/>
    <mergeCell ref="T147:Z147"/>
    <mergeCell ref="AA147:AG147"/>
    <mergeCell ref="AH147:AJ147"/>
    <mergeCell ref="AK144:AL144"/>
    <mergeCell ref="P145:S145"/>
    <mergeCell ref="T145:Z145"/>
    <mergeCell ref="AA145:AG145"/>
    <mergeCell ref="AH145:AJ145"/>
    <mergeCell ref="AK145:AL145"/>
    <mergeCell ref="P144:S144"/>
    <mergeCell ref="T144:Z144"/>
    <mergeCell ref="AA144:AG144"/>
    <mergeCell ref="AH144:AJ144"/>
    <mergeCell ref="B139:F139"/>
    <mergeCell ref="G139:K139"/>
    <mergeCell ref="L139:O139"/>
    <mergeCell ref="B140:F140"/>
    <mergeCell ref="G140:K140"/>
    <mergeCell ref="L140:O140"/>
    <mergeCell ref="AA143:AG143"/>
    <mergeCell ref="AH143:AJ143"/>
    <mergeCell ref="AK143:AL143"/>
    <mergeCell ref="P142:S142"/>
    <mergeCell ref="T142:Z142"/>
    <mergeCell ref="AA142:AG142"/>
    <mergeCell ref="AH142:AJ142"/>
    <mergeCell ref="B142:F142"/>
    <mergeCell ref="G142:K142"/>
    <mergeCell ref="L142:O142"/>
    <mergeCell ref="B143:F143"/>
    <mergeCell ref="G143:K143"/>
    <mergeCell ref="L143:O143"/>
    <mergeCell ref="AK142:AL142"/>
    <mergeCell ref="P143:S143"/>
    <mergeCell ref="T143:Z143"/>
    <mergeCell ref="B141:F141"/>
    <mergeCell ref="G141:K141"/>
    <mergeCell ref="P139:S139"/>
    <mergeCell ref="T139:Z139"/>
    <mergeCell ref="AA139:AG139"/>
    <mergeCell ref="AH139:AJ139"/>
    <mergeCell ref="AK139:AL139"/>
    <mergeCell ref="AK140:AL140"/>
    <mergeCell ref="P141:S141"/>
    <mergeCell ref="T141:Z141"/>
    <mergeCell ref="AA141:AG141"/>
    <mergeCell ref="AH141:AJ141"/>
    <mergeCell ref="AK141:AL141"/>
    <mergeCell ref="P140:S140"/>
    <mergeCell ref="T140:Z140"/>
    <mergeCell ref="AA140:AG140"/>
    <mergeCell ref="AH140:AJ140"/>
    <mergeCell ref="B136:F136"/>
    <mergeCell ref="G136:K136"/>
    <mergeCell ref="L136:O136"/>
    <mergeCell ref="B137:F137"/>
    <mergeCell ref="G137:K137"/>
    <mergeCell ref="L137:O137"/>
    <mergeCell ref="AH136:AJ136"/>
    <mergeCell ref="B138:F138"/>
    <mergeCell ref="G138:K138"/>
    <mergeCell ref="L138:O138"/>
    <mergeCell ref="P138:S138"/>
    <mergeCell ref="T138:Z138"/>
    <mergeCell ref="AA138:AG138"/>
    <mergeCell ref="AH138:AJ138"/>
    <mergeCell ref="AM62:AO62"/>
    <mergeCell ref="AK63:AL63"/>
    <mergeCell ref="B62:AL62"/>
    <mergeCell ref="AK64:AL64"/>
    <mergeCell ref="AK65:AL65"/>
    <mergeCell ref="AK66:AL66"/>
    <mergeCell ref="AK67:AL67"/>
    <mergeCell ref="A62:A68"/>
    <mergeCell ref="Z63:AJ63"/>
    <mergeCell ref="Z64:AJ64"/>
    <mergeCell ref="Z65:AJ65"/>
    <mergeCell ref="Z66:AJ66"/>
    <mergeCell ref="Z67:AJ67"/>
    <mergeCell ref="Z68:AJ68"/>
    <mergeCell ref="AK68:AL68"/>
    <mergeCell ref="AM111:AU112"/>
    <mergeCell ref="A112:AL112"/>
    <mergeCell ref="A93:A98"/>
    <mergeCell ref="B93:AL93"/>
    <mergeCell ref="B94:AI94"/>
    <mergeCell ref="B95:AI95"/>
    <mergeCell ref="B96:AI96"/>
    <mergeCell ref="B97:AI97"/>
    <mergeCell ref="AJ99:AL99"/>
    <mergeCell ref="AJ100:AL100"/>
    <mergeCell ref="AJ101:AL101"/>
    <mergeCell ref="B98:AI98"/>
    <mergeCell ref="B99:AI99"/>
    <mergeCell ref="B100:AI100"/>
    <mergeCell ref="B101:AI101"/>
    <mergeCell ref="AJ95:AL95"/>
    <mergeCell ref="AJ96:AL96"/>
    <mergeCell ref="AJ97:AL97"/>
    <mergeCell ref="A105:AL105"/>
    <mergeCell ref="B110:AL110"/>
    <mergeCell ref="B33:AL33"/>
    <mergeCell ref="B34:AL34"/>
    <mergeCell ref="A24:A25"/>
    <mergeCell ref="B24:V24"/>
    <mergeCell ref="W24:AL24"/>
    <mergeCell ref="B25:V25"/>
    <mergeCell ref="W25:AL25"/>
    <mergeCell ref="A20:A23"/>
    <mergeCell ref="B20:AL20"/>
    <mergeCell ref="B22:AL22"/>
    <mergeCell ref="B23:AL23"/>
    <mergeCell ref="A4:F4"/>
    <mergeCell ref="H4:L4"/>
    <mergeCell ref="A5:F5"/>
    <mergeCell ref="H5:L5"/>
    <mergeCell ref="A18:A19"/>
    <mergeCell ref="B18:AL18"/>
    <mergeCell ref="B19:AL19"/>
    <mergeCell ref="A11:AL11"/>
    <mergeCell ref="A12:AL12"/>
    <mergeCell ref="A13:AL13"/>
    <mergeCell ref="A15:AK15"/>
    <mergeCell ref="A16:A17"/>
    <mergeCell ref="B16:AL16"/>
    <mergeCell ref="B17:AL17"/>
    <mergeCell ref="Q8:AL8"/>
    <mergeCell ref="A9:AL9"/>
    <mergeCell ref="A7:F7"/>
    <mergeCell ref="G7:L7"/>
    <mergeCell ref="B135:F135"/>
    <mergeCell ref="A87:A90"/>
    <mergeCell ref="B87:AL87"/>
    <mergeCell ref="B88:I88"/>
    <mergeCell ref="J88:W88"/>
    <mergeCell ref="X88:AJ88"/>
    <mergeCell ref="AK88:AL88"/>
    <mergeCell ref="B89:I89"/>
    <mergeCell ref="J89:W89"/>
    <mergeCell ref="X89:AJ89"/>
    <mergeCell ref="AK89:AL89"/>
    <mergeCell ref="B90:I90"/>
    <mergeCell ref="J90:W90"/>
    <mergeCell ref="X90:AJ90"/>
    <mergeCell ref="AK90:AL90"/>
    <mergeCell ref="G135:K135"/>
    <mergeCell ref="L135:O135"/>
    <mergeCell ref="A111:AL111"/>
    <mergeCell ref="AH131:AJ131"/>
    <mergeCell ref="AK131:AL131"/>
    <mergeCell ref="P131:S131"/>
    <mergeCell ref="P133:S133"/>
    <mergeCell ref="A125:AL125"/>
    <mergeCell ref="B130:F130"/>
    <mergeCell ref="B44:S44"/>
    <mergeCell ref="T44:AL44"/>
    <mergeCell ref="N7:P7"/>
    <mergeCell ref="Q7:AA7"/>
    <mergeCell ref="AB7:AE7"/>
    <mergeCell ref="A8:P8"/>
    <mergeCell ref="A82:A86"/>
    <mergeCell ref="B82:AL82"/>
    <mergeCell ref="B83:AA83"/>
    <mergeCell ref="AB83:AL83"/>
    <mergeCell ref="B84:AA84"/>
    <mergeCell ref="AB84:AL84"/>
    <mergeCell ref="B85:AA85"/>
    <mergeCell ref="AB85:AL85"/>
    <mergeCell ref="B86:AA86"/>
    <mergeCell ref="AB86:AL86"/>
    <mergeCell ref="A26:A34"/>
    <mergeCell ref="B26:AL26"/>
    <mergeCell ref="B27:AL27"/>
    <mergeCell ref="B28:AL28"/>
    <mergeCell ref="B29:AL29"/>
    <mergeCell ref="B30:AL30"/>
    <mergeCell ref="B31:AL31"/>
    <mergeCell ref="B32:AL32"/>
    <mergeCell ref="G130:K130"/>
    <mergeCell ref="L130:O130"/>
    <mergeCell ref="AK133:AL133"/>
    <mergeCell ref="L131:O131"/>
    <mergeCell ref="B132:F132"/>
    <mergeCell ref="G132:K132"/>
    <mergeCell ref="AH134:AJ134"/>
    <mergeCell ref="AA134:AG134"/>
    <mergeCell ref="B134:F134"/>
    <mergeCell ref="G134:K134"/>
    <mergeCell ref="L134:O134"/>
    <mergeCell ref="L132:O132"/>
    <mergeCell ref="B133:F133"/>
    <mergeCell ref="G133:K133"/>
    <mergeCell ref="L133:O133"/>
    <mergeCell ref="AK134:AL134"/>
    <mergeCell ref="T131:Z131"/>
    <mergeCell ref="AA131:AG131"/>
    <mergeCell ref="T132:Z132"/>
    <mergeCell ref="AA132:AG132"/>
    <mergeCell ref="AH132:AJ132"/>
    <mergeCell ref="AK132:AL132"/>
    <mergeCell ref="P134:S134"/>
    <mergeCell ref="T134:Z134"/>
    <mergeCell ref="AK137:AL137"/>
    <mergeCell ref="P136:S136"/>
    <mergeCell ref="T136:Z136"/>
    <mergeCell ref="AA136:AG136"/>
    <mergeCell ref="P135:S135"/>
    <mergeCell ref="T135:Z135"/>
    <mergeCell ref="AA135:AG135"/>
    <mergeCell ref="AH135:AJ135"/>
    <mergeCell ref="AK135:AL135"/>
    <mergeCell ref="AK136:AL136"/>
    <mergeCell ref="P137:S137"/>
    <mergeCell ref="T137:Z137"/>
    <mergeCell ref="AA137:AG137"/>
    <mergeCell ref="AH137:AJ137"/>
    <mergeCell ref="A181:AL181"/>
    <mergeCell ref="B131:F131"/>
    <mergeCell ref="G131:K131"/>
    <mergeCell ref="A91:A92"/>
    <mergeCell ref="B91:AL91"/>
    <mergeCell ref="B92:AL92"/>
    <mergeCell ref="P130:S130"/>
    <mergeCell ref="T130:Z130"/>
    <mergeCell ref="AA130:AG130"/>
    <mergeCell ref="AH130:AJ130"/>
    <mergeCell ref="AK130:AL130"/>
    <mergeCell ref="A118:AL118"/>
    <mergeCell ref="A119:AL119"/>
    <mergeCell ref="A123:AL123"/>
    <mergeCell ref="A114:AL114"/>
    <mergeCell ref="A115:AL115"/>
    <mergeCell ref="A116:AL116"/>
    <mergeCell ref="A117:AL117"/>
    <mergeCell ref="A129:AL129"/>
    <mergeCell ref="T133:Z133"/>
    <mergeCell ref="AA133:AG133"/>
    <mergeCell ref="AH133:AJ133"/>
    <mergeCell ref="AK138:AL138"/>
    <mergeCell ref="P132:S132"/>
  </mergeCells>
  <conditionalFormatting sqref="A103">
    <cfRule type="expression" dxfId="72" priority="262">
      <formula>IF(A103="",1,0)</formula>
    </cfRule>
  </conditionalFormatting>
  <conditionalFormatting sqref="A106">
    <cfRule type="expression" dxfId="71" priority="261">
      <formula>IF(A106="",1,0)</formula>
    </cfRule>
  </conditionalFormatting>
  <conditionalFormatting sqref="A108">
    <cfRule type="expression" dxfId="69" priority="257">
      <formula>IF(A108="",1,0)</formula>
    </cfRule>
  </conditionalFormatting>
  <conditionalFormatting sqref="A113">
    <cfRule type="expression" dxfId="68" priority="31">
      <formula>IF($A$113="",1,0)</formula>
    </cfRule>
  </conditionalFormatting>
  <conditionalFormatting sqref="A115">
    <cfRule type="expression" dxfId="66" priority="30">
      <formula>IF($A$115="",1,0)</formula>
    </cfRule>
  </conditionalFormatting>
  <conditionalFormatting sqref="A117 A119">
    <cfRule type="expression" dxfId="65" priority="894">
      <formula>IF($A$117="",1,0)</formula>
    </cfRule>
  </conditionalFormatting>
  <conditionalFormatting sqref="A126">
    <cfRule type="expression" dxfId="62" priority="170">
      <formula>IF(A126="",1,0)</formula>
    </cfRule>
  </conditionalFormatting>
  <conditionalFormatting sqref="A128">
    <cfRule type="expression" dxfId="61" priority="167">
      <formula>IF(A128="",1,0)</formula>
    </cfRule>
  </conditionalFormatting>
  <conditionalFormatting sqref="A159:A163">
    <cfRule type="expression" dxfId="60" priority="29">
      <formula>IF(A159="",1,0)</formula>
    </cfRule>
  </conditionalFormatting>
  <conditionalFormatting sqref="A165:A166">
    <cfRule type="expression" dxfId="58" priority="6">
      <formula>IF(A165="",1,0)</formula>
    </cfRule>
  </conditionalFormatting>
  <conditionalFormatting sqref="A168:A177">
    <cfRule type="expression" dxfId="57" priority="2">
      <formula>IF(A168="",1,0)</formula>
    </cfRule>
  </conditionalFormatting>
  <conditionalFormatting sqref="A179:A181">
    <cfRule type="expression" dxfId="56" priority="1">
      <formula>IF(A179="",1,0)</formula>
    </cfRule>
  </conditionalFormatting>
  <conditionalFormatting sqref="B21">
    <cfRule type="expression" dxfId="51" priority="17">
      <formula>IF(B21="",1,0)</formula>
    </cfRule>
  </conditionalFormatting>
  <conditionalFormatting sqref="B23">
    <cfRule type="expression" dxfId="50" priority="9">
      <formula>IF(B23="",1,0)</formula>
    </cfRule>
  </conditionalFormatting>
  <conditionalFormatting sqref="B25 W25 B36">
    <cfRule type="expression" dxfId="49" priority="77">
      <formula>IF(B25="",1,0)</formula>
    </cfRule>
  </conditionalFormatting>
  <conditionalFormatting sqref="B28">
    <cfRule type="expression" dxfId="48" priority="76">
      <formula>IF(B28="",1,0)</formula>
    </cfRule>
  </conditionalFormatting>
  <conditionalFormatting sqref="B30">
    <cfRule type="expression" dxfId="47" priority="74">
      <formula>IF(B30="",1,0)</formula>
    </cfRule>
  </conditionalFormatting>
  <conditionalFormatting sqref="B32">
    <cfRule type="expression" dxfId="46" priority="75">
      <formula>IF(B32="",1,0)</formula>
    </cfRule>
  </conditionalFormatting>
  <conditionalFormatting sqref="B34">
    <cfRule type="expression" dxfId="45" priority="73">
      <formula>IF(B34="",1,0)</formula>
    </cfRule>
  </conditionalFormatting>
  <conditionalFormatting sqref="B38">
    <cfRule type="expression" dxfId="44" priority="71">
      <formula>IF(B38="",1,0)</formula>
    </cfRule>
  </conditionalFormatting>
  <conditionalFormatting sqref="B44">
    <cfRule type="expression" dxfId="43" priority="10">
      <formula>IF(B44="",1,0)</formula>
    </cfRule>
  </conditionalFormatting>
  <conditionalFormatting sqref="B58:B59">
    <cfRule type="expression" dxfId="41" priority="61">
      <formula>IF(B58="",1,0)</formula>
    </cfRule>
  </conditionalFormatting>
  <conditionalFormatting sqref="B61">
    <cfRule type="expression" dxfId="40" priority="60">
      <formula>IF(B61="",1,0)</formula>
    </cfRule>
  </conditionalFormatting>
  <conditionalFormatting sqref="B70:B86">
    <cfRule type="expression" dxfId="39" priority="7">
      <formula>IF(B70="",1,0)</formula>
    </cfRule>
  </conditionalFormatting>
  <conditionalFormatting sqref="B132:B153">
    <cfRule type="expression" dxfId="38" priority="86">
      <formula>IF(B132="",1,0)</formula>
    </cfRule>
  </conditionalFormatting>
  <conditionalFormatting sqref="B17:AL17 B19">
    <cfRule type="expression" dxfId="37" priority="232">
      <formula>IF(B17="",1,0)</formula>
    </cfRule>
  </conditionalFormatting>
  <conditionalFormatting sqref="G132:G153">
    <cfRule type="expression" dxfId="36" priority="102">
      <formula>IF(G132="",1,0)</formula>
    </cfRule>
  </conditionalFormatting>
  <conditionalFormatting sqref="L132:L153">
    <cfRule type="expression" dxfId="34" priority="101">
      <formula>IF(L132="",1,0)</formula>
    </cfRule>
  </conditionalFormatting>
  <conditionalFormatting sqref="N7">
    <cfRule type="expression" dxfId="33" priority="20">
      <formula>IF(N7="",1,0)</formula>
    </cfRule>
  </conditionalFormatting>
  <conditionalFormatting sqref="P132:P153">
    <cfRule type="expression" dxfId="32" priority="14">
      <formula>IF(P132="",1,0)</formula>
    </cfRule>
  </conditionalFormatting>
  <conditionalFormatting sqref="Q8:AL8">
    <cfRule type="expression" dxfId="31" priority="18">
      <formula>IF(Q8="",1,0)</formula>
    </cfRule>
  </conditionalFormatting>
  <conditionalFormatting sqref="S71:S75">
    <cfRule type="expression" dxfId="30" priority="54">
      <formula>IF(S71="",1,0)</formula>
    </cfRule>
  </conditionalFormatting>
  <conditionalFormatting sqref="S77:S81">
    <cfRule type="expression" dxfId="29" priority="47">
      <formula>IF(S77="",1,0)</formula>
    </cfRule>
  </conditionalFormatting>
  <conditionalFormatting sqref="T156:T157">
    <cfRule type="expression" dxfId="28" priority="166">
      <formula>IF(T156="",1,0)</formula>
    </cfRule>
  </conditionalFormatting>
  <conditionalFormatting sqref="T173">
    <cfRule type="expression" dxfId="27" priority="21">
      <formula>IF(T173="",1,0)</formula>
    </cfRule>
  </conditionalFormatting>
  <conditionalFormatting sqref="W40 B40:B42">
    <cfRule type="expression" dxfId="26" priority="72">
      <formula>IF(B40="",1,0)</formula>
    </cfRule>
  </conditionalFormatting>
  <conditionalFormatting sqref="Y38">
    <cfRule type="expression" dxfId="24" priority="70">
      <formula>IF(Y38="",1,0)</formula>
    </cfRule>
  </conditionalFormatting>
  <conditionalFormatting sqref="Z64:Z65">
    <cfRule type="expression" dxfId="23" priority="197">
      <formula>IF(Z64="",1,0)</formula>
    </cfRule>
  </conditionalFormatting>
  <conditionalFormatting sqref="Z67">
    <cfRule type="expression" dxfId="22" priority="196">
      <formula>IF(Z67="",1,0)</formula>
    </cfRule>
  </conditionalFormatting>
  <conditionalFormatting sqref="Z68">
    <cfRule type="expression" dxfId="21" priority="7283">
      <formula>IF($Z$68&lt;&gt;$AK$154,1,0)</formula>
    </cfRule>
  </conditionalFormatting>
  <conditionalFormatting sqref="AB7">
    <cfRule type="expression" dxfId="20" priority="19">
      <formula>IF(AB7="",1,0)</formula>
    </cfRule>
  </conditionalFormatting>
  <conditionalFormatting sqref="AB83:AB86">
    <cfRule type="expression" dxfId="19" priority="40">
      <formula>IF(AB83="",1,0)</formula>
    </cfRule>
  </conditionalFormatting>
  <conditionalFormatting sqref="AH132:AH153">
    <cfRule type="expression" dxfId="18" priority="107">
      <formula>IF(AH132="",1,0)</formula>
    </cfRule>
  </conditionalFormatting>
  <dataValidations xWindow="284" yWindow="602" count="43">
    <dataValidation allowBlank="1" showInputMessage="1" showErrorMessage="1" promptTitle="Wprowadź" prompt="nr księgi wieczystej - nr działki ewidencyjnej" sqref="A168:AL168" xr:uid="{00000000-0002-0000-1000-000000000000}"/>
    <dataValidation type="decimal" allowBlank="1" showInputMessage="1" showErrorMessage="1" sqref="AH132:AJ153" xr:uid="{00000000-0002-0000-1000-000001000000}">
      <formula1>0</formula1>
      <formula2>1</formula2>
    </dataValidation>
    <dataValidation allowBlank="1" showErrorMessage="1" promptTitle="Wybierz" prompt="właściwy rodzaj" sqref="A111:AL111" xr:uid="{00000000-0002-0000-1000-000002000000}"/>
    <dataValidation allowBlank="1" showErrorMessage="1" promptTitle="Wybierz" prompt="właściwe" sqref="A185:AL185 A164:AL164 A166:AL166" xr:uid="{00000000-0002-0000-1000-000003000000}"/>
    <dataValidation allowBlank="1" showInputMessage="1" sqref="AM166 AM164 AN164:XFD166" xr:uid="{00000000-0002-0000-1000-000004000000}"/>
    <dataValidation type="decimal" allowBlank="1" showInputMessage="1" showErrorMessage="1" promptTitle="Wprowadź" prompt="wielkość dla budynku nr 3" sqref="X88:X90" xr:uid="{00000000-0002-0000-1000-000005000000}">
      <formula1>0</formula1>
      <formula2>1E+58</formula2>
    </dataValidation>
    <dataValidation allowBlank="1" showInputMessage="1" showErrorMessage="1" promptTitle="Wybierz" prompt="właściwe" sqref="B110:AL110" xr:uid="{981C54DC-E092-471A-B7B0-D88DD07AC4B9}"/>
    <dataValidation type="decimal" allowBlank="1" showInputMessage="1" showErrorMessage="1" promptTitle="Wprowadź" prompt="wielkość dla budynku nr 4" sqref="AK88:AK90" xr:uid="{00000000-0002-0000-1000-000007000000}">
      <formula1>0</formula1>
      <formula2>1E+51</formula2>
    </dataValidation>
    <dataValidation type="decimal" allowBlank="1" showInputMessage="1" showErrorMessage="1" promptTitle="Wprowadź" prompt="wielkość dla budynku nr 2" sqref="J89:J90" xr:uid="{00000000-0002-0000-1000-000008000000}">
      <formula1>0</formula1>
      <formula2>1E+46</formula2>
    </dataValidation>
    <dataValidation type="textLength" operator="equal" allowBlank="1" showInputMessage="1" showErrorMessage="1" errorTitle="NIP" error="NIP to ciąg dziesięciu cyfr np. 5719611245" promptTitle="Wprowadź" prompt="NIP" sqref="B25:V25" xr:uid="{00000000-0002-0000-1000-000009000000}">
      <formula1>10</formula1>
    </dataValidation>
    <dataValidation allowBlank="1" showInputMessage="1" showErrorMessage="1" promptTitle="Wprowadź" prompt="nazwę Inwestora" sqref="B36:AL36" xr:uid="{00000000-0002-0000-1000-00000B000000}"/>
    <dataValidation type="textLength" operator="equal" allowBlank="1" showInputMessage="1" showErrorMessage="1" errorTitle="REGON" error="REGON to ciąg dziewięciu cyfr np. 571961124" promptTitle="Wprowadź" prompt="nr REGON" sqref="W25:AL25" xr:uid="{00000000-0002-0000-1000-00000C000000}">
      <formula1>9</formula1>
    </dataValidation>
    <dataValidation allowBlank="1" showInputMessage="1" showErrorMessage="1" promptTitle="Wprowadź" prompt="adres przedsięwzięcia" sqref="A117 A113:A115" xr:uid="{00000000-0002-0000-1000-00000D000000}"/>
    <dataValidation type="decimal" allowBlank="1" showInputMessage="1" showErrorMessage="1" promptTitle="Wprowadź" prompt="kwotę" sqref="B47:AL47 AJ49:AJ57" xr:uid="{00000000-0002-0000-1000-00000E000000}">
      <formula1>0</formula1>
      <formula2>1E+44</formula2>
    </dataValidation>
    <dataValidation allowBlank="1" showInputMessage="1" showErrorMessage="1" promptTitle="Wprowadź" prompt="dane" sqref="B28:AL28 B30:AL30" xr:uid="{00000000-0002-0000-1000-00000F000000}"/>
    <dataValidation allowBlank="1" showInputMessage="1" showErrorMessage="1" promptTitle="Wprowadź" prompt="adres beneficjenta" sqref="B21" xr:uid="{00000000-0002-0000-1000-000010000000}"/>
    <dataValidation allowBlank="1" showInputMessage="1" showErrorMessage="1" promptTitle="Wprowadź" prompt="nazwę beneficjenta" sqref="B19" xr:uid="{00000000-0002-0000-1000-000011000000}"/>
    <dataValidation allowBlank="1" showInputMessage="1" showErrorMessage="1" promptTitle="Wybierz" prompt="właściwy kwartał" sqref="B87:AL87 B91:AL91" xr:uid="{00000000-0002-0000-1000-000012000000}"/>
    <dataValidation type="whole" allowBlank="1" showInputMessage="1" showErrorMessage="1" sqref="B92:AL92" xr:uid="{00000000-0002-0000-1000-000013000000}">
      <formula1>1</formula1>
      <formula2>100</formula2>
    </dataValidation>
    <dataValidation type="decimal" operator="greaterThanOrEqual" allowBlank="1" showInputMessage="1" showErrorMessage="1" sqref="AJ94:AL101 A119:AL119" xr:uid="{00000000-0002-0000-1000-000014000000}">
      <formula1>0</formula1>
    </dataValidation>
    <dataValidation allowBlank="1" showInputMessage="1" showErrorMessage="1" promptTitle="Wprowadź informację" sqref="A123:AL123" xr:uid="{00000000-0002-0000-1000-000015000000}"/>
    <dataValidation allowBlank="1" showInputMessage="1" showErrorMessage="1" promptTitle="Wprowadź" prompt="kwotę" sqref="B48:AL48" xr:uid="{00000000-0002-0000-1000-000016000000}"/>
    <dataValidation type="textLength" operator="equal" allowBlank="1" showInputMessage="1" showErrorMessage="1" errorTitle="REGON" error="REGON to ciąg dziewięciu cyfr np. 571961124" promptTitle="Wprowadź" prompt="nr REGON inwestora" sqref="W40:AL40" xr:uid="{00000000-0002-0000-1000-000017000000}">
      <formula1>9</formula1>
    </dataValidation>
    <dataValidation type="textLength" operator="equal" allowBlank="1" showInputMessage="1" showErrorMessage="1" errorTitle="NIP" error="NIP to ciąg dziesięciu cyfr np. 5719611245" promptTitle="Wprowadź" prompt="NIP inwestora" sqref="B40:V40" xr:uid="{00000000-0002-0000-1000-000018000000}">
      <formula1>10</formula1>
    </dataValidation>
    <dataValidation allowBlank="1" showInputMessage="1" showErrorMessage="1" promptTitle="Wprowadź" prompt="adres inwestora" sqref="B38:X38" xr:uid="{00000000-0002-0000-1000-00001A000000}"/>
    <dataValidation allowBlank="1" showInputMessage="1" showErrorMessage="1" promptTitle="Wprowadź" prompt="adres ePUAP inwestora_x000a_" sqref="Y38:AL38" xr:uid="{00000000-0002-0000-1000-00001B000000}"/>
    <dataValidation type="textLength" operator="equal" allowBlank="1" showInputMessage="1" errorTitle="KRS" promptTitle="Wprowadź" prompt="numer KRS inwestora" sqref="B42:AL42" xr:uid="{00000000-0002-0000-1000-00001C000000}">
      <formula1>10</formula1>
    </dataValidation>
    <dataValidation allowBlank="1" showInputMessage="1" showErrorMessage="1" promptTitle="Wprowadź" prompt="adres ePUAP beneficjenta" sqref="B22" xr:uid="{F8996AF8-DD18-4AA4-BF77-9701A2952AF7}"/>
    <dataValidation type="decimal" allowBlank="1" showInputMessage="1" showErrorMessage="1" promptTitle="Wprowadź" prompt="kwotę" sqref="Z66" xr:uid="{00000000-0002-0000-1000-00001E000000}">
      <formula1>0</formula1>
      <formula2>100000000000000000</formula2>
    </dataValidation>
    <dataValidation type="decimal" allowBlank="1" showInputMessage="1" showErrorMessage="1" promptTitle="Wprowadź" prompt="kwotę" sqref="Z67" xr:uid="{00000000-0002-0000-1000-00001F000000}">
      <formula1>0</formula1>
      <formula2>10000000000000000000</formula2>
    </dataValidation>
    <dataValidation allowBlank="1" promptTitle="Wprowadź" sqref="B70:AL70" xr:uid="{00000000-0002-0000-1000-000020000000}"/>
    <dataValidation allowBlank="1" promptTitle="Wprowadź" prompt="numer rachunku bankowego" sqref="C77:R80 C71:R74 B71:B86" xr:uid="{00000000-0002-0000-1000-000021000000}"/>
    <dataValidation allowBlank="1" showInputMessage="1" showErrorMessage="1" promptTitle="Wprowadź" prompt="wartość_x000a_" sqref="S81 T71:AL74 S71:S75 S77:AL80 AB85" xr:uid="{00000000-0002-0000-1000-000022000000}"/>
    <dataValidation allowBlank="1" showInputMessage="1" showErrorMessage="1" promptTitle="Wprowadź" prompt="wielkość" sqref="A121:AL121" xr:uid="{00000000-0002-0000-1000-000023000000}"/>
    <dataValidation allowBlank="1" showErrorMessage="1" promptTitle="Wprowadź" prompt="nr księgi wieczystej - nr działki ewidencyjnej" sqref="A169:AL169 A179:AL179 A180:A181" xr:uid="{00000000-0002-0000-1000-000024000000}"/>
    <dataValidation allowBlank="1" showErrorMessage="1" promptTitle="Wybierz" prompt="właściwe oświadczenie" sqref="A160:AL160 A162:AL162" xr:uid="{00000000-0002-0000-1000-000025000000}"/>
    <dataValidation type="decimal" allowBlank="1" showInputMessage="1" promptTitle="Wybierz" prompt="właściwą wysokość wsparcia lub wpiszmniejszą wartość" sqref="T156:AJ156" xr:uid="{00000000-0002-0000-1000-000026000000}">
      <formula1>0</formula1>
      <formula2>0.8</formula2>
    </dataValidation>
    <dataValidation type="whole" allowBlank="1" showInputMessage="1" showErrorMessage="1" promptTitle="Wybierz" prompt="właściwe" sqref="T157:AJ157" xr:uid="{00000000-0002-0000-1000-000027000000}">
      <formula1>0</formula1>
      <formula2>121</formula2>
    </dataValidation>
    <dataValidation allowBlank="1" showInputMessage="1" showErrorMessage="1" promptTitle="Wprowadź" prompt="Adres do doręczeń elektronicznych" sqref="B23:AL23" xr:uid="{5D6D1E4C-4B6E-4E64-A61B-F5F3391DCACB}"/>
    <dataValidation type="date" operator="greaterThanOrEqual" allowBlank="1" showInputMessage="1" showErrorMessage="1" promptTitle="Wprowadź" prompt="datę w formacie rrrr-mm-dd_x000a_" sqref="B61:AL61" xr:uid="{00000000-0002-0000-1000-000029000000}">
      <formula1>H23</formula1>
    </dataValidation>
    <dataValidation allowBlank="1" showInputMessage="1" showErrorMessage="1" promptTitle="Wprowadź" prompt="numery działek ewidencyjnych" sqref="A116" xr:uid="{00000000-0002-0000-1000-00002A000000}"/>
    <dataValidation type="textLength" operator="equal" allowBlank="1" showInputMessage="1" promptTitle="Wprowadź" prompt="numer rachunku bankowego" sqref="T44:AL44" xr:uid="{978CE22F-C026-4C8A-BE52-4D75331C7839}">
      <formula1>26</formula1>
    </dataValidation>
    <dataValidation type="textLength" operator="equal" showInputMessage="1" promptTitle="Wprowadź" prompt="numer rachunku bankowego tj. 26 cyfr" sqref="B44:S44" xr:uid="{376C3D9E-31AA-4BDA-9034-FD5EF01DE491}">
      <formula1>26</formula1>
    </dataValidation>
  </dataValidations>
  <hyperlinks>
    <hyperlink ref="AM47" location="'Przedsięwzięcia infrast gzm'!B126" display="Kliknij &quot;tutaj&quot; i przejdź do wypełnienia zestawienia kosztów" xr:uid="{00000000-0004-0000-1000-000000000000}"/>
    <hyperlink ref="B47:AL47" location="'Przedsięwzięcia infrast gzm'!B126" display="'Przedsięwzięcia infrast gzm'!B126" xr:uid="{00000000-0004-0000-1000-000001000000}"/>
    <hyperlink ref="AM157" location="'Przedsięwzięcia infrast gzm'!B47" display="Wróć do wypełniania wniosku" xr:uid="{00000000-0004-0000-1000-000002000000}"/>
    <hyperlink ref="AM20" r:id="rId1" display="Weryfikocji można dokonać na stronie internetowej -&gt; https://eteryt.stat.gov.pl/eTeryt/rejestr_teryt/udostepnianie_danych/baza_teryt/uzytkownicy_indywidualni/wyszukiwanie/wyszukiwanie.aspx?contrast=default" xr:uid="{00000000-0004-0000-1000-000003000000}"/>
    <hyperlink ref="AM22" r:id="rId2" xr:uid="{00000000-0004-0000-1000-000004000000}"/>
    <hyperlink ref="AM18" r:id="rId3" xr:uid="{00000000-0004-0000-1000-000005000000}"/>
    <hyperlink ref="AM24" r:id="rId4" xr:uid="{00000000-0004-0000-1000-000006000000}"/>
    <hyperlink ref="AM41" r:id="rId5" xr:uid="{00000000-0004-0000-1000-000007000000}"/>
    <hyperlink ref="AM190" r:id="rId6" xr:uid="{8FF95D59-3CF3-4B80-BAE4-4FB106003BB0}"/>
  </hyperlinks>
  <pageMargins left="0.70866141732283472" right="0.70866141732283472" top="0.74803149606299213" bottom="0.74803149606299213" header="0.31496062992125984" footer="0.31496062992125984"/>
  <pageSetup paperSize="9" orientation="portrait" r:id="rId7"/>
  <headerFooter>
    <oddFooter>&amp;LStrona &amp;P z &amp;N&amp;R&amp;F&amp;A</oddFooter>
  </headerFooter>
  <drawing r:id="rId8"/>
  <extLst>
    <ext xmlns:x14="http://schemas.microsoft.com/office/spreadsheetml/2009/9/main" uri="{78C0D931-6437-407d-A8EE-F0AAD7539E65}">
      <x14:conditionalFormattings>
        <x14:conditionalFormatting xmlns:xm="http://schemas.microsoft.com/office/excel/2006/main">
          <x14:cfRule type="expression" priority="4896" id="{4A82859B-B16D-44C5-A86F-772C4B8F85AA}">
            <xm:f>IF('Wniosek art 5 budowa'!A4="",1,0)</xm:f>
            <x14:dxf>
              <fill>
                <patternFill>
                  <bgColor theme="4" tint="-0.24994659260841701"/>
                </patternFill>
              </fill>
            </x14:dxf>
          </x14:cfRule>
          <xm:sqref>A4 H4 AJ49:AJ53 AJ57 AJ94:AJ98</xm:sqref>
        </x14:conditionalFormatting>
        <x14:conditionalFormatting xmlns:xm="http://schemas.microsoft.com/office/excel/2006/main">
          <x14:cfRule type="expression" priority="7037" id="{DA167B28-CCE8-4816-9E1A-584228BDAD59}">
            <xm:f>IF('Wniosek art 5 budowa'!A91="",1,0)</xm:f>
            <x14:dxf>
              <fill>
                <patternFill>
                  <bgColor theme="4" tint="-0.24994659260841701"/>
                </patternFill>
              </fill>
            </x14:dxf>
          </x14:cfRule>
          <xm:sqref>A107 A109</xm:sqref>
        </x14:conditionalFormatting>
        <x14:conditionalFormatting xmlns:xm="http://schemas.microsoft.com/office/excel/2006/main">
          <x14:cfRule type="expression" priority="37" id="{7DD16384-E984-4179-A538-926AC3E48561}">
            <xm:f>IF('Wniosek art 5 budowa'!A105="",1,0)</xm:f>
            <x14:dxf>
              <fill>
                <patternFill>
                  <bgColor theme="4" tint="-0.24994659260841701"/>
                </patternFill>
              </fill>
            </x14:dxf>
          </x14:cfRule>
          <xm:sqref>A114</xm:sqref>
        </x14:conditionalFormatting>
        <x14:conditionalFormatting xmlns:xm="http://schemas.microsoft.com/office/excel/2006/main">
          <x14:cfRule type="expression" priority="175" id="{ECE6D94F-0A3D-4AEF-9CF9-DC9EE49DB9DF}">
            <xm:f>IF('Wniosek art 5 budowa'!#REF!="",1,0)</xm:f>
            <x14:dxf>
              <fill>
                <patternFill>
                  <bgColor theme="4" tint="-0.24994659260841701"/>
                </patternFill>
              </fill>
            </x14:dxf>
          </x14:cfRule>
          <xm:sqref>A121</xm:sqref>
        </x14:conditionalFormatting>
        <x14:conditionalFormatting xmlns:xm="http://schemas.microsoft.com/office/excel/2006/main">
          <x14:cfRule type="expression" priority="174" id="{44181DE7-85FA-48B4-B433-EAD9B9C66ACA}">
            <xm:f>IF('Wniosek art 5 budowa'!A108="",1,0)</xm:f>
            <x14:dxf>
              <fill>
                <patternFill>
                  <bgColor theme="4" tint="-0.24994659260841701"/>
                </patternFill>
              </fill>
            </x14:dxf>
          </x14:cfRule>
          <xm:sqref>A123</xm:sqref>
        </x14:conditionalFormatting>
        <x14:conditionalFormatting xmlns:xm="http://schemas.microsoft.com/office/excel/2006/main">
          <x14:cfRule type="expression" priority="27" id="{D64FF99C-705A-46D1-95F4-F9E9F45C387C}">
            <xm:f>IF('Wniosek art 5 budowa'!#REF!="",1,0)</xm:f>
            <x14:dxf>
              <fill>
                <patternFill>
                  <bgColor theme="4" tint="-0.24994659260841701"/>
                </patternFill>
              </fill>
            </x14:dxf>
          </x14:cfRule>
          <xm:sqref>A164</xm:sqref>
        </x14:conditionalFormatting>
        <x14:conditionalFormatting xmlns:xm="http://schemas.microsoft.com/office/excel/2006/main">
          <x14:cfRule type="expression" priority="356" id="{4A82859B-B16D-44C5-A86F-772C4B8F85AA}">
            <xm:f>IF('Wniosek art 5 budowa'!A205="",1,0)</xm:f>
            <x14:dxf>
              <fill>
                <patternFill>
                  <bgColor theme="4" tint="-0.24994659260841701"/>
                </patternFill>
              </fill>
            </x14:dxf>
          </x14:cfRule>
          <xm:sqref>A184:A185</xm:sqref>
        </x14:conditionalFormatting>
        <x14:conditionalFormatting xmlns:xm="http://schemas.microsoft.com/office/excel/2006/main">
          <x14:cfRule type="expression" priority="169" id="{6D453811-E1E7-4AC4-B2FB-AB65A523DD4C}">
            <xm:f>IF($A$101=Słowniki!$P$2,1,0)</xm:f>
            <x14:dxf>
              <font>
                <b/>
                <i val="0"/>
                <strike/>
                <color theme="1"/>
              </font>
            </x14:dxf>
          </x14:cfRule>
          <xm:sqref>A125:AL125</xm:sqref>
        </x14:conditionalFormatting>
        <x14:conditionalFormatting xmlns:xm="http://schemas.microsoft.com/office/excel/2006/main">
          <x14:cfRule type="expression" priority="168" id="{8A711A86-AFBC-45CD-B626-0BAC553DCC11}">
            <xm:f>IF($A$107=Słowniki!$P$2,1,0)</xm:f>
            <x14:dxf>
              <font>
                <strike/>
              </font>
            </x14:dxf>
          </x14:cfRule>
          <xm:sqref>A127:AL127</xm:sqref>
        </x14:conditionalFormatting>
        <x14:conditionalFormatting xmlns:xm="http://schemas.microsoft.com/office/excel/2006/main">
          <x14:cfRule type="expression" priority="28" id="{C719884E-DBC1-4001-909F-899F934B4B82}">
            <xm:f>IF($A$126=Słowniki!$P$2,1,0)</xm:f>
            <x14:dxf>
              <font>
                <strike/>
              </font>
            </x14:dxf>
          </x14:cfRule>
          <xm:sqref>A158:AL158</xm:sqref>
        </x14:conditionalFormatting>
        <x14:conditionalFormatting xmlns:xm="http://schemas.microsoft.com/office/excel/2006/main">
          <x14:cfRule type="expression" priority="5446" id="{C0DEDC29-8885-41A9-9048-327A2318740C}">
            <xm:f>IF('Wniosek art 5 budowa'!B48="",1,0)</xm:f>
            <x14:dxf>
              <fill>
                <patternFill>
                  <bgColor theme="4" tint="-0.24994659260841701"/>
                </patternFill>
              </fill>
            </x14:dxf>
          </x14:cfRule>
          <xm:sqref>B47 J88 X88 AK88 B88:B89 AJ99:AJ100</xm:sqref>
        </x14:conditionalFormatting>
        <x14:conditionalFormatting xmlns:xm="http://schemas.microsoft.com/office/excel/2006/main">
          <x14:cfRule type="expression" priority="7109" id="{DA167B28-CCE8-4816-9E1A-584228BDAD59}">
            <xm:f>IF('Wniosek art 5 budowa'!J64="",1,0)</xm:f>
            <x14:dxf>
              <fill>
                <patternFill>
                  <bgColor theme="4" tint="-0.24994659260841701"/>
                </patternFill>
              </fill>
            </x14:dxf>
          </x14:cfRule>
          <xm:sqref>J89:J90</xm:sqref>
        </x14:conditionalFormatting>
        <x14:conditionalFormatting xmlns:xm="http://schemas.microsoft.com/office/excel/2006/main">
          <x14:cfRule type="expression" priority="7035" id="{4A82859B-B16D-44C5-A86F-772C4B8F85AA}">
            <xm:f>IF('Wniosek art 5 budowa'!B91="",1,0)</xm:f>
            <x14:dxf>
              <fill>
                <patternFill>
                  <bgColor theme="4" tint="-0.24994659260841701"/>
                </patternFill>
              </fill>
            </x14:dxf>
          </x14:cfRule>
          <xm:sqref>X89:X90 AK89:AK90 B90 B92</xm:sqref>
        </x14:conditionalFormatting>
        <x14:conditionalFormatting xmlns:xm="http://schemas.microsoft.com/office/excel/2006/main">
          <x14:cfRule type="expression" priority="5900" id="{76898E47-5971-48B7-8F0D-CF4F86532961}">
            <xm:f>IF(AB83=Słowniki!C16,Słowniki!C18,0)</xm:f>
            <x14:dxf/>
          </x14:cfRule>
          <xm:sqref>AB85:AL85</xm:sqref>
        </x14:conditionalFormatting>
        <x14:conditionalFormatting xmlns:xm="http://schemas.microsoft.com/office/excel/2006/main">
          <x14:cfRule type="expression" priority="7644" id="{4A82859B-B16D-44C5-A86F-772C4B8F85AA}">
            <xm:f>IF('Wniosek art 5 budowa'!AJ53="",1,0)</xm:f>
            <x14:dxf>
              <fill>
                <patternFill>
                  <bgColor theme="4" tint="-0.24994659260841701"/>
                </patternFill>
              </fill>
            </x14:dxf>
          </x14:cfRule>
          <xm:sqref>AJ54</xm:sqref>
        </x14:conditionalFormatting>
        <x14:conditionalFormatting xmlns:xm="http://schemas.microsoft.com/office/excel/2006/main">
          <x14:cfRule type="expression" priority="7606" id="{4A82859B-B16D-44C5-A86F-772C4B8F85AA}">
            <xm:f>IF('Wniosek art 5 budowa'!AJ53="",1,0)</xm:f>
            <x14:dxf>
              <fill>
                <patternFill>
                  <bgColor theme="4" tint="-0.24994659260841701"/>
                </patternFill>
              </fill>
            </x14:dxf>
          </x14:cfRule>
          <xm:sqref>AJ55:AJ56</xm:sqref>
        </x14:conditionalFormatting>
        <x14:conditionalFormatting xmlns:xm="http://schemas.microsoft.com/office/excel/2006/main">
          <x14:cfRule type="expression" priority="6447" id="{C0DEDC29-8885-41A9-9048-327A2318740C}">
            <xm:f>IF('Wniosek art 5 budowa'!#REF!="",1,0)</xm:f>
            <x14:dxf>
              <fill>
                <patternFill>
                  <bgColor theme="4" tint="-0.24994659260841701"/>
                </patternFill>
              </fill>
            </x14:dxf>
          </x14:cfRule>
          <xm:sqref>AJ101</xm:sqref>
        </x14:conditionalFormatting>
      </x14:conditionalFormattings>
    </ext>
    <ext xmlns:x14="http://schemas.microsoft.com/office/spreadsheetml/2009/9/main" uri="{CCE6A557-97BC-4b89-ADB6-D9C93CAAB3DF}">
      <x14:dataValidations xmlns:xm="http://schemas.microsoft.com/office/excel/2006/main" xWindow="284" yWindow="602" count="29">
        <x14:dataValidation type="list" allowBlank="1" showInputMessage="1" showErrorMessage="1" promptTitle="Wybierz" prompt="właściwe" xr:uid="{00000000-0002-0000-1000-00002D000000}">
          <x14:formula1>
            <xm:f>Słowniki!$AO$1:$AO$2</xm:f>
          </x14:formula1>
          <xm:sqref>B58:AL58</xm:sqref>
        </x14:dataValidation>
        <x14:dataValidation type="list" allowBlank="1" showInputMessage="1" promptTitle="Wprowadź" prompt="dane lub wybierz nie dotyczy" xr:uid="{00000000-0002-0000-1000-00002E000000}">
          <x14:formula1>
            <xm:f>Słowniki!$F$19</xm:f>
          </x14:formula1>
          <xm:sqref>B34:AL34 B32:AL32</xm:sqref>
        </x14:dataValidation>
        <x14:dataValidation type="list" allowBlank="1" showInputMessage="1" showErrorMessage="1" promptTitle="Wybierz" prompt="beneficjenta" xr:uid="{00000000-0002-0000-1000-00002F000000}">
          <x14:formula1>
            <xm:f>Słowniki!$A$2:$A$3</xm:f>
          </x14:formula1>
          <xm:sqref>B17:AL17</xm:sqref>
        </x14:dataValidation>
        <x14:dataValidation type="list" allowBlank="1" promptTitle="Wybierz" prompt="właściwe" xr:uid="{00000000-0002-0000-1000-000030000000}">
          <x14:formula1>
            <xm:f>Słowniki!$O$2:$O$3</xm:f>
          </x14:formula1>
          <xm:sqref>A184:AL184</xm:sqref>
        </x14:dataValidation>
        <x14:dataValidation type="list" allowBlank="1" showInputMessage="1" showErrorMessage="1" promptTitle="Wybierz" prompt="właściwe" xr:uid="{00000000-0002-0000-1000-000031000000}">
          <x14:formula1>
            <xm:f>'Słownik Infrasr'!$B$3:$B$12</xm:f>
          </x14:formula1>
          <xm:sqref>A109:AL109 A107:AL107</xm:sqref>
        </x14:dataValidation>
        <x14:dataValidation type="list" allowBlank="1" showErrorMessage="1" promptTitle="Wybierz" prompt="rodzaj przedsięwzięcia" xr:uid="{00000000-0002-0000-1000-000032000000}">
          <x14:formula1>
            <xm:f>Słowniki!$D$8:$D$9</xm:f>
          </x14:formula1>
          <xm:sqref>A103:AL103</xm:sqref>
        </x14:dataValidation>
        <x14:dataValidation type="date" operator="greaterThanOrEqual" allowBlank="1" showInputMessage="1" showErrorMessage="1" promptTitle="Wprowadź" prompt="wielkość dla budynku nr 1" xr:uid="{00000000-0002-0000-1000-000033000000}">
          <x14:formula1>
            <xm:f>Słowniki!$N$1</xm:f>
          </x14:formula1>
          <xm:sqref>B88:I88</xm:sqref>
        </x14:dataValidation>
        <x14:dataValidation type="list" allowBlank="1" showInputMessage="1" showErrorMessage="1" promptTitle="Wybierz" prompt="właściwe" xr:uid="{00000000-0002-0000-1000-000034000000}">
          <x14:formula1>
            <xm:f>'Słownik Infrasr'!$B$3:$B$11</xm:f>
          </x14:formula1>
          <xm:sqref>A106:AL106</xm:sqref>
        </x14:dataValidation>
        <x14:dataValidation type="list" allowBlank="1" showInputMessage="1" showErrorMessage="1" promptTitle="Wybierz " prompt="właściwe" xr:uid="{00000000-0002-0000-1000-000035000000}">
          <x14:formula1>
            <xm:f>'Słownik Infrasr'!$B$3:$B$12</xm:f>
          </x14:formula1>
          <xm:sqref>A108:AL108</xm:sqref>
        </x14:dataValidation>
        <x14:dataValidation type="list" allowBlank="1" showInputMessage="1" showErrorMessage="1" promptTitle="Wprowadź" prompt="kwotę" xr:uid="{00000000-0002-0000-1000-000036000000}">
          <x14:formula1>
            <xm:f>'Słownik Infrasr'!$C$3:$C$11</xm:f>
          </x14:formula1>
          <xm:sqref>B49:AI57</xm:sqref>
        </x14:dataValidation>
        <x14:dataValidation type="list" allowBlank="1" showInputMessage="1" showErrorMessage="1" promptTitle="Wybierz" prompt="właściwe" xr:uid="{00000000-0002-0000-1000-000037000000}">
          <x14:formula1>
            <xm:f>Słowniki!$C$3:$C$4</xm:f>
          </x14:formula1>
          <xm:sqref>AB83:AL84 AB7:AE7 N7:P7</xm:sqref>
        </x14:dataValidation>
        <x14:dataValidation type="list" allowBlank="1" showInputMessage="1" showErrorMessage="1" promptTitle="Wybierz" prompt="właściwe" xr:uid="{00000000-0002-0000-1000-000038000000}">
          <x14:formula1>
            <xm:f>Słowniki!$AC$4:$AC$9</xm:f>
          </x14:formula1>
          <xm:sqref>A170:AL170</xm:sqref>
        </x14:dataValidation>
        <x14:dataValidation type="list" allowBlank="1" showInputMessage="1" showErrorMessage="1" promptTitle="Wybierz" prompt="właściwe" xr:uid="{00000000-0002-0000-1000-000039000000}">
          <x14:formula1>
            <xm:f>Słowniki!$W$1:$W$2</xm:f>
          </x14:formula1>
          <xm:sqref>A161:AL161</xm:sqref>
        </x14:dataValidation>
        <x14:dataValidation type="list" allowBlank="1" showInputMessage="1" showErrorMessage="1" promptTitle="Wybierz" prompt="właściwe" xr:uid="{00000000-0002-0000-1000-00003A000000}">
          <x14:formula1>
            <xm:f>Słowniki!$U$5:$U$6</xm:f>
          </x14:formula1>
          <xm:sqref>A128:AL128</xm:sqref>
        </x14:dataValidation>
        <x14:dataValidation type="list" allowBlank="1" showInputMessage="1" showErrorMessage="1" promptTitle="Wybierz" prompt="właściwe" xr:uid="{00000000-0002-0000-1000-00003B000000}">
          <x14:formula1>
            <xm:f>Słowniki!$U$1:$U$2</xm:f>
          </x14:formula1>
          <xm:sqref>A126:AL126</xm:sqref>
        </x14:dataValidation>
        <x14:dataValidation type="list" allowBlank="1" showInputMessage="1" promptTitle="Wybierz" prompt="właściwe ośwaidczenie" xr:uid="{00000000-0002-0000-1000-00003C000000}">
          <x14:formula1>
            <xm:f>'Słownik Infrasr'!$D$2:$D$3</xm:f>
          </x14:formula1>
          <xm:sqref>A165:AL165</xm:sqref>
        </x14:dataValidation>
        <x14:dataValidation type="list" errorStyle="information" allowBlank="1" showInputMessage="1" showErrorMessage="1" xr:uid="{00000000-0002-0000-1000-00003D000000}">
          <x14:formula1>
            <xm:f>Słowniki!$A$34:$A$39</xm:f>
          </x14:formula1>
          <xm:sqref>G132:K153</xm:sqref>
        </x14:dataValidation>
        <x14:dataValidation type="list" allowBlank="1" showInputMessage="1" showErrorMessage="1" promptTitle="Wybierz" prompt="właściwe" xr:uid="{00000000-0002-0000-1000-00003E000000}">
          <x14:formula1>
            <xm:f>Słowniki!$W$7:$W$9</xm:f>
          </x14:formula1>
          <xm:sqref>A163:AL163</xm:sqref>
        </x14:dataValidation>
        <x14:dataValidation type="list" allowBlank="1" showInputMessage="1" showErrorMessage="1" xr:uid="{00000000-0002-0000-1000-000040000000}">
          <x14:formula1>
            <xm:f>Słowniki!$F$20</xm:f>
          </x14:formula1>
          <xm:sqref>A105:AL105</xm:sqref>
        </x14:dataValidation>
        <x14:dataValidation type="list" allowBlank="1" showInputMessage="1" promptTitle="Wybierz" prompt="i/lub modyfikuj nr załącznika" xr:uid="{00000000-0002-0000-1000-000041000000}">
          <x14:formula1>
            <xm:f>Słowniki!$Q$3:$Q$4</xm:f>
          </x14:formula1>
          <xm:sqref>A159:AL159</xm:sqref>
        </x14:dataValidation>
        <x14:dataValidation type="list" allowBlank="1" showInputMessage="1" showErrorMessage="1" promptTitle="Wybierz" prompt="właściwe" xr:uid="{00000000-0002-0000-1000-000042000000}">
          <x14:formula1>
            <xm:f>Słowniki!$W$12:$W$14</xm:f>
          </x14:formula1>
          <xm:sqref>A175:AL175</xm:sqref>
        </x14:dataValidation>
        <x14:dataValidation type="list" allowBlank="1" showInputMessage="1" showErrorMessage="1" promptTitle="Wybierz" prompt="właściwe" xr:uid="{00000000-0002-0000-1000-000043000000}">
          <x14:formula1>
            <xm:f>Słowniki!$D$17:$D$18</xm:f>
          </x14:formula1>
          <xm:sqref>T172:AL172</xm:sqref>
        </x14:dataValidation>
        <x14:dataValidation type="list" allowBlank="1" showInputMessage="1" showErrorMessage="1" promptTitle="Wybierz" prompt="właściwe" xr:uid="{00000000-0002-0000-1000-000044000000}">
          <x14:formula1>
            <xm:f>Słowniki!$C$17:$C$18</xm:f>
          </x14:formula1>
          <xm:sqref>A172:S172</xm:sqref>
        </x14:dataValidation>
        <x14:dataValidation type="list" errorStyle="information" allowBlank="1" showInputMessage="1" showErrorMessage="1" promptTitle="Wybierz" prompt="właściwe" xr:uid="{1238D9BF-3E37-4553-BE80-182D3CDE75F6}">
          <x14:formula1>
            <xm:f>Słowniki!$A$46:$A$57</xm:f>
          </x14:formula1>
          <xm:sqref>B132:F153</xm:sqref>
        </x14:dataValidation>
        <x14:dataValidation type="list" allowBlank="1" showInputMessage="1" showErrorMessage="1" xr:uid="{64F746CE-B893-42C2-A966-8FC1296602B7}">
          <x14:formula1>
            <xm:f>Słowniki!$Y$9:$Y$10</xm:f>
          </x14:formula1>
          <xm:sqref>A177:AL177</xm:sqref>
        </x14:dataValidation>
        <x14:dataValidation type="date" operator="greaterThanOrEqual" allowBlank="1" showInputMessage="1" showErrorMessage="1" promptTitle="Wprowadź" prompt="wielkość dla budynku nr 1" xr:uid="{00000000-0002-0000-1000-000045000000}">
          <x14:formula1>
            <xm:f>Słowniki!N5</xm:f>
          </x14:formula1>
          <xm:sqref>B90:I90</xm:sqref>
        </x14:dataValidation>
        <x14:dataValidation type="date" operator="greaterThan" allowBlank="1" showInputMessage="1" showErrorMessage="1" promptTitle="Wprowadź" prompt="wielkość dla budynku nr 2" xr:uid="{00000000-0002-0000-1000-000046000000}">
          <x14:formula1>
            <xm:f>Słowniki!N3</xm:f>
          </x14:formula1>
          <xm:sqref>J88:W88</xm:sqref>
        </x14:dataValidation>
        <x14:dataValidation type="date" operator="greaterThanOrEqual" allowBlank="1" showInputMessage="1" showErrorMessage="1" promptTitle="Wprowadź" prompt="wielkość dla budynku nr 1" xr:uid="{00000000-0002-0000-1000-000047000000}">
          <x14:formula1>
            <xm:f>Słowniki!N3</xm:f>
          </x14:formula1>
          <xm:sqref>B89:I89</xm:sqref>
        </x14:dataValidation>
        <x14:dataValidation type="date" operator="greaterThan" allowBlank="1" showInputMessage="1" showErrorMessage="1" promptTitle="Wprowadź" prompt="datę w formacie rrrr-mm-dd_x000a_" xr:uid="{00000000-0002-0000-1000-000048000000}">
          <x14:formula1>
            <xm:f>Słowniki!AQ17</xm:f>
          </x14:formula1>
          <xm:sqref>B59:AL59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usz12"/>
  <dimension ref="A1:CG200"/>
  <sheetViews>
    <sheetView topLeftCell="A12" zoomScale="55" zoomScaleNormal="55" workbookViewId="0">
      <selection activeCell="C14" sqref="C14"/>
    </sheetView>
  </sheetViews>
  <sheetFormatPr defaultRowHeight="14.4" x14ac:dyDescent="0.3"/>
  <cols>
    <col min="1" max="1" width="128.44140625" bestFit="1" customWidth="1"/>
    <col min="2" max="2" width="65.6640625" customWidth="1"/>
    <col min="3" max="3" width="116.33203125" customWidth="1"/>
    <col min="4" max="4" width="49.6640625" customWidth="1"/>
    <col min="5" max="5" width="42.88671875" customWidth="1"/>
    <col min="6" max="6" width="94.6640625" customWidth="1"/>
    <col min="7" max="7" width="4.5546875" bestFit="1" customWidth="1"/>
    <col min="8" max="8" width="76.33203125" customWidth="1"/>
    <col min="9" max="9" width="20.6640625" style="6" customWidth="1"/>
    <col min="10" max="10" width="72.44140625" customWidth="1"/>
    <col min="13" max="13" width="113.5546875" customWidth="1"/>
    <col min="14" max="14" width="13.33203125" customWidth="1"/>
    <col min="15" max="15" width="92" customWidth="1"/>
    <col min="16" max="16" width="14.6640625" customWidth="1"/>
    <col min="17" max="17" width="16.44140625" customWidth="1"/>
    <col min="21" max="21" width="73.109375" customWidth="1"/>
    <col min="22" max="22" width="76.5546875" customWidth="1"/>
    <col min="23" max="23" width="89.6640625" customWidth="1"/>
    <col min="24" max="24" width="166.6640625" bestFit="1" customWidth="1"/>
    <col min="25" max="26" width="106.33203125" bestFit="1" customWidth="1"/>
    <col min="29" max="29" width="81.88671875" customWidth="1"/>
    <col min="30" max="30" width="55.109375" bestFit="1" customWidth="1"/>
    <col min="31" max="31" width="54.6640625" customWidth="1"/>
    <col min="32" max="32" width="46.88671875" bestFit="1" customWidth="1"/>
    <col min="42" max="42" width="23.33203125" customWidth="1"/>
    <col min="43" max="43" width="26.109375" bestFit="1" customWidth="1"/>
  </cols>
  <sheetData>
    <row r="1" spans="1:85" ht="87" customHeight="1" x14ac:dyDescent="0.3">
      <c r="A1" t="s">
        <v>63</v>
      </c>
      <c r="B1" s="6" t="s">
        <v>73</v>
      </c>
      <c r="C1" s="6" t="s">
        <v>84</v>
      </c>
      <c r="D1" s="1" t="s">
        <v>70</v>
      </c>
      <c r="F1" s="1" t="s">
        <v>683</v>
      </c>
      <c r="H1" t="s">
        <v>95</v>
      </c>
      <c r="I1" s="6" t="s">
        <v>95</v>
      </c>
      <c r="J1" t="s">
        <v>684</v>
      </c>
      <c r="N1" s="186">
        <v>41640</v>
      </c>
      <c r="O1" s="1" t="s">
        <v>103</v>
      </c>
      <c r="P1" t="s">
        <v>238</v>
      </c>
      <c r="Q1" t="s">
        <v>639</v>
      </c>
      <c r="U1" t="s">
        <v>736</v>
      </c>
      <c r="W1" s="210" t="s">
        <v>827</v>
      </c>
      <c r="X1" s="210" t="s">
        <v>744</v>
      </c>
      <c r="Y1" s="173" t="s">
        <v>784</v>
      </c>
      <c r="Z1" s="173" t="s">
        <v>747</v>
      </c>
      <c r="AA1" t="s">
        <v>131</v>
      </c>
      <c r="AC1" s="6" t="s">
        <v>238</v>
      </c>
      <c r="AO1" t="s">
        <v>1023</v>
      </c>
      <c r="AP1" s="127" t="s">
        <v>883</v>
      </c>
      <c r="AQ1" s="186">
        <v>39083</v>
      </c>
    </row>
    <row r="2" spans="1:85" ht="126" customHeight="1" x14ac:dyDescent="0.3">
      <c r="A2" s="8" t="s">
        <v>76</v>
      </c>
      <c r="B2" s="6" t="s">
        <v>79</v>
      </c>
      <c r="C2" s="6"/>
      <c r="D2" s="181" t="s">
        <v>889</v>
      </c>
      <c r="F2" s="195" t="s">
        <v>1025</v>
      </c>
      <c r="H2" s="1" t="s">
        <v>97</v>
      </c>
      <c r="I2" s="6" t="s">
        <v>97</v>
      </c>
      <c r="J2" s="199" t="s">
        <v>909</v>
      </c>
      <c r="M2" s="3" t="s">
        <v>0</v>
      </c>
      <c r="O2" s="3" t="s">
        <v>99</v>
      </c>
      <c r="P2" t="s">
        <v>161</v>
      </c>
      <c r="Q2" t="s">
        <v>161</v>
      </c>
      <c r="U2" t="s">
        <v>737</v>
      </c>
      <c r="W2" s="210" t="s">
        <v>828</v>
      </c>
      <c r="X2" s="210" t="s">
        <v>745</v>
      </c>
      <c r="Y2" s="247" t="s">
        <v>1035</v>
      </c>
      <c r="Z2" s="173" t="s">
        <v>139</v>
      </c>
      <c r="AA2" t="s">
        <v>130</v>
      </c>
      <c r="AC2" t="s">
        <v>239</v>
      </c>
      <c r="AE2" s="214" t="s">
        <v>758</v>
      </c>
      <c r="AF2" s="6"/>
      <c r="AO2" t="s">
        <v>884</v>
      </c>
      <c r="AP2" t="s">
        <v>1022</v>
      </c>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row>
    <row r="3" spans="1:85" ht="57.6" x14ac:dyDescent="0.3">
      <c r="A3" s="7" t="s">
        <v>72</v>
      </c>
      <c r="B3" s="6" t="s">
        <v>82</v>
      </c>
      <c r="C3" s="147" t="s">
        <v>130</v>
      </c>
      <c r="D3" s="232" t="s">
        <v>890</v>
      </c>
      <c r="E3" s="6" t="s">
        <v>1083</v>
      </c>
      <c r="F3" s="197" t="s">
        <v>105</v>
      </c>
      <c r="H3" s="1" t="s">
        <v>94</v>
      </c>
      <c r="I3" s="6" t="s">
        <v>97</v>
      </c>
      <c r="J3" s="181" t="s">
        <v>912</v>
      </c>
      <c r="M3" s="3" t="s">
        <v>3</v>
      </c>
      <c r="O3" s="3" t="s">
        <v>100</v>
      </c>
      <c r="P3" t="s">
        <v>239</v>
      </c>
      <c r="Q3" t="s">
        <v>161</v>
      </c>
      <c r="U3" s="206" t="s">
        <v>739</v>
      </c>
      <c r="V3" s="206" t="s">
        <v>739</v>
      </c>
      <c r="W3" s="73" t="s">
        <v>960</v>
      </c>
      <c r="X3" s="74" t="s">
        <v>926</v>
      </c>
      <c r="Y3" s="247" t="s">
        <v>1036</v>
      </c>
      <c r="Z3" s="212" t="s">
        <v>748</v>
      </c>
      <c r="AA3" s="229">
        <v>0</v>
      </c>
      <c r="AB3" s="73"/>
      <c r="AC3" s="205" t="s">
        <v>697</v>
      </c>
      <c r="AD3" s="213" t="s">
        <v>698</v>
      </c>
      <c r="AE3" t="s">
        <v>797</v>
      </c>
      <c r="AF3" t="s">
        <v>942</v>
      </c>
      <c r="AG3" s="73"/>
      <c r="AH3" s="73"/>
      <c r="AI3" s="73"/>
      <c r="AJ3" s="73"/>
      <c r="AK3" s="73"/>
      <c r="AL3" s="73"/>
      <c r="AM3" s="73"/>
      <c r="AN3" s="73"/>
      <c r="AO3" s="73"/>
      <c r="AP3" s="73"/>
      <c r="AQ3" s="73"/>
      <c r="AR3" s="73"/>
      <c r="AS3" s="73"/>
      <c r="AT3" s="73"/>
      <c r="AU3" s="73"/>
      <c r="AV3" s="73"/>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row>
    <row r="4" spans="1:85" ht="84" customHeight="1" x14ac:dyDescent="0.3">
      <c r="A4" s="7" t="s">
        <v>75</v>
      </c>
      <c r="B4" s="6" t="s">
        <v>81</v>
      </c>
      <c r="C4" s="147" t="s">
        <v>131</v>
      </c>
      <c r="D4" s="181" t="s">
        <v>891</v>
      </c>
      <c r="E4" s="181" t="s">
        <v>891</v>
      </c>
      <c r="F4" s="196" t="s">
        <v>898</v>
      </c>
      <c r="H4" s="3" t="s">
        <v>132</v>
      </c>
      <c r="I4" s="6" t="s">
        <v>97</v>
      </c>
      <c r="J4" s="181" t="s">
        <v>911</v>
      </c>
      <c r="M4" s="3" t="s">
        <v>5</v>
      </c>
      <c r="O4" s="3" t="s">
        <v>101</v>
      </c>
      <c r="Q4" t="s">
        <v>104</v>
      </c>
      <c r="U4" s="206" t="s">
        <v>740</v>
      </c>
      <c r="V4" s="206" t="s">
        <v>740</v>
      </c>
      <c r="W4" s="73" t="s">
        <v>961</v>
      </c>
      <c r="X4" s="181" t="s">
        <v>927</v>
      </c>
      <c r="Y4" s="247" t="s">
        <v>1037</v>
      </c>
      <c r="Z4" s="173" t="s">
        <v>139</v>
      </c>
      <c r="AA4" s="73"/>
      <c r="AB4" s="73"/>
      <c r="AC4" s="205" t="s">
        <v>759</v>
      </c>
      <c r="AD4" s="213" t="s">
        <v>769</v>
      </c>
      <c r="AE4" s="214" t="s">
        <v>798</v>
      </c>
      <c r="AF4" s="214" t="s">
        <v>943</v>
      </c>
      <c r="AH4" s="73"/>
      <c r="AI4" s="73"/>
      <c r="AJ4" s="73"/>
      <c r="AK4" s="73"/>
      <c r="AL4" s="73"/>
      <c r="AM4" s="73"/>
      <c r="AN4" s="73"/>
      <c r="AO4" s="73"/>
      <c r="AP4" s="73"/>
      <c r="AQ4" s="73"/>
      <c r="AR4" s="73"/>
      <c r="AS4" s="73"/>
      <c r="AT4" s="73"/>
      <c r="AU4" s="73"/>
      <c r="AV4" s="73"/>
      <c r="AW4" s="73"/>
      <c r="AX4" s="73"/>
      <c r="AY4" s="73"/>
      <c r="AZ4" s="73"/>
    </row>
    <row r="5" spans="1:85" ht="104.7" customHeight="1" x14ac:dyDescent="0.3">
      <c r="A5" s="7" t="s">
        <v>233</v>
      </c>
      <c r="B5" s="6" t="s">
        <v>229</v>
      </c>
      <c r="C5" s="147" t="s">
        <v>139</v>
      </c>
      <c r="D5" s="181" t="s">
        <v>892</v>
      </c>
      <c r="E5" s="216" t="s">
        <v>1056</v>
      </c>
      <c r="F5" s="196" t="s">
        <v>897</v>
      </c>
      <c r="H5" s="206"/>
      <c r="I5" s="6" t="s">
        <v>97</v>
      </c>
      <c r="J5" s="181"/>
      <c r="M5" s="9" t="s">
        <v>2</v>
      </c>
      <c r="O5" s="4" t="s">
        <v>227</v>
      </c>
      <c r="U5" s="206" t="s">
        <v>741</v>
      </c>
      <c r="V5" t="s">
        <v>880</v>
      </c>
      <c r="W5" s="206" t="s">
        <v>1121</v>
      </c>
      <c r="Y5" s="247" t="s">
        <v>1038</v>
      </c>
      <c r="Z5" s="200"/>
      <c r="AC5" s="205" t="s">
        <v>761</v>
      </c>
      <c r="AD5" s="213" t="s">
        <v>763</v>
      </c>
      <c r="AE5" s="214" t="s">
        <v>799</v>
      </c>
      <c r="AF5" s="214" t="s">
        <v>944</v>
      </c>
    </row>
    <row r="6" spans="1:85" ht="207.6" customHeight="1" x14ac:dyDescent="0.3">
      <c r="A6" s="6" t="s">
        <v>660</v>
      </c>
      <c r="B6" s="6" t="s">
        <v>230</v>
      </c>
      <c r="C6" s="6"/>
      <c r="D6" s="181" t="s">
        <v>893</v>
      </c>
      <c r="E6" s="181" t="s">
        <v>1057</v>
      </c>
      <c r="F6" s="197" t="s">
        <v>670</v>
      </c>
      <c r="I6" s="6" t="s">
        <v>97</v>
      </c>
      <c r="J6" s="181" t="s">
        <v>1106</v>
      </c>
      <c r="M6" s="9" t="s">
        <v>8</v>
      </c>
      <c r="O6" s="3" t="s">
        <v>99</v>
      </c>
      <c r="U6" s="206" t="s">
        <v>742</v>
      </c>
      <c r="W6" s="206" t="s">
        <v>1122</v>
      </c>
      <c r="X6" t="s">
        <v>767</v>
      </c>
      <c r="Y6" s="6" t="s">
        <v>838</v>
      </c>
      <c r="AC6" s="205" t="s">
        <v>762</v>
      </c>
      <c r="AD6" s="213" t="s">
        <v>764</v>
      </c>
    </row>
    <row r="7" spans="1:85" ht="90.6" customHeight="1" x14ac:dyDescent="0.3">
      <c r="A7" s="7" t="s">
        <v>74</v>
      </c>
      <c r="B7" s="6" t="s">
        <v>80</v>
      </c>
      <c r="C7" s="232" t="s">
        <v>890</v>
      </c>
      <c r="D7" s="181" t="s">
        <v>894</v>
      </c>
      <c r="E7" s="181" t="s">
        <v>892</v>
      </c>
      <c r="F7" s="198" t="s">
        <v>992</v>
      </c>
      <c r="H7" s="198" t="s">
        <v>991</v>
      </c>
      <c r="I7" s="6" t="s">
        <v>97</v>
      </c>
      <c r="J7" s="214" t="s">
        <v>1107</v>
      </c>
      <c r="M7" s="9" t="s">
        <v>10</v>
      </c>
      <c r="O7" s="3" t="s">
        <v>178</v>
      </c>
      <c r="W7" s="210" t="s">
        <v>829</v>
      </c>
      <c r="X7" t="s">
        <v>768</v>
      </c>
      <c r="Y7" s="254" t="s">
        <v>1140</v>
      </c>
      <c r="AC7" s="205" t="s">
        <v>765</v>
      </c>
      <c r="AD7" s="213" t="s">
        <v>760</v>
      </c>
    </row>
    <row r="8" spans="1:85" ht="84" customHeight="1" x14ac:dyDescent="0.3">
      <c r="C8" s="181" t="s">
        <v>891</v>
      </c>
      <c r="D8" s="181" t="s">
        <v>895</v>
      </c>
      <c r="E8" s="147" t="s">
        <v>139</v>
      </c>
      <c r="F8" s="197" t="s">
        <v>901</v>
      </c>
      <c r="J8" s="181"/>
      <c r="M8" s="9" t="s">
        <v>12</v>
      </c>
      <c r="O8" s="1" t="s">
        <v>228</v>
      </c>
      <c r="W8" s="210" t="s">
        <v>830</v>
      </c>
      <c r="X8" s="209" t="s">
        <v>793</v>
      </c>
      <c r="Y8" s="254" t="s">
        <v>1141</v>
      </c>
      <c r="AC8" s="205" t="s">
        <v>860</v>
      </c>
    </row>
    <row r="9" spans="1:85" ht="103.2" customHeight="1" x14ac:dyDescent="0.3">
      <c r="B9" s="6" t="s">
        <v>1001</v>
      </c>
      <c r="C9" s="181" t="s">
        <v>892</v>
      </c>
      <c r="D9" s="181" t="s">
        <v>896</v>
      </c>
      <c r="F9" s="181" t="s">
        <v>902</v>
      </c>
      <c r="J9" s="209"/>
      <c r="M9" s="9" t="s">
        <v>13</v>
      </c>
      <c r="W9" t="s">
        <v>768</v>
      </c>
      <c r="X9" s="209" t="s">
        <v>794</v>
      </c>
      <c r="Y9" s="181" t="s">
        <v>1139</v>
      </c>
      <c r="AC9" s="205" t="s">
        <v>861</v>
      </c>
      <c r="AD9" s="213" t="s">
        <v>769</v>
      </c>
    </row>
    <row r="10" spans="1:85" ht="144.6" customHeight="1" x14ac:dyDescent="0.3">
      <c r="A10" s="201" t="s">
        <v>96</v>
      </c>
      <c r="B10" s="202"/>
      <c r="C10" s="147" t="s">
        <v>139</v>
      </c>
      <c r="D10" s="181"/>
      <c r="F10" s="181" t="s">
        <v>903</v>
      </c>
      <c r="J10" s="181"/>
      <c r="M10" s="9" t="s">
        <v>14</v>
      </c>
      <c r="W10" t="s">
        <v>930</v>
      </c>
      <c r="X10" t="s">
        <v>768</v>
      </c>
      <c r="Y10" s="181" t="s">
        <v>1142</v>
      </c>
      <c r="AD10" t="s">
        <v>768</v>
      </c>
    </row>
    <row r="11" spans="1:85" ht="126.6" customHeight="1" x14ac:dyDescent="0.3">
      <c r="A11" s="203" t="s">
        <v>113</v>
      </c>
      <c r="B11" s="203"/>
      <c r="C11" s="6" t="s">
        <v>1083</v>
      </c>
      <c r="D11" s="181"/>
      <c r="F11" s="181" t="s">
        <v>904</v>
      </c>
      <c r="I11" t="s">
        <v>94</v>
      </c>
      <c r="J11" s="181"/>
      <c r="M11" s="9" t="s">
        <v>15</v>
      </c>
      <c r="W11" t="s">
        <v>768</v>
      </c>
      <c r="X11" s="181" t="s">
        <v>795</v>
      </c>
      <c r="AE11" t="s">
        <v>758</v>
      </c>
    </row>
    <row r="12" spans="1:85" ht="75.45" customHeight="1" x14ac:dyDescent="0.3">
      <c r="A12" s="203" t="s">
        <v>114</v>
      </c>
      <c r="B12" s="203"/>
      <c r="C12" s="181" t="s">
        <v>1084</v>
      </c>
      <c r="D12" s="181"/>
      <c r="F12" s="181" t="s">
        <v>905</v>
      </c>
      <c r="I12" t="s">
        <v>94</v>
      </c>
      <c r="K12" s="181" t="s">
        <v>730</v>
      </c>
      <c r="M12" s="3" t="s">
        <v>16</v>
      </c>
      <c r="W12" s="248" t="s">
        <v>1146</v>
      </c>
      <c r="X12" s="181" t="s">
        <v>796</v>
      </c>
      <c r="AE12" s="6"/>
    </row>
    <row r="13" spans="1:85" ht="100.5" customHeight="1" x14ac:dyDescent="0.3">
      <c r="A13" s="204" t="s">
        <v>115</v>
      </c>
      <c r="B13" s="203"/>
      <c r="C13" s="147" t="s">
        <v>139</v>
      </c>
      <c r="D13" s="181"/>
      <c r="F13" s="197" t="s">
        <v>672</v>
      </c>
      <c r="I13" t="s">
        <v>94</v>
      </c>
      <c r="K13" s="181" t="s">
        <v>731</v>
      </c>
      <c r="M13" s="9" t="s">
        <v>2</v>
      </c>
      <c r="W13" s="249" t="s">
        <v>1145</v>
      </c>
      <c r="X13" s="216" t="s">
        <v>940</v>
      </c>
      <c r="AE13" s="6"/>
    </row>
    <row r="14" spans="1:85" ht="135.6" customHeight="1" x14ac:dyDescent="0.3">
      <c r="A14" s="203" t="s">
        <v>116</v>
      </c>
      <c r="B14" s="203"/>
      <c r="C14" s="232" t="s">
        <v>1162</v>
      </c>
      <c r="D14" s="181"/>
      <c r="F14" s="197" t="s">
        <v>673</v>
      </c>
      <c r="J14" s="181"/>
      <c r="M14" s="9" t="s">
        <v>17</v>
      </c>
      <c r="W14" s="234" t="s">
        <v>1147</v>
      </c>
      <c r="X14" s="216" t="s">
        <v>941</v>
      </c>
    </row>
    <row r="15" spans="1:85" ht="93" customHeight="1" x14ac:dyDescent="0.3">
      <c r="A15" s="203" t="s">
        <v>117</v>
      </c>
      <c r="B15" s="203"/>
      <c r="C15" s="181" t="s">
        <v>891</v>
      </c>
      <c r="D15" s="181"/>
      <c r="F15" s="1" t="s">
        <v>683</v>
      </c>
      <c r="J15" s="181"/>
      <c r="M15" s="9" t="s">
        <v>18</v>
      </c>
      <c r="W15" s="216" t="s">
        <v>1000</v>
      </c>
      <c r="X15" t="s">
        <v>937</v>
      </c>
    </row>
    <row r="16" spans="1:85" ht="141.6" customHeight="1" x14ac:dyDescent="0.3">
      <c r="A16" s="203" t="s">
        <v>118</v>
      </c>
      <c r="B16" s="203"/>
      <c r="C16" s="240" t="s">
        <v>945</v>
      </c>
      <c r="D16" s="240"/>
      <c r="E16" s="240"/>
      <c r="F16" s="240"/>
      <c r="G16" s="240"/>
      <c r="H16" s="240"/>
      <c r="I16" s="240"/>
      <c r="J16" s="240"/>
      <c r="K16" s="240"/>
      <c r="L16" s="240"/>
      <c r="M16" s="240"/>
      <c r="N16" s="240"/>
      <c r="O16" s="240"/>
      <c r="P16" s="240"/>
      <c r="Q16" s="240"/>
      <c r="R16" s="240"/>
      <c r="S16" s="240"/>
      <c r="T16" s="240"/>
      <c r="U16" s="240"/>
      <c r="V16" s="240"/>
      <c r="W16" t="s">
        <v>161</v>
      </c>
      <c r="X16" s="240"/>
      <c r="Y16" s="240"/>
      <c r="Z16" s="240"/>
      <c r="AA16" s="240"/>
      <c r="AB16" s="240"/>
      <c r="AC16" s="240"/>
      <c r="AD16" s="240"/>
      <c r="AE16" s="240"/>
      <c r="AF16" s="240"/>
      <c r="AG16" s="240"/>
      <c r="AH16" s="240"/>
      <c r="AI16" s="240"/>
      <c r="AJ16" s="240"/>
      <c r="AK16" s="240"/>
      <c r="AL16" s="240"/>
      <c r="AM16" s="240"/>
      <c r="AN16" s="240"/>
    </row>
    <row r="17" spans="1:24" ht="121.2" customHeight="1" x14ac:dyDescent="0.3">
      <c r="A17" s="203" t="s">
        <v>119</v>
      </c>
      <c r="B17" s="203"/>
      <c r="C17" s="181" t="s">
        <v>1028</v>
      </c>
      <c r="D17" s="181" t="s">
        <v>947</v>
      </c>
      <c r="F17" s="197" t="s">
        <v>670</v>
      </c>
      <c r="H17" s="197"/>
      <c r="M17" s="9" t="s">
        <v>19</v>
      </c>
      <c r="X17" s="206" t="s">
        <v>938</v>
      </c>
    </row>
    <row r="18" spans="1:24" ht="193.2" customHeight="1" x14ac:dyDescent="0.3">
      <c r="C18" s="181" t="s">
        <v>1028</v>
      </c>
      <c r="D18" s="181" t="s">
        <v>948</v>
      </c>
      <c r="E18" s="181" t="s">
        <v>720</v>
      </c>
      <c r="F18" s="197" t="s">
        <v>105</v>
      </c>
      <c r="H18" s="196"/>
      <c r="M18" s="9" t="s">
        <v>20</v>
      </c>
      <c r="X18" s="206" t="s">
        <v>939</v>
      </c>
    </row>
    <row r="19" spans="1:24" ht="99" customHeight="1" x14ac:dyDescent="0.3">
      <c r="C19" s="181"/>
      <c r="E19" s="181" t="s">
        <v>721</v>
      </c>
      <c r="F19" s="196"/>
      <c r="H19" s="196"/>
      <c r="M19" s="9" t="s">
        <v>15</v>
      </c>
      <c r="X19" s="6" t="s">
        <v>1114</v>
      </c>
    </row>
    <row r="20" spans="1:24" ht="118.95" customHeight="1" x14ac:dyDescent="0.3">
      <c r="A20" s="150" t="s">
        <v>96</v>
      </c>
      <c r="C20" s="181" t="s">
        <v>949</v>
      </c>
      <c r="D20" s="181"/>
      <c r="F20" s="233" t="s">
        <v>908</v>
      </c>
      <c r="H20" s="197" t="s">
        <v>670</v>
      </c>
      <c r="M20" s="3" t="s">
        <v>21</v>
      </c>
      <c r="W20" s="210" t="s">
        <v>827</v>
      </c>
      <c r="X20" t="s">
        <v>768</v>
      </c>
    </row>
    <row r="21" spans="1:24" ht="145.19999999999999" customHeight="1" x14ac:dyDescent="0.3">
      <c r="A21" t="s">
        <v>141</v>
      </c>
      <c r="C21" s="181" t="s">
        <v>950</v>
      </c>
      <c r="D21" s="181"/>
      <c r="F21" s="197" t="s">
        <v>671</v>
      </c>
      <c r="M21" s="9"/>
      <c r="W21" s="210" t="s">
        <v>828</v>
      </c>
    </row>
    <row r="22" spans="1:24" ht="177.6" customHeight="1" x14ac:dyDescent="0.3">
      <c r="A22" t="s">
        <v>231</v>
      </c>
      <c r="D22" s="181"/>
      <c r="F22" s="3" t="s">
        <v>105</v>
      </c>
      <c r="M22" s="9" t="s">
        <v>22</v>
      </c>
      <c r="W22" t="s">
        <v>768</v>
      </c>
    </row>
    <row r="23" spans="1:24" ht="123.45" customHeight="1" x14ac:dyDescent="0.3">
      <c r="A23" t="s">
        <v>144</v>
      </c>
      <c r="C23" s="181"/>
      <c r="D23" s="181"/>
      <c r="M23" s="9" t="s">
        <v>23</v>
      </c>
    </row>
    <row r="24" spans="1:24" ht="165.6" customHeight="1" x14ac:dyDescent="0.3">
      <c r="A24" t="s">
        <v>143</v>
      </c>
      <c r="C24" s="181"/>
      <c r="E24" s="181" t="s">
        <v>723</v>
      </c>
      <c r="F24" s="195" t="s">
        <v>1025</v>
      </c>
      <c r="M24" s="9" t="s">
        <v>24</v>
      </c>
    </row>
    <row r="25" spans="1:24" ht="124.8" x14ac:dyDescent="0.3">
      <c r="A25" t="s">
        <v>145</v>
      </c>
      <c r="C25" s="181"/>
      <c r="E25" s="181" t="s">
        <v>724</v>
      </c>
      <c r="F25" s="196" t="s">
        <v>669</v>
      </c>
      <c r="M25" s="9" t="s">
        <v>26</v>
      </c>
    </row>
    <row r="26" spans="1:24" ht="15.6" x14ac:dyDescent="0.3">
      <c r="C26" s="181"/>
      <c r="D26" s="181"/>
      <c r="F26" s="3" t="s">
        <v>105</v>
      </c>
      <c r="M26" s="3" t="s">
        <v>28</v>
      </c>
    </row>
    <row r="27" spans="1:24" ht="15.6" x14ac:dyDescent="0.3">
      <c r="C27" s="3"/>
      <c r="D27" s="181"/>
      <c r="M27" s="10" t="s">
        <v>29</v>
      </c>
    </row>
    <row r="28" spans="1:24" ht="15.6" x14ac:dyDescent="0.3">
      <c r="A28" t="s">
        <v>657</v>
      </c>
      <c r="D28" s="181"/>
      <c r="M28" s="10" t="s">
        <v>30</v>
      </c>
    </row>
    <row r="29" spans="1:24" ht="15.6" x14ac:dyDescent="0.3">
      <c r="A29" t="s">
        <v>219</v>
      </c>
      <c r="D29" s="181"/>
      <c r="M29" s="10" t="s">
        <v>31</v>
      </c>
    </row>
    <row r="30" spans="1:24" ht="15.6" x14ac:dyDescent="0.3">
      <c r="A30" t="s">
        <v>935</v>
      </c>
      <c r="D30" s="181"/>
      <c r="F30" s="181" t="s">
        <v>236</v>
      </c>
      <c r="M30" s="10" t="s">
        <v>33</v>
      </c>
    </row>
    <row r="31" spans="1:24" ht="23.4" x14ac:dyDescent="0.3">
      <c r="F31" s="181" t="s">
        <v>237</v>
      </c>
      <c r="M31" s="10" t="s">
        <v>34</v>
      </c>
    </row>
    <row r="32" spans="1:24" ht="15.6" x14ac:dyDescent="0.3">
      <c r="D32" s="207"/>
      <c r="M32" s="10" t="s">
        <v>35</v>
      </c>
    </row>
    <row r="33" spans="1:13" ht="52.8" x14ac:dyDescent="0.3">
      <c r="D33" s="2" t="s">
        <v>728</v>
      </c>
      <c r="E33" s="208" t="s">
        <v>729</v>
      </c>
      <c r="M33" s="10" t="s">
        <v>36</v>
      </c>
    </row>
    <row r="34" spans="1:13" x14ac:dyDescent="0.3">
      <c r="A34" t="s">
        <v>814</v>
      </c>
      <c r="J34" s="5" t="s">
        <v>25</v>
      </c>
      <c r="M34" s="10" t="s">
        <v>37</v>
      </c>
    </row>
    <row r="35" spans="1:13" x14ac:dyDescent="0.3">
      <c r="A35" t="s">
        <v>815</v>
      </c>
      <c r="J35" s="5" t="s">
        <v>25</v>
      </c>
      <c r="M35" s="10" t="s">
        <v>38</v>
      </c>
    </row>
    <row r="36" spans="1:13" x14ac:dyDescent="0.3">
      <c r="A36" t="s">
        <v>816</v>
      </c>
      <c r="J36" s="5" t="s">
        <v>25</v>
      </c>
      <c r="M36" s="10" t="s">
        <v>39</v>
      </c>
    </row>
    <row r="37" spans="1:13" x14ac:dyDescent="0.3">
      <c r="A37" t="s">
        <v>817</v>
      </c>
      <c r="J37" s="5" t="s">
        <v>27</v>
      </c>
      <c r="M37" s="3" t="s">
        <v>40</v>
      </c>
    </row>
    <row r="38" spans="1:13" ht="187.2" x14ac:dyDescent="0.3">
      <c r="A38" t="s">
        <v>818</v>
      </c>
      <c r="D38" s="181" t="s">
        <v>722</v>
      </c>
      <c r="F38" s="195" t="s">
        <v>1025</v>
      </c>
      <c r="J38" s="5" t="s">
        <v>25</v>
      </c>
      <c r="M38" s="10" t="s">
        <v>41</v>
      </c>
    </row>
    <row r="39" spans="1:13" ht="202.8" x14ac:dyDescent="0.3">
      <c r="A39" t="s">
        <v>839</v>
      </c>
      <c r="D39" s="181" t="s">
        <v>725</v>
      </c>
      <c r="F39" s="197" t="s">
        <v>670</v>
      </c>
      <c r="J39" s="5" t="s">
        <v>25</v>
      </c>
      <c r="M39" s="10" t="s">
        <v>42</v>
      </c>
    </row>
    <row r="40" spans="1:13" ht="27" x14ac:dyDescent="0.3">
      <c r="A40" t="s">
        <v>1016</v>
      </c>
      <c r="F40" s="197" t="s">
        <v>105</v>
      </c>
      <c r="J40" s="5" t="s">
        <v>25</v>
      </c>
      <c r="M40" s="10" t="s">
        <v>43</v>
      </c>
    </row>
    <row r="41" spans="1:13" x14ac:dyDescent="0.3">
      <c r="A41" t="s">
        <v>840</v>
      </c>
      <c r="F41" s="197"/>
      <c r="J41" s="5" t="s">
        <v>32</v>
      </c>
      <c r="M41" s="10" t="s">
        <v>44</v>
      </c>
    </row>
    <row r="42" spans="1:13" ht="23.4" x14ac:dyDescent="0.3">
      <c r="A42" t="s">
        <v>841</v>
      </c>
      <c r="F42" s="197"/>
      <c r="J42" s="5" t="s">
        <v>25</v>
      </c>
      <c r="M42" s="10" t="s">
        <v>34</v>
      </c>
    </row>
    <row r="43" spans="1:13" ht="23.4" x14ac:dyDescent="0.3">
      <c r="A43" t="s">
        <v>842</v>
      </c>
      <c r="J43" s="5" t="s">
        <v>25</v>
      </c>
      <c r="M43" s="10" t="s">
        <v>45</v>
      </c>
    </row>
    <row r="44" spans="1:13" x14ac:dyDescent="0.3">
      <c r="J44" s="5" t="s">
        <v>25</v>
      </c>
      <c r="M44" s="10" t="s">
        <v>46</v>
      </c>
    </row>
    <row r="45" spans="1:13" ht="23.4" x14ac:dyDescent="0.3">
      <c r="J45" s="5" t="s">
        <v>27</v>
      </c>
      <c r="M45" s="10" t="s">
        <v>47</v>
      </c>
    </row>
    <row r="46" spans="1:13" x14ac:dyDescent="0.3">
      <c r="A46" s="231" t="s">
        <v>1003</v>
      </c>
      <c r="M46" s="10" t="s">
        <v>48</v>
      </c>
    </row>
    <row r="47" spans="1:13" x14ac:dyDescent="0.3">
      <c r="A47" s="231" t="s">
        <v>1007</v>
      </c>
      <c r="M47" s="10" t="s">
        <v>49</v>
      </c>
    </row>
    <row r="48" spans="1:13" x14ac:dyDescent="0.3">
      <c r="A48" s="231" t="s">
        <v>1112</v>
      </c>
      <c r="M48" s="10" t="s">
        <v>50</v>
      </c>
    </row>
    <row r="49" spans="1:13" ht="115.2" x14ac:dyDescent="0.3">
      <c r="A49" s="231" t="s">
        <v>851</v>
      </c>
      <c r="B49" s="231" t="s">
        <v>1144</v>
      </c>
      <c r="C49" s="6" t="s">
        <v>1039</v>
      </c>
      <c r="D49" s="6" t="s">
        <v>1041</v>
      </c>
      <c r="M49" s="10" t="s">
        <v>51</v>
      </c>
    </row>
    <row r="50" spans="1:13" ht="72" x14ac:dyDescent="0.3">
      <c r="A50" s="231" t="s">
        <v>852</v>
      </c>
      <c r="B50" s="246"/>
      <c r="C50" s="206" t="s">
        <v>1040</v>
      </c>
      <c r="D50" s="206" t="s">
        <v>1042</v>
      </c>
      <c r="M50" s="10" t="s">
        <v>52</v>
      </c>
    </row>
    <row r="51" spans="1:13" x14ac:dyDescent="0.3">
      <c r="A51" s="231" t="s">
        <v>853</v>
      </c>
      <c r="M51" s="3" t="s">
        <v>53</v>
      </c>
    </row>
    <row r="52" spans="1:13" x14ac:dyDescent="0.3">
      <c r="A52" s="231" t="s">
        <v>854</v>
      </c>
      <c r="M52" s="10" t="s">
        <v>54</v>
      </c>
    </row>
    <row r="53" spans="1:13" ht="16.2" x14ac:dyDescent="0.3">
      <c r="A53" s="231" t="s">
        <v>855</v>
      </c>
      <c r="C53" t="s">
        <v>1047</v>
      </c>
      <c r="M53" s="10" t="s">
        <v>55</v>
      </c>
    </row>
    <row r="54" spans="1:13" x14ac:dyDescent="0.3">
      <c r="A54" s="231" t="s">
        <v>856</v>
      </c>
      <c r="C54" t="s">
        <v>1043</v>
      </c>
      <c r="M54" s="10" t="s">
        <v>56</v>
      </c>
    </row>
    <row r="55" spans="1:13" ht="23.4" x14ac:dyDescent="0.3">
      <c r="A55" s="231" t="s">
        <v>857</v>
      </c>
      <c r="C55" t="s">
        <v>1044</v>
      </c>
      <c r="M55" s="10" t="s">
        <v>57</v>
      </c>
    </row>
    <row r="56" spans="1:13" x14ac:dyDescent="0.3">
      <c r="A56" s="231" t="s">
        <v>928</v>
      </c>
      <c r="C56" t="s">
        <v>1045</v>
      </c>
      <c r="M56" s="10" t="s">
        <v>58</v>
      </c>
    </row>
    <row r="57" spans="1:13" ht="23.4" x14ac:dyDescent="0.3">
      <c r="A57" s="246" t="s">
        <v>1005</v>
      </c>
      <c r="C57" t="s">
        <v>1046</v>
      </c>
      <c r="M57" s="10" t="s">
        <v>59</v>
      </c>
    </row>
    <row r="58" spans="1:13" ht="23.4" x14ac:dyDescent="0.3">
      <c r="A58" s="246" t="s">
        <v>1004</v>
      </c>
      <c r="C58" t="s">
        <v>1052</v>
      </c>
      <c r="M58" s="3" t="s">
        <v>60</v>
      </c>
    </row>
    <row r="59" spans="1:13" ht="34.799999999999997" x14ac:dyDescent="0.3">
      <c r="A59" s="231" t="s">
        <v>1026</v>
      </c>
      <c r="M59" s="3" t="s">
        <v>61</v>
      </c>
    </row>
    <row r="60" spans="1:13" ht="23.4" x14ac:dyDescent="0.3">
      <c r="A60" s="246" t="s">
        <v>1027</v>
      </c>
      <c r="M60" s="3" t="s">
        <v>62</v>
      </c>
    </row>
    <row r="61" spans="1:13" ht="36" x14ac:dyDescent="0.3">
      <c r="A61" s="246"/>
      <c r="M61" s="4" t="s">
        <v>93</v>
      </c>
    </row>
    <row r="62" spans="1:13" x14ac:dyDescent="0.3">
      <c r="A62" t="s">
        <v>63</v>
      </c>
      <c r="B62" s="1" t="s">
        <v>103</v>
      </c>
    </row>
    <row r="63" spans="1:13" x14ac:dyDescent="0.3">
      <c r="A63" s="8" t="s">
        <v>72</v>
      </c>
      <c r="B63" s="3" t="s">
        <v>99</v>
      </c>
    </row>
    <row r="64" spans="1:13" x14ac:dyDescent="0.3">
      <c r="A64" s="7" t="s">
        <v>75</v>
      </c>
      <c r="B64" s="3" t="s">
        <v>101</v>
      </c>
    </row>
    <row r="65" spans="1:2" x14ac:dyDescent="0.3">
      <c r="A65" s="7" t="s">
        <v>76</v>
      </c>
      <c r="B65" s="3" t="s">
        <v>100</v>
      </c>
    </row>
    <row r="66" spans="1:2" x14ac:dyDescent="0.3">
      <c r="A66" s="7" t="s">
        <v>77</v>
      </c>
      <c r="B66" s="1" t="s">
        <v>102</v>
      </c>
    </row>
    <row r="67" spans="1:2" x14ac:dyDescent="0.3">
      <c r="A67" s="7" t="s">
        <v>78</v>
      </c>
      <c r="B67" s="1" t="s">
        <v>102</v>
      </c>
    </row>
    <row r="68" spans="1:2" x14ac:dyDescent="0.3">
      <c r="A68" s="7" t="s">
        <v>74</v>
      </c>
      <c r="B68" s="1" t="s">
        <v>102</v>
      </c>
    </row>
    <row r="70" spans="1:2" x14ac:dyDescent="0.3">
      <c r="A70" t="str">
        <f>IF(B15="Gmina","1)  w przypadku gminy - wójta (burmistrza, prezydenta miasta)",IF(B15="Powiat","3)  w przypadku powiatu - starostę)",IF(B15="Związek międzygminny","2)  w przypadku związku międzygminnego - zarząd związku",IF(B15="Organizacja pożytku publicznego","4)  w przypadku jednoosobowej spółki gminnej, spółki celowej i organizacji pożytku publicznego - osobę lub osoby uprawnione do składania oświadczeń woli w imieniu spółki i organizacji (należy dołączyć aktualny dokument potwierdzający uprawnienia)",IF(B15="Spółka celowa","4)  w przypadku jednoosobowej spółki gminnej, spółki celowej i organizacji pożytku publicznego - osobę lub osoby uprawnione do składania oświadczeń woli w imieniu spółki i organizacji (należy dołączyć aktualny dokument potwierdzający uprawnienia)",IF(B15="Jednoosobowa spółka gminna","4)  w przypadku jednoosobowej spółki gminnej, spółki celowej i organizacji pożytku publicznego - osobę lub osoby uprawnione do składania oświadczeń woli w imieniu spółki i organizacji (należy dołączyć aktualny dokument potwierdzający uprawnienia)",IF(B15="","")))))))</f>
        <v/>
      </c>
    </row>
    <row r="71" spans="1:2" x14ac:dyDescent="0.3">
      <c r="A71" t="s">
        <v>870</v>
      </c>
    </row>
    <row r="73" spans="1:2" x14ac:dyDescent="0.3">
      <c r="A73" t="s">
        <v>871</v>
      </c>
    </row>
    <row r="165" spans="3:7" x14ac:dyDescent="0.3">
      <c r="F165" s="139" t="s">
        <v>154</v>
      </c>
    </row>
    <row r="166" spans="3:7" x14ac:dyDescent="0.3">
      <c r="C166" s="284" t="s">
        <v>154</v>
      </c>
      <c r="D166" s="284" t="s">
        <v>154</v>
      </c>
      <c r="F166" s="139"/>
    </row>
    <row r="167" spans="3:7" ht="15" thickBot="1" x14ac:dyDescent="0.35">
      <c r="C167" s="284"/>
      <c r="D167" s="284"/>
      <c r="F167" s="140"/>
    </row>
    <row r="168" spans="3:7" ht="15" thickBot="1" x14ac:dyDescent="0.35">
      <c r="C168" s="285"/>
      <c r="D168" s="285"/>
      <c r="F168" s="98">
        <v>0.5</v>
      </c>
    </row>
    <row r="169" spans="3:7" ht="15" thickBot="1" x14ac:dyDescent="0.35">
      <c r="C169" s="98">
        <v>0.8</v>
      </c>
      <c r="D169" s="33">
        <v>0.25</v>
      </c>
      <c r="E169" s="98">
        <v>0</v>
      </c>
      <c r="F169" s="99">
        <v>0.8</v>
      </c>
      <c r="G169" s="99">
        <v>0.2</v>
      </c>
    </row>
    <row r="170" spans="3:7" x14ac:dyDescent="0.3">
      <c r="C170" s="98">
        <v>0.9</v>
      </c>
      <c r="D170" s="31">
        <v>0.25</v>
      </c>
      <c r="E170" s="98">
        <v>0.05</v>
      </c>
      <c r="F170" s="99">
        <v>0.9</v>
      </c>
      <c r="G170" s="99">
        <v>0.45</v>
      </c>
    </row>
    <row r="171" spans="3:7" x14ac:dyDescent="0.3">
      <c r="C171" s="99">
        <v>0.9</v>
      </c>
      <c r="D171" s="32">
        <v>0.8</v>
      </c>
      <c r="E171" s="98">
        <v>0.1</v>
      </c>
    </row>
    <row r="172" spans="3:7" ht="15" thickBot="1" x14ac:dyDescent="0.35">
      <c r="D172" s="33">
        <v>0.45</v>
      </c>
    </row>
    <row r="173" spans="3:7" x14ac:dyDescent="0.3">
      <c r="D173" s="31">
        <v>0.5</v>
      </c>
    </row>
    <row r="174" spans="3:7" x14ac:dyDescent="0.3">
      <c r="D174" s="32">
        <v>0.6</v>
      </c>
    </row>
    <row r="175" spans="3:7" ht="15" thickBot="1" x14ac:dyDescent="0.35">
      <c r="D175" s="33">
        <v>0.6</v>
      </c>
    </row>
    <row r="176" spans="3:7" x14ac:dyDescent="0.3">
      <c r="D176" s="31"/>
    </row>
    <row r="177" spans="1:4" x14ac:dyDescent="0.3">
      <c r="D177" s="32"/>
    </row>
    <row r="178" spans="1:4" x14ac:dyDescent="0.3">
      <c r="D178" s="32"/>
    </row>
    <row r="179" spans="1:4" ht="15" thickBot="1" x14ac:dyDescent="0.35">
      <c r="B179" t="s">
        <v>200</v>
      </c>
      <c r="D179" s="33"/>
    </row>
    <row r="180" spans="1:4" x14ac:dyDescent="0.3">
      <c r="B180">
        <v>2018</v>
      </c>
      <c r="D180" s="31"/>
    </row>
    <row r="181" spans="1:4" x14ac:dyDescent="0.3">
      <c r="A181" t="s">
        <v>199</v>
      </c>
      <c r="B181">
        <v>2019</v>
      </c>
      <c r="D181" s="32"/>
    </row>
    <row r="182" spans="1:4" ht="15" thickBot="1" x14ac:dyDescent="0.35">
      <c r="A182" t="s">
        <v>187</v>
      </c>
      <c r="B182">
        <v>2020</v>
      </c>
      <c r="D182" s="33"/>
    </row>
    <row r="183" spans="1:4" x14ac:dyDescent="0.3">
      <c r="A183" t="s">
        <v>188</v>
      </c>
      <c r="B183">
        <v>2021</v>
      </c>
      <c r="D183" s="31"/>
    </row>
    <row r="184" spans="1:4" x14ac:dyDescent="0.3">
      <c r="A184" t="s">
        <v>189</v>
      </c>
      <c r="B184">
        <v>2022</v>
      </c>
      <c r="D184" s="32"/>
    </row>
    <row r="185" spans="1:4" x14ac:dyDescent="0.3">
      <c r="A185" t="s">
        <v>190</v>
      </c>
      <c r="B185">
        <v>2023</v>
      </c>
      <c r="D185" s="32"/>
    </row>
    <row r="186" spans="1:4" ht="15" thickBot="1" x14ac:dyDescent="0.35">
      <c r="A186" t="s">
        <v>191</v>
      </c>
      <c r="B186">
        <v>2024</v>
      </c>
      <c r="D186" s="33"/>
    </row>
    <row r="187" spans="1:4" x14ac:dyDescent="0.3">
      <c r="A187" t="s">
        <v>192</v>
      </c>
      <c r="B187">
        <v>2025</v>
      </c>
      <c r="D187" s="31"/>
    </row>
    <row r="188" spans="1:4" x14ac:dyDescent="0.3">
      <c r="A188" t="s">
        <v>193</v>
      </c>
      <c r="B188">
        <v>2026</v>
      </c>
      <c r="D188" s="32"/>
    </row>
    <row r="189" spans="1:4" ht="15" thickBot="1" x14ac:dyDescent="0.35">
      <c r="A189" t="s">
        <v>194</v>
      </c>
      <c r="B189">
        <v>2027</v>
      </c>
      <c r="D189" s="33"/>
    </row>
    <row r="190" spans="1:4" ht="15" thickBot="1" x14ac:dyDescent="0.35">
      <c r="A190" t="s">
        <v>195</v>
      </c>
      <c r="B190">
        <v>2028</v>
      </c>
      <c r="D190" s="34"/>
    </row>
    <row r="191" spans="1:4" ht="15" thickBot="1" x14ac:dyDescent="0.35">
      <c r="A191" t="s">
        <v>196</v>
      </c>
      <c r="B191">
        <v>2029</v>
      </c>
      <c r="D191" s="34"/>
    </row>
    <row r="192" spans="1:4" ht="15" thickBot="1" x14ac:dyDescent="0.35">
      <c r="A192" t="s">
        <v>197</v>
      </c>
      <c r="D192" s="34"/>
    </row>
    <row r="193" spans="1:4" ht="15" thickBot="1" x14ac:dyDescent="0.35">
      <c r="A193" t="s">
        <v>198</v>
      </c>
      <c r="D193" s="34"/>
    </row>
    <row r="194" spans="1:4" ht="15" thickBot="1" x14ac:dyDescent="0.35">
      <c r="D194" s="34"/>
    </row>
    <row r="195" spans="1:4" x14ac:dyDescent="0.3">
      <c r="A195" t="s">
        <v>201</v>
      </c>
      <c r="D195" s="31"/>
    </row>
    <row r="196" spans="1:4" x14ac:dyDescent="0.3">
      <c r="A196" t="s">
        <v>202</v>
      </c>
      <c r="D196" s="32"/>
    </row>
    <row r="197" spans="1:4" ht="15" thickBot="1" x14ac:dyDescent="0.35">
      <c r="A197" t="s">
        <v>203</v>
      </c>
      <c r="D197" s="33"/>
    </row>
    <row r="198" spans="1:4" x14ac:dyDescent="0.3">
      <c r="A198" t="s">
        <v>204</v>
      </c>
      <c r="D198" s="27"/>
    </row>
    <row r="199" spans="1:4" ht="15" thickBot="1" x14ac:dyDescent="0.35">
      <c r="D199" s="26"/>
    </row>
    <row r="200" spans="1:4" ht="15" thickBot="1" x14ac:dyDescent="0.35">
      <c r="A200" s="97" t="s">
        <v>152</v>
      </c>
      <c r="D200" s="29"/>
    </row>
  </sheetData>
  <mergeCells count="2">
    <mergeCell ref="D166:D168"/>
    <mergeCell ref="C166:C168"/>
  </mergeCells>
  <conditionalFormatting sqref="A200">
    <cfRule type="expression" dxfId="14" priority="72">
      <formula>IF($B$1=#REF!,1,0)</formula>
    </cfRule>
  </conditionalFormatting>
  <conditionalFormatting sqref="C16">
    <cfRule type="expression" dxfId="13" priority="1">
      <formula>IF(C16="",1,0)</formula>
    </cfRule>
  </conditionalFormatting>
  <conditionalFormatting sqref="D169 D171:D172 D174:D175 D177:D179 D181:D182 D184:D188 D190:D194 D196:D197 D199:D200">
    <cfRule type="expression" dxfId="12" priority="11">
      <formula>IF($B$2=$B$7,1,0)</formula>
    </cfRule>
  </conditionalFormatting>
  <conditionalFormatting sqref="D169:D170 D172:D177 D179:D184 D186 D188:D191 D195 D197:D198 D200">
    <cfRule type="expression" dxfId="11" priority="7">
      <formula>IF($B$2=$B$12,1,0)</formula>
    </cfRule>
  </conditionalFormatting>
  <conditionalFormatting sqref="D169:D172 D176:D179 D183:D200 A200">
    <cfRule type="expression" dxfId="10" priority="5">
      <formula>IF($B$3=$A$29,1,0)</formula>
    </cfRule>
  </conditionalFormatting>
  <conditionalFormatting sqref="D169:D173 D175:D180 D182:D200 A200">
    <cfRule type="expression" dxfId="9" priority="10">
      <formula>IF($B$2=$B$8,1,0)</formula>
    </cfRule>
  </conditionalFormatting>
  <conditionalFormatting sqref="D169:D176 D178:D183 D185:D200 A200">
    <cfRule type="expression" dxfId="8" priority="8">
      <formula>IF($B$2=$B$11,1,0)</formula>
    </cfRule>
  </conditionalFormatting>
  <conditionalFormatting sqref="D169:D200">
    <cfRule type="expression" dxfId="7" priority="66">
      <formula>IF($B$1=#REF!,1,0)</formula>
    </cfRule>
  </conditionalFormatting>
  <conditionalFormatting sqref="D170:D171 D173:D174 D176:D178 D180:D181 D183:D185 D187 D189 D191:D196 D198:D199">
    <cfRule type="expression" dxfId="6" priority="9">
      <formula>IF($B$2=$B$9,1,0)</formula>
    </cfRule>
  </conditionalFormatting>
  <conditionalFormatting sqref="D170:D200 A200">
    <cfRule type="expression" dxfId="5" priority="6">
      <formula>IF($B$3=$A$28,1,0)</formula>
    </cfRule>
  </conditionalFormatting>
  <conditionalFormatting sqref="AW2:CG3">
    <cfRule type="expression" dxfId="4" priority="4">
      <formula>IF($A$123=$P$2,1,0)</formula>
    </cfRule>
  </conditionalFormatting>
  <hyperlinks>
    <hyperlink ref="H2" location="_edn1" display="_edn1" xr:uid="{00000000-0004-0000-1100-000000000000}"/>
    <hyperlink ref="J34" location="_ednref1" display="_ednref1" xr:uid="{00000000-0004-0000-1100-000001000000}"/>
    <hyperlink ref="J35" location="_ednref2" display="_ednref2" xr:uid="{00000000-0004-0000-1100-000002000000}"/>
    <hyperlink ref="J36" location="_ednref3" display="_ednref3" xr:uid="{00000000-0004-0000-1100-000003000000}"/>
    <hyperlink ref="J37" location="_ednref4" display="_ednref4" xr:uid="{00000000-0004-0000-1100-000004000000}"/>
    <hyperlink ref="J38" location="_ednref5" display="_ednref5" xr:uid="{00000000-0004-0000-1100-000005000000}"/>
    <hyperlink ref="J39" location="_ednref6" display="_ednref6" xr:uid="{00000000-0004-0000-1100-000006000000}"/>
    <hyperlink ref="J40" location="_ednref7" display="_ednref7" xr:uid="{00000000-0004-0000-1100-000007000000}"/>
    <hyperlink ref="J41" location="_ednref8" display="_ednref8" xr:uid="{00000000-0004-0000-1100-000008000000}"/>
    <hyperlink ref="J42" location="_ednref9" display="_ednref9" xr:uid="{00000000-0004-0000-1100-000009000000}"/>
    <hyperlink ref="J43" location="_ednref10" display="_ednref10" xr:uid="{00000000-0004-0000-1100-00000A000000}"/>
    <hyperlink ref="J44" location="_ednref11" display="_ednref11" xr:uid="{00000000-0004-0000-1100-00000B000000}"/>
    <hyperlink ref="J45" location="_ednref12" display="_ednref12" xr:uid="{00000000-0004-0000-1100-00000C000000}"/>
    <hyperlink ref="H3" location="_edn1" display="_edn1" xr:uid="{00000000-0004-0000-1100-00000D000000}"/>
    <hyperlink ref="I2:I7" location="_edn1" display="_edn1" xr:uid="{00000000-0004-0000-1100-00000E000000}"/>
    <hyperlink ref="I11:I13" location="_edn1" display="_edn1" xr:uid="{00000000-0004-0000-1100-00000F000000}"/>
    <hyperlink ref="D33" location="_ftnref1" display="_ftnref1" xr:uid="{00000000-0004-0000-1100-000010000000}"/>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611" id="{6E3AB9A0-F771-4CA5-BF39-D30A799CB1CB}">
            <xm:f>IF('Wnioski art 5 inne'!$A$127=$P$2,1,0)</xm:f>
            <x14:dxf/>
          </x14:cfRule>
          <xm:sqref>A95:AA95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usz13"/>
  <dimension ref="A1:Q9"/>
  <sheetViews>
    <sheetView view="pageBreakPreview" topLeftCell="A2" zoomScale="80" zoomScaleNormal="100" zoomScaleSheetLayoutView="80" workbookViewId="0">
      <selection activeCell="A133" sqref="A133:AL133"/>
    </sheetView>
  </sheetViews>
  <sheetFormatPr defaultRowHeight="14.4" x14ac:dyDescent="0.3"/>
  <cols>
    <col min="1" max="1" width="73.6640625" customWidth="1"/>
    <col min="2" max="2" width="53.5546875" customWidth="1"/>
    <col min="4" max="4" width="21.44140625" customWidth="1"/>
    <col min="6" max="6" width="30.44140625" bestFit="1" customWidth="1"/>
    <col min="7" max="7" width="71" customWidth="1"/>
    <col min="8" max="8" width="16.5546875" customWidth="1"/>
    <col min="17" max="17" width="48.33203125" customWidth="1"/>
  </cols>
  <sheetData>
    <row r="1" spans="1:17" ht="51" customHeight="1" x14ac:dyDescent="0.3">
      <c r="A1" s="182" t="s">
        <v>232</v>
      </c>
      <c r="B1" s="3" t="s">
        <v>0</v>
      </c>
      <c r="C1" s="98">
        <v>0.8</v>
      </c>
      <c r="F1" t="s">
        <v>63</v>
      </c>
      <c r="G1" s="6" t="s">
        <v>73</v>
      </c>
      <c r="O1" s="6" t="s">
        <v>782</v>
      </c>
      <c r="Q1" s="205" t="s">
        <v>785</v>
      </c>
    </row>
    <row r="2" spans="1:17" ht="73.5" customHeight="1" x14ac:dyDescent="0.3">
      <c r="A2" s="181" t="s">
        <v>715</v>
      </c>
      <c r="B2" s="214" t="s">
        <v>778</v>
      </c>
      <c r="D2" s="1" t="s">
        <v>133</v>
      </c>
      <c r="E2" t="s">
        <v>131</v>
      </c>
      <c r="F2" s="8" t="s">
        <v>72</v>
      </c>
      <c r="G2" s="6" t="s">
        <v>79</v>
      </c>
      <c r="H2" t="s">
        <v>207</v>
      </c>
      <c r="I2" s="127" t="s">
        <v>206</v>
      </c>
      <c r="O2" s="6" t="s">
        <v>783</v>
      </c>
      <c r="Q2" s="213" t="s">
        <v>759</v>
      </c>
    </row>
    <row r="3" spans="1:17" ht="115.95" customHeight="1" x14ac:dyDescent="0.3">
      <c r="A3" s="181" t="s">
        <v>716</v>
      </c>
      <c r="B3" s="181" t="s">
        <v>779</v>
      </c>
      <c r="E3" t="s">
        <v>130</v>
      </c>
      <c r="F3" s="7" t="s">
        <v>76</v>
      </c>
      <c r="G3" s="6" t="s">
        <v>81</v>
      </c>
      <c r="H3" t="s">
        <v>86</v>
      </c>
      <c r="I3" t="s">
        <v>87</v>
      </c>
      <c r="Q3" s="213" t="s">
        <v>769</v>
      </c>
    </row>
    <row r="4" spans="1:17" ht="129.44999999999999" customHeight="1" x14ac:dyDescent="0.3">
      <c r="A4" s="181" t="s">
        <v>717</v>
      </c>
      <c r="B4" s="181" t="s">
        <v>685</v>
      </c>
      <c r="F4" s="7" t="s">
        <v>74</v>
      </c>
      <c r="G4" s="6" t="s">
        <v>83</v>
      </c>
      <c r="Q4" s="215" t="s">
        <v>788</v>
      </c>
    </row>
    <row r="5" spans="1:17" ht="126.45" customHeight="1" x14ac:dyDescent="0.3">
      <c r="A5" s="181" t="s">
        <v>718</v>
      </c>
      <c r="B5" s="181" t="s">
        <v>780</v>
      </c>
      <c r="F5" t="s">
        <v>233</v>
      </c>
      <c r="G5" s="6" t="s">
        <v>80</v>
      </c>
      <c r="Q5" s="215" t="s">
        <v>787</v>
      </c>
    </row>
    <row r="6" spans="1:17" ht="126.45" customHeight="1" x14ac:dyDescent="0.3">
      <c r="A6" s="181" t="s">
        <v>719</v>
      </c>
      <c r="B6" s="214" t="s">
        <v>781</v>
      </c>
      <c r="F6" s="183" t="s">
        <v>234</v>
      </c>
      <c r="Q6" s="205"/>
    </row>
    <row r="8" spans="1:17" ht="15.6" x14ac:dyDescent="0.3">
      <c r="A8" s="207"/>
    </row>
    <row r="9" spans="1:17" ht="39.6" x14ac:dyDescent="0.3">
      <c r="A9" s="2" t="s">
        <v>728</v>
      </c>
      <c r="B9" s="208" t="s">
        <v>729</v>
      </c>
    </row>
  </sheetData>
  <sheetProtection algorithmName="SHA-512" hashValue="yPhk8chyfpv/W38hGI8VT/A8k6/ER74szVRXNmpZm7J0z17jYQk70RMJpFKZ2tbF6IRC83AjnX8r+Z48rIDGKQ==" saltValue="i1S8bANqTTw5TzuiHxpySA==" spinCount="100000" sheet="1" objects="1" scenarios="1"/>
  <hyperlinks>
    <hyperlink ref="A6" location="_ftn1" display="_ftn1" xr:uid="{00000000-0004-0000-1200-000000000000}"/>
    <hyperlink ref="A9" location="_ftnref1" display="_ftnref1" xr:uid="{00000000-0004-0000-1200-000001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X12"/>
  <sheetViews>
    <sheetView topLeftCell="A2" zoomScale="70" zoomScaleNormal="70" workbookViewId="0">
      <selection activeCell="A133" sqref="A133:AL133"/>
    </sheetView>
  </sheetViews>
  <sheetFormatPr defaultRowHeight="14.4" x14ac:dyDescent="0.3"/>
  <cols>
    <col min="1" max="1" width="57.33203125" customWidth="1"/>
    <col min="2" max="2" width="74" customWidth="1"/>
    <col min="3" max="3" width="77.6640625" bestFit="1" customWidth="1"/>
    <col min="4" max="4" width="25.6640625" customWidth="1"/>
  </cols>
  <sheetData>
    <row r="1" spans="1:50" ht="15.6" x14ac:dyDescent="0.3">
      <c r="A1" s="187" t="s">
        <v>642</v>
      </c>
      <c r="B1" s="187" t="s">
        <v>643</v>
      </c>
    </row>
    <row r="2" spans="1:50" ht="147.6" customHeight="1" x14ac:dyDescent="0.3">
      <c r="A2" s="181" t="s">
        <v>726</v>
      </c>
      <c r="B2" s="181" t="s">
        <v>806</v>
      </c>
      <c r="C2" s="181" t="s">
        <v>808</v>
      </c>
      <c r="D2" s="181" t="s">
        <v>809</v>
      </c>
    </row>
    <row r="3" spans="1:50" ht="210.6" customHeight="1" x14ac:dyDescent="0.3">
      <c r="A3" s="214" t="s">
        <v>727</v>
      </c>
      <c r="B3" t="s">
        <v>644</v>
      </c>
      <c r="D3" s="181" t="s">
        <v>810</v>
      </c>
      <c r="M3" s="780" t="s">
        <v>653</v>
      </c>
      <c r="N3" s="781"/>
      <c r="O3" s="781"/>
      <c r="P3" s="781"/>
      <c r="Q3" s="781"/>
      <c r="R3" s="781"/>
      <c r="S3" s="781"/>
      <c r="T3" s="781"/>
      <c r="U3" s="781"/>
      <c r="V3" s="781"/>
      <c r="W3" s="781"/>
      <c r="X3" s="781"/>
      <c r="Y3" s="781"/>
      <c r="Z3" s="781"/>
      <c r="AA3" s="781"/>
      <c r="AB3" s="781"/>
      <c r="AC3" s="781"/>
      <c r="AD3" s="781"/>
      <c r="AE3" s="781"/>
      <c r="AF3" s="781"/>
      <c r="AG3" s="781"/>
      <c r="AH3" s="781"/>
      <c r="AI3" s="781"/>
      <c r="AJ3" s="781"/>
      <c r="AK3" s="781"/>
      <c r="AL3" s="781"/>
      <c r="AM3" s="781"/>
      <c r="AN3" s="781"/>
      <c r="AO3" s="781"/>
      <c r="AP3" s="781"/>
      <c r="AQ3" s="781"/>
      <c r="AR3" s="781"/>
      <c r="AS3" s="781"/>
      <c r="AT3" s="781"/>
      <c r="AU3" s="781"/>
      <c r="AV3" s="781"/>
      <c r="AW3" s="781"/>
      <c r="AX3" s="781"/>
    </row>
    <row r="4" spans="1:50" ht="57.6" x14ac:dyDescent="0.3">
      <c r="B4" s="6" t="s">
        <v>652</v>
      </c>
      <c r="C4" t="s">
        <v>688</v>
      </c>
      <c r="M4" t="s">
        <v>662</v>
      </c>
    </row>
    <row r="5" spans="1:50" x14ac:dyDescent="0.3">
      <c r="B5" t="s">
        <v>645</v>
      </c>
      <c r="C5" t="s">
        <v>689</v>
      </c>
      <c r="M5" t="s">
        <v>663</v>
      </c>
    </row>
    <row r="6" spans="1:50" x14ac:dyDescent="0.3">
      <c r="B6" t="s">
        <v>646</v>
      </c>
      <c r="C6" t="s">
        <v>690</v>
      </c>
    </row>
    <row r="7" spans="1:50" x14ac:dyDescent="0.3">
      <c r="B7" t="s">
        <v>647</v>
      </c>
      <c r="C7" t="s">
        <v>691</v>
      </c>
    </row>
    <row r="8" spans="1:50" x14ac:dyDescent="0.3">
      <c r="B8" t="s">
        <v>648</v>
      </c>
      <c r="C8" t="s">
        <v>692</v>
      </c>
    </row>
    <row r="9" spans="1:50" ht="43.2" x14ac:dyDescent="0.3">
      <c r="B9" s="6" t="s">
        <v>649</v>
      </c>
      <c r="C9" t="s">
        <v>693</v>
      </c>
    </row>
    <row r="10" spans="1:50" x14ac:dyDescent="0.3">
      <c r="B10" t="s">
        <v>650</v>
      </c>
      <c r="C10" t="s">
        <v>694</v>
      </c>
    </row>
    <row r="11" spans="1:50" x14ac:dyDescent="0.3">
      <c r="B11" t="s">
        <v>651</v>
      </c>
      <c r="C11" t="s">
        <v>105</v>
      </c>
    </row>
    <row r="12" spans="1:50" x14ac:dyDescent="0.3">
      <c r="B12" t="s">
        <v>105</v>
      </c>
    </row>
  </sheetData>
  <sheetProtection algorithmName="SHA-512" hashValue="7i92DReyUzQH2T1fiZ5nzR33q1rN7Sqedatu1reqeXqS6AjzJERvnzCNPbaWlklBnXXmc01u4MOuj3Fb62F8VQ==" saltValue="9Cgkr78EQLwUUXGHggQhHQ==" spinCount="100000" sheet="1" objects="1" scenarios="1"/>
  <mergeCells count="1">
    <mergeCell ref="M3:AX3"/>
  </mergeCells>
  <dataValidations count="1">
    <dataValidation allowBlank="1" showErrorMessage="1" promptTitle="Wybierz" prompt="właściwe" sqref="M3" xr:uid="{00000000-0002-0000-1300-000000000000}"/>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 id="{EDC05F36-7C6E-4651-93CA-5DA6A309847C}">
            <xm:f>IF('Wniosek art 5 budowa'!M5="",1,0)</xm:f>
            <x14:dxf>
              <fill>
                <patternFill>
                  <bgColor theme="4" tint="-0.24994659260841701"/>
                </patternFill>
              </fill>
            </x14:dxf>
          </x14:cfRule>
          <xm:sqref>M3</xm:sqref>
        </x14:conditionalFormatting>
        <x14:conditionalFormatting xmlns:xm="http://schemas.microsoft.com/office/excel/2006/main">
          <x14:cfRule type="expression" priority="1" id="{5AB7C3AF-C7F0-49E9-8A20-52036E5AF7CE}">
            <xm:f>IF('Wniosek art 5 budowa'!M$176=Słowniki!$P$2,1,0)</xm:f>
            <x14:dxf>
              <font>
                <strike/>
              </font>
            </x14:dxf>
          </x14:cfRule>
          <x14:cfRule type="expression" priority="2" id="{0B62C716-A341-4508-B63B-271C2924472A}">
            <xm:f>IF('Wniosek art 5 budowa'!M$175=Słowniki!$P$2,1,0)</xm:f>
            <x14:dxf>
              <font>
                <strike/>
              </font>
            </x14:dxf>
          </x14:cfRule>
          <x14:cfRule type="expression" priority="3" id="{2361E590-D552-42E2-9B5B-0A2886B27532}">
            <xm:f>IF('Wniosek art 5 budowa'!$A$179=Słowniki!$P$2,1,0)</xm:f>
            <x14:dxf>
              <font>
                <strike/>
              </font>
            </x14:dxf>
          </x14:cfRule>
          <xm:sqref>M3:AX3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81"/>
  <sheetViews>
    <sheetView topLeftCell="A316" workbookViewId="0">
      <selection activeCell="B332" sqref="B332"/>
    </sheetView>
  </sheetViews>
  <sheetFormatPr defaultRowHeight="14.4" x14ac:dyDescent="0.3"/>
  <cols>
    <col min="1" max="1" width="22.33203125" bestFit="1" customWidth="1"/>
    <col min="5" max="5" width="22.33203125" bestFit="1" customWidth="1"/>
    <col min="6" max="6" width="11" customWidth="1"/>
  </cols>
  <sheetData>
    <row r="1" spans="1:6" x14ac:dyDescent="0.3">
      <c r="A1" t="s">
        <v>628</v>
      </c>
      <c r="E1" t="s">
        <v>628</v>
      </c>
      <c r="F1" t="s">
        <v>629</v>
      </c>
    </row>
    <row r="2" spans="1:6" x14ac:dyDescent="0.3">
      <c r="A2" t="s">
        <v>242</v>
      </c>
      <c r="E2" t="s">
        <v>242</v>
      </c>
      <c r="F2" t="s">
        <v>243</v>
      </c>
    </row>
    <row r="3" spans="1:6" x14ac:dyDescent="0.3">
      <c r="A3" t="s">
        <v>273</v>
      </c>
      <c r="E3" t="s">
        <v>242</v>
      </c>
      <c r="F3" t="s">
        <v>244</v>
      </c>
    </row>
    <row r="4" spans="1:6" x14ac:dyDescent="0.3">
      <c r="A4" t="s">
        <v>297</v>
      </c>
      <c r="E4" t="s">
        <v>242</v>
      </c>
      <c r="F4" t="s">
        <v>245</v>
      </c>
    </row>
    <row r="5" spans="1:6" x14ac:dyDescent="0.3">
      <c r="A5" t="s">
        <v>321</v>
      </c>
      <c r="E5" t="s">
        <v>242</v>
      </c>
      <c r="F5" t="s">
        <v>246</v>
      </c>
    </row>
    <row r="6" spans="1:6" x14ac:dyDescent="0.3">
      <c r="A6" t="s">
        <v>336</v>
      </c>
      <c r="E6" t="s">
        <v>242</v>
      </c>
      <c r="F6" t="s">
        <v>247</v>
      </c>
    </row>
    <row r="7" spans="1:6" x14ac:dyDescent="0.3">
      <c r="A7" t="s">
        <v>360</v>
      </c>
      <c r="E7" t="s">
        <v>242</v>
      </c>
      <c r="F7" t="s">
        <v>248</v>
      </c>
    </row>
    <row r="8" spans="1:6" x14ac:dyDescent="0.3">
      <c r="A8" t="s">
        <v>383</v>
      </c>
      <c r="E8" t="s">
        <v>242</v>
      </c>
      <c r="F8" t="s">
        <v>249</v>
      </c>
    </row>
    <row r="9" spans="1:6" x14ac:dyDescent="0.3">
      <c r="A9" t="s">
        <v>426</v>
      </c>
      <c r="E9" t="s">
        <v>242</v>
      </c>
      <c r="F9" t="s">
        <v>250</v>
      </c>
    </row>
    <row r="10" spans="1:6" x14ac:dyDescent="0.3">
      <c r="A10" t="s">
        <v>437</v>
      </c>
      <c r="E10" t="s">
        <v>242</v>
      </c>
      <c r="F10" t="s">
        <v>251</v>
      </c>
    </row>
    <row r="11" spans="1:6" x14ac:dyDescent="0.3">
      <c r="A11" t="s">
        <v>462</v>
      </c>
      <c r="E11" t="s">
        <v>242</v>
      </c>
      <c r="F11" t="s">
        <v>252</v>
      </c>
    </row>
    <row r="12" spans="1:6" x14ac:dyDescent="0.3">
      <c r="A12" t="s">
        <v>480</v>
      </c>
      <c r="E12" t="s">
        <v>242</v>
      </c>
      <c r="F12" t="s">
        <v>253</v>
      </c>
    </row>
    <row r="13" spans="1:6" x14ac:dyDescent="0.3">
      <c r="A13" t="s">
        <v>500</v>
      </c>
      <c r="E13" t="s">
        <v>242</v>
      </c>
      <c r="F13" t="s">
        <v>254</v>
      </c>
    </row>
    <row r="14" spans="1:6" x14ac:dyDescent="0.3">
      <c r="A14" t="s">
        <v>536</v>
      </c>
      <c r="E14" t="s">
        <v>242</v>
      </c>
      <c r="F14" t="s">
        <v>255</v>
      </c>
    </row>
    <row r="15" spans="1:6" x14ac:dyDescent="0.3">
      <c r="A15" t="s">
        <v>551</v>
      </c>
      <c r="E15" t="s">
        <v>242</v>
      </c>
      <c r="F15" t="s">
        <v>256</v>
      </c>
    </row>
    <row r="16" spans="1:6" x14ac:dyDescent="0.3">
      <c r="A16" t="s">
        <v>573</v>
      </c>
      <c r="E16" t="s">
        <v>242</v>
      </c>
      <c r="F16" t="s">
        <v>257</v>
      </c>
    </row>
    <row r="17" spans="1:6" x14ac:dyDescent="0.3">
      <c r="A17" t="s">
        <v>606</v>
      </c>
      <c r="E17" t="s">
        <v>242</v>
      </c>
      <c r="F17" t="s">
        <v>258</v>
      </c>
    </row>
    <row r="18" spans="1:6" x14ac:dyDescent="0.3">
      <c r="E18" t="s">
        <v>242</v>
      </c>
      <c r="F18" t="s">
        <v>259</v>
      </c>
    </row>
    <row r="19" spans="1:6" x14ac:dyDescent="0.3">
      <c r="E19" t="s">
        <v>242</v>
      </c>
      <c r="F19" t="s">
        <v>260</v>
      </c>
    </row>
    <row r="20" spans="1:6" x14ac:dyDescent="0.3">
      <c r="E20" t="s">
        <v>242</v>
      </c>
      <c r="F20" t="s">
        <v>261</v>
      </c>
    </row>
    <row r="21" spans="1:6" x14ac:dyDescent="0.3">
      <c r="E21" t="s">
        <v>242</v>
      </c>
      <c r="F21" t="s">
        <v>262</v>
      </c>
    </row>
    <row r="22" spans="1:6" x14ac:dyDescent="0.3">
      <c r="E22" t="s">
        <v>242</v>
      </c>
      <c r="F22" t="s">
        <v>263</v>
      </c>
    </row>
    <row r="23" spans="1:6" x14ac:dyDescent="0.3">
      <c r="E23" t="s">
        <v>242</v>
      </c>
      <c r="F23" t="s">
        <v>264</v>
      </c>
    </row>
    <row r="24" spans="1:6" x14ac:dyDescent="0.3">
      <c r="E24" t="s">
        <v>242</v>
      </c>
      <c r="F24" t="s">
        <v>265</v>
      </c>
    </row>
    <row r="25" spans="1:6" x14ac:dyDescent="0.3">
      <c r="E25" t="s">
        <v>242</v>
      </c>
      <c r="F25" t="s">
        <v>266</v>
      </c>
    </row>
    <row r="26" spans="1:6" x14ac:dyDescent="0.3">
      <c r="E26" t="s">
        <v>242</v>
      </c>
      <c r="F26" t="s">
        <v>267</v>
      </c>
    </row>
    <row r="27" spans="1:6" x14ac:dyDescent="0.3">
      <c r="E27" t="s">
        <v>242</v>
      </c>
      <c r="F27" t="s">
        <v>268</v>
      </c>
    </row>
    <row r="28" spans="1:6" x14ac:dyDescent="0.3">
      <c r="E28" t="s">
        <v>242</v>
      </c>
      <c r="F28" t="s">
        <v>269</v>
      </c>
    </row>
    <row r="29" spans="1:6" x14ac:dyDescent="0.3">
      <c r="E29" t="s">
        <v>242</v>
      </c>
      <c r="F29" t="s">
        <v>270</v>
      </c>
    </row>
    <row r="30" spans="1:6" x14ac:dyDescent="0.3">
      <c r="E30" t="s">
        <v>242</v>
      </c>
      <c r="F30" t="s">
        <v>271</v>
      </c>
    </row>
    <row r="31" spans="1:6" x14ac:dyDescent="0.3">
      <c r="E31" t="s">
        <v>242</v>
      </c>
      <c r="F31" t="s">
        <v>272</v>
      </c>
    </row>
    <row r="32" spans="1:6" x14ac:dyDescent="0.3">
      <c r="E32" t="s">
        <v>273</v>
      </c>
      <c r="F32" t="s">
        <v>274</v>
      </c>
    </row>
    <row r="33" spans="5:6" x14ac:dyDescent="0.3">
      <c r="E33" t="s">
        <v>273</v>
      </c>
      <c r="F33" t="s">
        <v>275</v>
      </c>
    </row>
    <row r="34" spans="5:6" x14ac:dyDescent="0.3">
      <c r="E34" t="s">
        <v>273</v>
      </c>
      <c r="F34" t="s">
        <v>276</v>
      </c>
    </row>
    <row r="35" spans="5:6" x14ac:dyDescent="0.3">
      <c r="E35" t="s">
        <v>273</v>
      </c>
      <c r="F35" t="s">
        <v>277</v>
      </c>
    </row>
    <row r="36" spans="5:6" x14ac:dyDescent="0.3">
      <c r="E36" t="s">
        <v>273</v>
      </c>
      <c r="F36" t="s">
        <v>278</v>
      </c>
    </row>
    <row r="37" spans="5:6" x14ac:dyDescent="0.3">
      <c r="E37" t="s">
        <v>273</v>
      </c>
      <c r="F37" t="s">
        <v>279</v>
      </c>
    </row>
    <row r="38" spans="5:6" x14ac:dyDescent="0.3">
      <c r="E38" t="s">
        <v>273</v>
      </c>
      <c r="F38" t="s">
        <v>280</v>
      </c>
    </row>
    <row r="39" spans="5:6" x14ac:dyDescent="0.3">
      <c r="E39" t="s">
        <v>273</v>
      </c>
      <c r="F39" t="s">
        <v>281</v>
      </c>
    </row>
    <row r="40" spans="5:6" x14ac:dyDescent="0.3">
      <c r="E40" t="s">
        <v>273</v>
      </c>
      <c r="F40" t="s">
        <v>282</v>
      </c>
    </row>
    <row r="41" spans="5:6" x14ac:dyDescent="0.3">
      <c r="E41" t="s">
        <v>273</v>
      </c>
      <c r="F41" t="s">
        <v>283</v>
      </c>
    </row>
    <row r="42" spans="5:6" x14ac:dyDescent="0.3">
      <c r="E42" t="s">
        <v>273</v>
      </c>
      <c r="F42" t="s">
        <v>284</v>
      </c>
    </row>
    <row r="43" spans="5:6" x14ac:dyDescent="0.3">
      <c r="E43" t="s">
        <v>273</v>
      </c>
      <c r="F43" t="s">
        <v>285</v>
      </c>
    </row>
    <row r="44" spans="5:6" x14ac:dyDescent="0.3">
      <c r="E44" t="s">
        <v>273</v>
      </c>
      <c r="F44" t="s">
        <v>286</v>
      </c>
    </row>
    <row r="45" spans="5:6" x14ac:dyDescent="0.3">
      <c r="E45" t="s">
        <v>273</v>
      </c>
      <c r="F45" t="s">
        <v>287</v>
      </c>
    </row>
    <row r="46" spans="5:6" x14ac:dyDescent="0.3">
      <c r="E46" t="s">
        <v>273</v>
      </c>
      <c r="F46" t="s">
        <v>288</v>
      </c>
    </row>
    <row r="47" spans="5:6" x14ac:dyDescent="0.3">
      <c r="E47" t="s">
        <v>273</v>
      </c>
      <c r="F47" t="s">
        <v>289</v>
      </c>
    </row>
    <row r="48" spans="5:6" x14ac:dyDescent="0.3">
      <c r="E48" t="s">
        <v>273</v>
      </c>
      <c r="F48" t="s">
        <v>290</v>
      </c>
    </row>
    <row r="49" spans="5:6" x14ac:dyDescent="0.3">
      <c r="E49" t="s">
        <v>273</v>
      </c>
      <c r="F49" t="s">
        <v>291</v>
      </c>
    </row>
    <row r="50" spans="5:6" x14ac:dyDescent="0.3">
      <c r="E50" t="s">
        <v>273</v>
      </c>
      <c r="F50" t="s">
        <v>292</v>
      </c>
    </row>
    <row r="51" spans="5:6" x14ac:dyDescent="0.3">
      <c r="E51" t="s">
        <v>273</v>
      </c>
      <c r="F51" t="s">
        <v>293</v>
      </c>
    </row>
    <row r="52" spans="5:6" x14ac:dyDescent="0.3">
      <c r="E52" t="s">
        <v>273</v>
      </c>
      <c r="F52" t="s">
        <v>294</v>
      </c>
    </row>
    <row r="53" spans="5:6" x14ac:dyDescent="0.3">
      <c r="E53" t="s">
        <v>273</v>
      </c>
      <c r="F53" t="s">
        <v>295</v>
      </c>
    </row>
    <row r="54" spans="5:6" x14ac:dyDescent="0.3">
      <c r="E54" t="s">
        <v>273</v>
      </c>
      <c r="F54" t="s">
        <v>296</v>
      </c>
    </row>
    <row r="55" spans="5:6" x14ac:dyDescent="0.3">
      <c r="E55" t="s">
        <v>297</v>
      </c>
      <c r="F55" t="s">
        <v>298</v>
      </c>
    </row>
    <row r="56" spans="5:6" x14ac:dyDescent="0.3">
      <c r="E56" t="s">
        <v>297</v>
      </c>
      <c r="F56" t="s">
        <v>299</v>
      </c>
    </row>
    <row r="57" spans="5:6" x14ac:dyDescent="0.3">
      <c r="E57" t="s">
        <v>297</v>
      </c>
      <c r="F57" t="s">
        <v>300</v>
      </c>
    </row>
    <row r="58" spans="5:6" x14ac:dyDescent="0.3">
      <c r="E58" t="s">
        <v>297</v>
      </c>
      <c r="F58" t="s">
        <v>301</v>
      </c>
    </row>
    <row r="59" spans="5:6" x14ac:dyDescent="0.3">
      <c r="E59" t="s">
        <v>297</v>
      </c>
      <c r="F59" t="s">
        <v>302</v>
      </c>
    </row>
    <row r="60" spans="5:6" x14ac:dyDescent="0.3">
      <c r="E60" t="s">
        <v>297</v>
      </c>
      <c r="F60" t="s">
        <v>303</v>
      </c>
    </row>
    <row r="61" spans="5:6" x14ac:dyDescent="0.3">
      <c r="E61" t="s">
        <v>297</v>
      </c>
      <c r="F61" t="s">
        <v>304</v>
      </c>
    </row>
    <row r="62" spans="5:6" x14ac:dyDescent="0.3">
      <c r="E62" t="s">
        <v>297</v>
      </c>
      <c r="F62" t="s">
        <v>305</v>
      </c>
    </row>
    <row r="63" spans="5:6" x14ac:dyDescent="0.3">
      <c r="E63" t="s">
        <v>297</v>
      </c>
      <c r="F63" t="s">
        <v>306</v>
      </c>
    </row>
    <row r="64" spans="5:6" x14ac:dyDescent="0.3">
      <c r="E64" t="s">
        <v>297</v>
      </c>
      <c r="F64" t="s">
        <v>307</v>
      </c>
    </row>
    <row r="65" spans="5:6" x14ac:dyDescent="0.3">
      <c r="E65" t="s">
        <v>297</v>
      </c>
      <c r="F65" t="s">
        <v>308</v>
      </c>
    </row>
    <row r="66" spans="5:6" x14ac:dyDescent="0.3">
      <c r="E66" t="s">
        <v>297</v>
      </c>
      <c r="F66" t="s">
        <v>309</v>
      </c>
    </row>
    <row r="67" spans="5:6" x14ac:dyDescent="0.3">
      <c r="E67" t="s">
        <v>297</v>
      </c>
      <c r="F67" t="s">
        <v>310</v>
      </c>
    </row>
    <row r="68" spans="5:6" x14ac:dyDescent="0.3">
      <c r="E68" t="s">
        <v>297</v>
      </c>
      <c r="F68" t="s">
        <v>311</v>
      </c>
    </row>
    <row r="69" spans="5:6" x14ac:dyDescent="0.3">
      <c r="E69" t="s">
        <v>297</v>
      </c>
      <c r="F69" t="s">
        <v>312</v>
      </c>
    </row>
    <row r="70" spans="5:6" x14ac:dyDescent="0.3">
      <c r="E70" t="s">
        <v>297</v>
      </c>
      <c r="F70" t="s">
        <v>313</v>
      </c>
    </row>
    <row r="71" spans="5:6" x14ac:dyDescent="0.3">
      <c r="E71" t="s">
        <v>297</v>
      </c>
      <c r="F71" t="s">
        <v>261</v>
      </c>
    </row>
    <row r="72" spans="5:6" x14ac:dyDescent="0.3">
      <c r="E72" t="s">
        <v>297</v>
      </c>
      <c r="F72" t="s">
        <v>314</v>
      </c>
    </row>
    <row r="73" spans="5:6" x14ac:dyDescent="0.3">
      <c r="E73" t="s">
        <v>297</v>
      </c>
      <c r="F73" t="s">
        <v>315</v>
      </c>
    </row>
    <row r="74" spans="5:6" x14ac:dyDescent="0.3">
      <c r="E74" t="s">
        <v>297</v>
      </c>
      <c r="F74" t="s">
        <v>316</v>
      </c>
    </row>
    <row r="75" spans="5:6" x14ac:dyDescent="0.3">
      <c r="E75" t="s">
        <v>297</v>
      </c>
      <c r="F75" t="s">
        <v>317</v>
      </c>
    </row>
    <row r="76" spans="5:6" x14ac:dyDescent="0.3">
      <c r="E76" t="s">
        <v>297</v>
      </c>
      <c r="F76" t="s">
        <v>318</v>
      </c>
    </row>
    <row r="77" spans="5:6" x14ac:dyDescent="0.3">
      <c r="E77" t="s">
        <v>297</v>
      </c>
      <c r="F77" t="s">
        <v>319</v>
      </c>
    </row>
    <row r="78" spans="5:6" x14ac:dyDescent="0.3">
      <c r="E78" t="s">
        <v>297</v>
      </c>
      <c r="F78" t="s">
        <v>320</v>
      </c>
    </row>
    <row r="79" spans="5:6" x14ac:dyDescent="0.3">
      <c r="E79" t="s">
        <v>321</v>
      </c>
      <c r="F79" t="s">
        <v>322</v>
      </c>
    </row>
    <row r="80" spans="5:6" x14ac:dyDescent="0.3">
      <c r="E80" t="s">
        <v>321</v>
      </c>
      <c r="F80" t="s">
        <v>323</v>
      </c>
    </row>
    <row r="81" spans="5:6" x14ac:dyDescent="0.3">
      <c r="E81" t="s">
        <v>321</v>
      </c>
      <c r="F81" t="s">
        <v>324</v>
      </c>
    </row>
    <row r="82" spans="5:6" x14ac:dyDescent="0.3">
      <c r="E82" t="s">
        <v>321</v>
      </c>
      <c r="F82" t="s">
        <v>325</v>
      </c>
    </row>
    <row r="83" spans="5:6" x14ac:dyDescent="0.3">
      <c r="E83" t="s">
        <v>321</v>
      </c>
      <c r="F83" t="s">
        <v>326</v>
      </c>
    </row>
    <row r="84" spans="5:6" x14ac:dyDescent="0.3">
      <c r="E84" t="s">
        <v>321</v>
      </c>
      <c r="F84" t="s">
        <v>327</v>
      </c>
    </row>
    <row r="85" spans="5:6" x14ac:dyDescent="0.3">
      <c r="E85" t="s">
        <v>321</v>
      </c>
      <c r="F85" t="s">
        <v>328</v>
      </c>
    </row>
    <row r="86" spans="5:6" x14ac:dyDescent="0.3">
      <c r="E86" t="s">
        <v>321</v>
      </c>
      <c r="F86" t="s">
        <v>329</v>
      </c>
    </row>
    <row r="87" spans="5:6" x14ac:dyDescent="0.3">
      <c r="E87" t="s">
        <v>321</v>
      </c>
      <c r="F87" t="s">
        <v>330</v>
      </c>
    </row>
    <row r="88" spans="5:6" x14ac:dyDescent="0.3">
      <c r="E88" t="s">
        <v>321</v>
      </c>
      <c r="F88" t="s">
        <v>331</v>
      </c>
    </row>
    <row r="89" spans="5:6" x14ac:dyDescent="0.3">
      <c r="E89" t="s">
        <v>321</v>
      </c>
      <c r="F89" t="s">
        <v>332</v>
      </c>
    </row>
    <row r="90" spans="5:6" x14ac:dyDescent="0.3">
      <c r="E90" t="s">
        <v>321</v>
      </c>
      <c r="F90" t="s">
        <v>333</v>
      </c>
    </row>
    <row r="91" spans="5:6" x14ac:dyDescent="0.3">
      <c r="E91" t="s">
        <v>321</v>
      </c>
      <c r="F91" t="s">
        <v>334</v>
      </c>
    </row>
    <row r="92" spans="5:6" x14ac:dyDescent="0.3">
      <c r="E92" t="s">
        <v>321</v>
      </c>
      <c r="F92" t="s">
        <v>335</v>
      </c>
    </row>
    <row r="93" spans="5:6" x14ac:dyDescent="0.3">
      <c r="E93" t="s">
        <v>336</v>
      </c>
      <c r="F93" t="s">
        <v>337</v>
      </c>
    </row>
    <row r="94" spans="5:6" x14ac:dyDescent="0.3">
      <c r="E94" t="s">
        <v>336</v>
      </c>
      <c r="F94" t="s">
        <v>338</v>
      </c>
    </row>
    <row r="95" spans="5:6" x14ac:dyDescent="0.3">
      <c r="E95" t="s">
        <v>336</v>
      </c>
      <c r="F95" t="s">
        <v>339</v>
      </c>
    </row>
    <row r="96" spans="5:6" x14ac:dyDescent="0.3">
      <c r="E96" t="s">
        <v>336</v>
      </c>
      <c r="F96" t="s">
        <v>340</v>
      </c>
    </row>
    <row r="97" spans="5:6" x14ac:dyDescent="0.3">
      <c r="E97" t="s">
        <v>336</v>
      </c>
      <c r="F97" t="s">
        <v>341</v>
      </c>
    </row>
    <row r="98" spans="5:6" x14ac:dyDescent="0.3">
      <c r="E98" t="s">
        <v>336</v>
      </c>
      <c r="F98" t="s">
        <v>342</v>
      </c>
    </row>
    <row r="99" spans="5:6" x14ac:dyDescent="0.3">
      <c r="E99" t="s">
        <v>336</v>
      </c>
      <c r="F99" t="s">
        <v>343</v>
      </c>
    </row>
    <row r="100" spans="5:6" x14ac:dyDescent="0.3">
      <c r="E100" t="s">
        <v>336</v>
      </c>
      <c r="F100" t="s">
        <v>344</v>
      </c>
    </row>
    <row r="101" spans="5:6" x14ac:dyDescent="0.3">
      <c r="E101" t="s">
        <v>336</v>
      </c>
      <c r="F101" t="s">
        <v>345</v>
      </c>
    </row>
    <row r="102" spans="5:6" x14ac:dyDescent="0.3">
      <c r="E102" t="s">
        <v>336</v>
      </c>
      <c r="F102" t="s">
        <v>346</v>
      </c>
    </row>
    <row r="103" spans="5:6" x14ac:dyDescent="0.3">
      <c r="E103" t="s">
        <v>336</v>
      </c>
      <c r="F103" t="s">
        <v>347</v>
      </c>
    </row>
    <row r="104" spans="5:6" x14ac:dyDescent="0.3">
      <c r="E104" t="s">
        <v>336</v>
      </c>
      <c r="F104" t="s">
        <v>348</v>
      </c>
    </row>
    <row r="105" spans="5:6" x14ac:dyDescent="0.3">
      <c r="E105" t="s">
        <v>336</v>
      </c>
      <c r="F105" t="s">
        <v>349</v>
      </c>
    </row>
    <row r="106" spans="5:6" x14ac:dyDescent="0.3">
      <c r="E106" t="s">
        <v>336</v>
      </c>
      <c r="F106" t="s">
        <v>350</v>
      </c>
    </row>
    <row r="107" spans="5:6" x14ac:dyDescent="0.3">
      <c r="E107" t="s">
        <v>336</v>
      </c>
      <c r="F107" t="s">
        <v>351</v>
      </c>
    </row>
    <row r="108" spans="5:6" x14ac:dyDescent="0.3">
      <c r="E108" t="s">
        <v>336</v>
      </c>
      <c r="F108" t="s">
        <v>314</v>
      </c>
    </row>
    <row r="109" spans="5:6" x14ac:dyDescent="0.3">
      <c r="E109" t="s">
        <v>336</v>
      </c>
      <c r="F109" t="s">
        <v>352</v>
      </c>
    </row>
    <row r="110" spans="5:6" x14ac:dyDescent="0.3">
      <c r="E110" t="s">
        <v>336</v>
      </c>
      <c r="F110" t="s">
        <v>353</v>
      </c>
    </row>
    <row r="111" spans="5:6" x14ac:dyDescent="0.3">
      <c r="E111" t="s">
        <v>336</v>
      </c>
      <c r="F111" t="s">
        <v>354</v>
      </c>
    </row>
    <row r="112" spans="5:6" x14ac:dyDescent="0.3">
      <c r="E112" t="s">
        <v>336</v>
      </c>
      <c r="F112" t="s">
        <v>355</v>
      </c>
    </row>
    <row r="113" spans="5:6" x14ac:dyDescent="0.3">
      <c r="E113" t="s">
        <v>336</v>
      </c>
      <c r="F113" t="s">
        <v>356</v>
      </c>
    </row>
    <row r="114" spans="5:6" x14ac:dyDescent="0.3">
      <c r="E114" t="s">
        <v>336</v>
      </c>
      <c r="F114" t="s">
        <v>357</v>
      </c>
    </row>
    <row r="115" spans="5:6" x14ac:dyDescent="0.3">
      <c r="E115" t="s">
        <v>336</v>
      </c>
      <c r="F115" t="s">
        <v>358</v>
      </c>
    </row>
    <row r="116" spans="5:6" x14ac:dyDescent="0.3">
      <c r="E116" t="s">
        <v>336</v>
      </c>
      <c r="F116" t="s">
        <v>359</v>
      </c>
    </row>
    <row r="117" spans="5:6" x14ac:dyDescent="0.3">
      <c r="E117" t="s">
        <v>360</v>
      </c>
      <c r="F117" t="s">
        <v>361</v>
      </c>
    </row>
    <row r="118" spans="5:6" x14ac:dyDescent="0.3">
      <c r="E118" t="s">
        <v>360</v>
      </c>
      <c r="F118" t="s">
        <v>362</v>
      </c>
    </row>
    <row r="119" spans="5:6" x14ac:dyDescent="0.3">
      <c r="E119" t="s">
        <v>360</v>
      </c>
      <c r="F119" t="s">
        <v>363</v>
      </c>
    </row>
    <row r="120" spans="5:6" x14ac:dyDescent="0.3">
      <c r="E120" t="s">
        <v>360</v>
      </c>
      <c r="F120" t="s">
        <v>364</v>
      </c>
    </row>
    <row r="121" spans="5:6" x14ac:dyDescent="0.3">
      <c r="E121" t="s">
        <v>360</v>
      </c>
      <c r="F121" t="s">
        <v>365</v>
      </c>
    </row>
    <row r="122" spans="5:6" x14ac:dyDescent="0.3">
      <c r="E122" t="s">
        <v>360</v>
      </c>
      <c r="F122" t="s">
        <v>366</v>
      </c>
    </row>
    <row r="123" spans="5:6" x14ac:dyDescent="0.3">
      <c r="E123" t="s">
        <v>360</v>
      </c>
      <c r="F123" t="s">
        <v>367</v>
      </c>
    </row>
    <row r="124" spans="5:6" x14ac:dyDescent="0.3">
      <c r="E124" t="s">
        <v>360</v>
      </c>
      <c r="F124" t="s">
        <v>368</v>
      </c>
    </row>
    <row r="125" spans="5:6" x14ac:dyDescent="0.3">
      <c r="E125" t="s">
        <v>360</v>
      </c>
      <c r="F125" t="s">
        <v>369</v>
      </c>
    </row>
    <row r="126" spans="5:6" x14ac:dyDescent="0.3">
      <c r="E126" t="s">
        <v>360</v>
      </c>
      <c r="F126" t="s">
        <v>370</v>
      </c>
    </row>
    <row r="127" spans="5:6" x14ac:dyDescent="0.3">
      <c r="E127" t="s">
        <v>360</v>
      </c>
      <c r="F127" t="s">
        <v>371</v>
      </c>
    </row>
    <row r="128" spans="5:6" x14ac:dyDescent="0.3">
      <c r="E128" t="s">
        <v>360</v>
      </c>
      <c r="F128" t="s">
        <v>372</v>
      </c>
    </row>
    <row r="129" spans="5:6" x14ac:dyDescent="0.3">
      <c r="E129" t="s">
        <v>360</v>
      </c>
      <c r="F129" t="s">
        <v>373</v>
      </c>
    </row>
    <row r="130" spans="5:6" x14ac:dyDescent="0.3">
      <c r="E130" t="s">
        <v>360</v>
      </c>
      <c r="F130" t="s">
        <v>374</v>
      </c>
    </row>
    <row r="131" spans="5:6" x14ac:dyDescent="0.3">
      <c r="E131" t="s">
        <v>360</v>
      </c>
      <c r="F131" t="s">
        <v>375</v>
      </c>
    </row>
    <row r="132" spans="5:6" x14ac:dyDescent="0.3">
      <c r="E132" t="s">
        <v>360</v>
      </c>
      <c r="F132" t="s">
        <v>376</v>
      </c>
    </row>
    <row r="133" spans="5:6" x14ac:dyDescent="0.3">
      <c r="E133" t="s">
        <v>360</v>
      </c>
      <c r="F133" t="s">
        <v>377</v>
      </c>
    </row>
    <row r="134" spans="5:6" x14ac:dyDescent="0.3">
      <c r="E134" t="s">
        <v>360</v>
      </c>
      <c r="F134" t="s">
        <v>378</v>
      </c>
    </row>
    <row r="135" spans="5:6" x14ac:dyDescent="0.3">
      <c r="E135" t="s">
        <v>360</v>
      </c>
      <c r="F135" t="s">
        <v>379</v>
      </c>
    </row>
    <row r="136" spans="5:6" x14ac:dyDescent="0.3">
      <c r="E136" t="s">
        <v>360</v>
      </c>
      <c r="F136" t="s">
        <v>380</v>
      </c>
    </row>
    <row r="137" spans="5:6" x14ac:dyDescent="0.3">
      <c r="E137" t="s">
        <v>360</v>
      </c>
      <c r="F137" t="s">
        <v>381</v>
      </c>
    </row>
    <row r="138" spans="5:6" x14ac:dyDescent="0.3">
      <c r="E138" t="s">
        <v>360</v>
      </c>
      <c r="F138" t="s">
        <v>382</v>
      </c>
    </row>
    <row r="139" spans="5:6" x14ac:dyDescent="0.3">
      <c r="E139" t="s">
        <v>383</v>
      </c>
      <c r="F139" t="s">
        <v>384</v>
      </c>
    </row>
    <row r="140" spans="5:6" x14ac:dyDescent="0.3">
      <c r="E140" t="s">
        <v>383</v>
      </c>
      <c r="F140" t="s">
        <v>385</v>
      </c>
    </row>
    <row r="141" spans="5:6" x14ac:dyDescent="0.3">
      <c r="E141" t="s">
        <v>383</v>
      </c>
      <c r="F141" t="s">
        <v>386</v>
      </c>
    </row>
    <row r="142" spans="5:6" x14ac:dyDescent="0.3">
      <c r="E142" t="s">
        <v>383</v>
      </c>
      <c r="F142" t="s">
        <v>387</v>
      </c>
    </row>
    <row r="143" spans="5:6" x14ac:dyDescent="0.3">
      <c r="E143" t="s">
        <v>383</v>
      </c>
      <c r="F143" t="s">
        <v>388</v>
      </c>
    </row>
    <row r="144" spans="5:6" x14ac:dyDescent="0.3">
      <c r="E144" t="s">
        <v>383</v>
      </c>
      <c r="F144" t="s">
        <v>389</v>
      </c>
    </row>
    <row r="145" spans="5:6" x14ac:dyDescent="0.3">
      <c r="E145" t="s">
        <v>383</v>
      </c>
      <c r="F145" t="s">
        <v>390</v>
      </c>
    </row>
    <row r="146" spans="5:6" x14ac:dyDescent="0.3">
      <c r="E146" t="s">
        <v>383</v>
      </c>
      <c r="F146" t="s">
        <v>391</v>
      </c>
    </row>
    <row r="147" spans="5:6" x14ac:dyDescent="0.3">
      <c r="E147" t="s">
        <v>383</v>
      </c>
      <c r="F147" t="s">
        <v>392</v>
      </c>
    </row>
    <row r="148" spans="5:6" x14ac:dyDescent="0.3">
      <c r="E148" t="s">
        <v>383</v>
      </c>
      <c r="F148" t="s">
        <v>393</v>
      </c>
    </row>
    <row r="149" spans="5:6" x14ac:dyDescent="0.3">
      <c r="E149" t="s">
        <v>383</v>
      </c>
      <c r="F149" t="s">
        <v>394</v>
      </c>
    </row>
    <row r="150" spans="5:6" x14ac:dyDescent="0.3">
      <c r="E150" t="s">
        <v>383</v>
      </c>
      <c r="F150" t="s">
        <v>395</v>
      </c>
    </row>
    <row r="151" spans="5:6" x14ac:dyDescent="0.3">
      <c r="E151" t="s">
        <v>383</v>
      </c>
      <c r="F151" t="s">
        <v>396</v>
      </c>
    </row>
    <row r="152" spans="5:6" x14ac:dyDescent="0.3">
      <c r="E152" t="s">
        <v>383</v>
      </c>
      <c r="F152" t="s">
        <v>397</v>
      </c>
    </row>
    <row r="153" spans="5:6" x14ac:dyDescent="0.3">
      <c r="E153" t="s">
        <v>383</v>
      </c>
      <c r="F153" t="s">
        <v>398</v>
      </c>
    </row>
    <row r="154" spans="5:6" x14ac:dyDescent="0.3">
      <c r="E154" t="s">
        <v>383</v>
      </c>
      <c r="F154" t="s">
        <v>399</v>
      </c>
    </row>
    <row r="155" spans="5:6" x14ac:dyDescent="0.3">
      <c r="E155" t="s">
        <v>383</v>
      </c>
      <c r="F155" t="s">
        <v>400</v>
      </c>
    </row>
    <row r="156" spans="5:6" x14ac:dyDescent="0.3">
      <c r="E156" t="s">
        <v>383</v>
      </c>
      <c r="F156" t="s">
        <v>401</v>
      </c>
    </row>
    <row r="157" spans="5:6" x14ac:dyDescent="0.3">
      <c r="E157" t="s">
        <v>383</v>
      </c>
      <c r="F157" t="s">
        <v>402</v>
      </c>
    </row>
    <row r="158" spans="5:6" x14ac:dyDescent="0.3">
      <c r="E158" t="s">
        <v>383</v>
      </c>
      <c r="F158" t="s">
        <v>403</v>
      </c>
    </row>
    <row r="159" spans="5:6" x14ac:dyDescent="0.3">
      <c r="E159" t="s">
        <v>383</v>
      </c>
      <c r="F159" t="s">
        <v>404</v>
      </c>
    </row>
    <row r="160" spans="5:6" x14ac:dyDescent="0.3">
      <c r="E160" t="s">
        <v>383</v>
      </c>
      <c r="F160" t="s">
        <v>405</v>
      </c>
    </row>
    <row r="161" spans="5:6" x14ac:dyDescent="0.3">
      <c r="E161" t="s">
        <v>383</v>
      </c>
      <c r="F161" t="s">
        <v>406</v>
      </c>
    </row>
    <row r="162" spans="5:6" x14ac:dyDescent="0.3">
      <c r="E162" t="s">
        <v>383</v>
      </c>
      <c r="F162" t="s">
        <v>407</v>
      </c>
    </row>
    <row r="163" spans="5:6" x14ac:dyDescent="0.3">
      <c r="E163" t="s">
        <v>383</v>
      </c>
      <c r="F163" t="s">
        <v>408</v>
      </c>
    </row>
    <row r="164" spans="5:6" x14ac:dyDescent="0.3">
      <c r="E164" t="s">
        <v>383</v>
      </c>
      <c r="F164" t="s">
        <v>409</v>
      </c>
    </row>
    <row r="165" spans="5:6" x14ac:dyDescent="0.3">
      <c r="E165" t="s">
        <v>383</v>
      </c>
      <c r="F165" t="s">
        <v>410</v>
      </c>
    </row>
    <row r="166" spans="5:6" x14ac:dyDescent="0.3">
      <c r="E166" t="s">
        <v>383</v>
      </c>
      <c r="F166" t="s">
        <v>411</v>
      </c>
    </row>
    <row r="167" spans="5:6" x14ac:dyDescent="0.3">
      <c r="E167" t="s">
        <v>383</v>
      </c>
      <c r="F167" t="s">
        <v>412</v>
      </c>
    </row>
    <row r="168" spans="5:6" x14ac:dyDescent="0.3">
      <c r="E168" t="s">
        <v>383</v>
      </c>
      <c r="F168" t="s">
        <v>413</v>
      </c>
    </row>
    <row r="169" spans="5:6" x14ac:dyDescent="0.3">
      <c r="E169" t="s">
        <v>383</v>
      </c>
      <c r="F169" t="s">
        <v>414</v>
      </c>
    </row>
    <row r="170" spans="5:6" x14ac:dyDescent="0.3">
      <c r="E170" t="s">
        <v>383</v>
      </c>
      <c r="F170" t="s">
        <v>415</v>
      </c>
    </row>
    <row r="171" spans="5:6" x14ac:dyDescent="0.3">
      <c r="E171" t="s">
        <v>383</v>
      </c>
      <c r="F171" t="s">
        <v>416</v>
      </c>
    </row>
    <row r="172" spans="5:6" x14ac:dyDescent="0.3">
      <c r="E172" t="s">
        <v>383</v>
      </c>
      <c r="F172" t="s">
        <v>417</v>
      </c>
    </row>
    <row r="173" spans="5:6" x14ac:dyDescent="0.3">
      <c r="E173" t="s">
        <v>383</v>
      </c>
      <c r="F173" t="s">
        <v>418</v>
      </c>
    </row>
    <row r="174" spans="5:6" x14ac:dyDescent="0.3">
      <c r="E174" t="s">
        <v>383</v>
      </c>
      <c r="F174" t="s">
        <v>419</v>
      </c>
    </row>
    <row r="175" spans="5:6" x14ac:dyDescent="0.3">
      <c r="E175" t="s">
        <v>383</v>
      </c>
      <c r="F175" t="s">
        <v>420</v>
      </c>
    </row>
    <row r="176" spans="5:6" x14ac:dyDescent="0.3">
      <c r="E176" t="s">
        <v>383</v>
      </c>
      <c r="F176" t="s">
        <v>421</v>
      </c>
    </row>
    <row r="177" spans="5:6" x14ac:dyDescent="0.3">
      <c r="E177" t="s">
        <v>383</v>
      </c>
      <c r="F177" t="s">
        <v>422</v>
      </c>
    </row>
    <row r="178" spans="5:6" x14ac:dyDescent="0.3">
      <c r="E178" t="s">
        <v>383</v>
      </c>
      <c r="F178" t="s">
        <v>423</v>
      </c>
    </row>
    <row r="179" spans="5:6" x14ac:dyDescent="0.3">
      <c r="E179" t="s">
        <v>383</v>
      </c>
      <c r="F179" t="s">
        <v>424</v>
      </c>
    </row>
    <row r="180" spans="5:6" x14ac:dyDescent="0.3">
      <c r="E180" t="s">
        <v>383</v>
      </c>
      <c r="F180" t="s">
        <v>425</v>
      </c>
    </row>
    <row r="181" spans="5:6" x14ac:dyDescent="0.3">
      <c r="E181" t="s">
        <v>426</v>
      </c>
      <c r="F181" t="s">
        <v>362</v>
      </c>
    </row>
    <row r="182" spans="5:6" x14ac:dyDescent="0.3">
      <c r="E182" t="s">
        <v>426</v>
      </c>
      <c r="F182" t="s">
        <v>427</v>
      </c>
    </row>
    <row r="183" spans="5:6" x14ac:dyDescent="0.3">
      <c r="E183" t="s">
        <v>426</v>
      </c>
      <c r="F183" t="s">
        <v>428</v>
      </c>
    </row>
    <row r="184" spans="5:6" x14ac:dyDescent="0.3">
      <c r="E184" t="s">
        <v>426</v>
      </c>
      <c r="F184" t="s">
        <v>429</v>
      </c>
    </row>
    <row r="185" spans="5:6" x14ac:dyDescent="0.3">
      <c r="E185" t="s">
        <v>426</v>
      </c>
      <c r="F185" t="s">
        <v>430</v>
      </c>
    </row>
    <row r="186" spans="5:6" x14ac:dyDescent="0.3">
      <c r="E186" t="s">
        <v>426</v>
      </c>
      <c r="F186" t="s">
        <v>431</v>
      </c>
    </row>
    <row r="187" spans="5:6" x14ac:dyDescent="0.3">
      <c r="E187" t="s">
        <v>426</v>
      </c>
      <c r="F187" t="s">
        <v>432</v>
      </c>
    </row>
    <row r="188" spans="5:6" x14ac:dyDescent="0.3">
      <c r="E188" t="s">
        <v>426</v>
      </c>
      <c r="F188" t="s">
        <v>433</v>
      </c>
    </row>
    <row r="189" spans="5:6" x14ac:dyDescent="0.3">
      <c r="E189" t="s">
        <v>426</v>
      </c>
      <c r="F189" t="s">
        <v>309</v>
      </c>
    </row>
    <row r="190" spans="5:6" x14ac:dyDescent="0.3">
      <c r="E190" t="s">
        <v>426</v>
      </c>
      <c r="F190" t="s">
        <v>434</v>
      </c>
    </row>
    <row r="191" spans="5:6" x14ac:dyDescent="0.3">
      <c r="E191" t="s">
        <v>426</v>
      </c>
      <c r="F191" t="s">
        <v>435</v>
      </c>
    </row>
    <row r="192" spans="5:6" x14ac:dyDescent="0.3">
      <c r="E192" t="s">
        <v>426</v>
      </c>
      <c r="F192" t="s">
        <v>436</v>
      </c>
    </row>
    <row r="193" spans="5:6" x14ac:dyDescent="0.3">
      <c r="E193" t="s">
        <v>437</v>
      </c>
      <c r="F193" t="s">
        <v>438</v>
      </c>
    </row>
    <row r="194" spans="5:6" x14ac:dyDescent="0.3">
      <c r="E194" t="s">
        <v>437</v>
      </c>
      <c r="F194" t="s">
        <v>439</v>
      </c>
    </row>
    <row r="195" spans="5:6" x14ac:dyDescent="0.3">
      <c r="E195" t="s">
        <v>437</v>
      </c>
      <c r="F195" t="s">
        <v>440</v>
      </c>
    </row>
    <row r="196" spans="5:6" x14ac:dyDescent="0.3">
      <c r="E196" t="s">
        <v>437</v>
      </c>
      <c r="F196" t="s">
        <v>441</v>
      </c>
    </row>
    <row r="197" spans="5:6" x14ac:dyDescent="0.3">
      <c r="E197" t="s">
        <v>437</v>
      </c>
      <c r="F197" t="s">
        <v>442</v>
      </c>
    </row>
    <row r="198" spans="5:6" x14ac:dyDescent="0.3">
      <c r="E198" t="s">
        <v>437</v>
      </c>
      <c r="F198" t="s">
        <v>443</v>
      </c>
    </row>
    <row r="199" spans="5:6" x14ac:dyDescent="0.3">
      <c r="E199" t="s">
        <v>437</v>
      </c>
      <c r="F199" t="s">
        <v>323</v>
      </c>
    </row>
    <row r="200" spans="5:6" x14ac:dyDescent="0.3">
      <c r="E200" t="s">
        <v>437</v>
      </c>
      <c r="F200" t="s">
        <v>444</v>
      </c>
    </row>
    <row r="201" spans="5:6" x14ac:dyDescent="0.3">
      <c r="E201" t="s">
        <v>437</v>
      </c>
      <c r="F201" t="s">
        <v>445</v>
      </c>
    </row>
    <row r="202" spans="5:6" x14ac:dyDescent="0.3">
      <c r="E202" t="s">
        <v>437</v>
      </c>
      <c r="F202" t="s">
        <v>446</v>
      </c>
    </row>
    <row r="203" spans="5:6" x14ac:dyDescent="0.3">
      <c r="E203" t="s">
        <v>437</v>
      </c>
      <c r="F203" t="s">
        <v>447</v>
      </c>
    </row>
    <row r="204" spans="5:6" x14ac:dyDescent="0.3">
      <c r="E204" t="s">
        <v>437</v>
      </c>
      <c r="F204" t="s">
        <v>448</v>
      </c>
    </row>
    <row r="205" spans="5:6" x14ac:dyDescent="0.3">
      <c r="E205" t="s">
        <v>437</v>
      </c>
      <c r="F205" t="s">
        <v>449</v>
      </c>
    </row>
    <row r="206" spans="5:6" x14ac:dyDescent="0.3">
      <c r="E206" t="s">
        <v>437</v>
      </c>
      <c r="F206" t="s">
        <v>450</v>
      </c>
    </row>
    <row r="207" spans="5:6" x14ac:dyDescent="0.3">
      <c r="E207" t="s">
        <v>437</v>
      </c>
      <c r="F207" t="s">
        <v>451</v>
      </c>
    </row>
    <row r="208" spans="5:6" x14ac:dyDescent="0.3">
      <c r="E208" t="s">
        <v>437</v>
      </c>
      <c r="F208" t="s">
        <v>452</v>
      </c>
    </row>
    <row r="209" spans="5:6" x14ac:dyDescent="0.3">
      <c r="E209" t="s">
        <v>437</v>
      </c>
      <c r="F209" t="s">
        <v>453</v>
      </c>
    </row>
    <row r="210" spans="5:6" x14ac:dyDescent="0.3">
      <c r="E210" t="s">
        <v>437</v>
      </c>
      <c r="F210" t="s">
        <v>454</v>
      </c>
    </row>
    <row r="211" spans="5:6" x14ac:dyDescent="0.3">
      <c r="E211" t="s">
        <v>437</v>
      </c>
      <c r="F211" t="s">
        <v>455</v>
      </c>
    </row>
    <row r="212" spans="5:6" x14ac:dyDescent="0.3">
      <c r="E212" t="s">
        <v>437</v>
      </c>
      <c r="F212" t="s">
        <v>456</v>
      </c>
    </row>
    <row r="213" spans="5:6" x14ac:dyDescent="0.3">
      <c r="E213" t="s">
        <v>437</v>
      </c>
      <c r="F213" t="s">
        <v>457</v>
      </c>
    </row>
    <row r="214" spans="5:6" x14ac:dyDescent="0.3">
      <c r="E214" t="s">
        <v>437</v>
      </c>
      <c r="F214" t="s">
        <v>458</v>
      </c>
    </row>
    <row r="215" spans="5:6" x14ac:dyDescent="0.3">
      <c r="E215" t="s">
        <v>437</v>
      </c>
      <c r="F215" t="s">
        <v>459</v>
      </c>
    </row>
    <row r="216" spans="5:6" x14ac:dyDescent="0.3">
      <c r="E216" t="s">
        <v>437</v>
      </c>
      <c r="F216" t="s">
        <v>460</v>
      </c>
    </row>
    <row r="217" spans="5:6" x14ac:dyDescent="0.3">
      <c r="E217" t="s">
        <v>437</v>
      </c>
      <c r="F217" t="s">
        <v>461</v>
      </c>
    </row>
    <row r="218" spans="5:6" x14ac:dyDescent="0.3">
      <c r="E218" t="s">
        <v>462</v>
      </c>
      <c r="F218" t="s">
        <v>463</v>
      </c>
    </row>
    <row r="219" spans="5:6" x14ac:dyDescent="0.3">
      <c r="E219" t="s">
        <v>462</v>
      </c>
      <c r="F219" t="s">
        <v>464</v>
      </c>
    </row>
    <row r="220" spans="5:6" x14ac:dyDescent="0.3">
      <c r="E220" t="s">
        <v>462</v>
      </c>
      <c r="F220" t="s">
        <v>465</v>
      </c>
    </row>
    <row r="221" spans="5:6" x14ac:dyDescent="0.3">
      <c r="E221" t="s">
        <v>462</v>
      </c>
      <c r="F221" t="s">
        <v>466</v>
      </c>
    </row>
    <row r="222" spans="5:6" x14ac:dyDescent="0.3">
      <c r="E222" t="s">
        <v>462</v>
      </c>
      <c r="F222" t="s">
        <v>467</v>
      </c>
    </row>
    <row r="223" spans="5:6" x14ac:dyDescent="0.3">
      <c r="E223" t="s">
        <v>462</v>
      </c>
      <c r="F223" t="s">
        <v>468</v>
      </c>
    </row>
    <row r="224" spans="5:6" x14ac:dyDescent="0.3">
      <c r="E224" t="s">
        <v>462</v>
      </c>
      <c r="F224" t="s">
        <v>469</v>
      </c>
    </row>
    <row r="225" spans="5:6" x14ac:dyDescent="0.3">
      <c r="E225" t="s">
        <v>462</v>
      </c>
      <c r="F225" t="s">
        <v>470</v>
      </c>
    </row>
    <row r="226" spans="5:6" x14ac:dyDescent="0.3">
      <c r="E226" t="s">
        <v>462</v>
      </c>
      <c r="F226" t="s">
        <v>471</v>
      </c>
    </row>
    <row r="227" spans="5:6" x14ac:dyDescent="0.3">
      <c r="E227" t="s">
        <v>462</v>
      </c>
      <c r="F227" t="s">
        <v>472</v>
      </c>
    </row>
    <row r="228" spans="5:6" x14ac:dyDescent="0.3">
      <c r="E228" t="s">
        <v>462</v>
      </c>
      <c r="F228" t="s">
        <v>473</v>
      </c>
    </row>
    <row r="229" spans="5:6" x14ac:dyDescent="0.3">
      <c r="E229" t="s">
        <v>462</v>
      </c>
      <c r="F229" t="s">
        <v>474</v>
      </c>
    </row>
    <row r="230" spans="5:6" x14ac:dyDescent="0.3">
      <c r="E230" t="s">
        <v>462</v>
      </c>
      <c r="F230" t="s">
        <v>475</v>
      </c>
    </row>
    <row r="231" spans="5:6" x14ac:dyDescent="0.3">
      <c r="E231" t="s">
        <v>462</v>
      </c>
      <c r="F231" t="s">
        <v>476</v>
      </c>
    </row>
    <row r="232" spans="5:6" x14ac:dyDescent="0.3">
      <c r="E232" t="s">
        <v>462</v>
      </c>
      <c r="F232" t="s">
        <v>477</v>
      </c>
    </row>
    <row r="233" spans="5:6" x14ac:dyDescent="0.3">
      <c r="E233" t="s">
        <v>462</v>
      </c>
      <c r="F233" t="s">
        <v>478</v>
      </c>
    </row>
    <row r="234" spans="5:6" x14ac:dyDescent="0.3">
      <c r="E234" t="s">
        <v>462</v>
      </c>
      <c r="F234" t="s">
        <v>479</v>
      </c>
    </row>
    <row r="235" spans="5:6" x14ac:dyDescent="0.3">
      <c r="E235" t="s">
        <v>480</v>
      </c>
      <c r="F235" t="s">
        <v>481</v>
      </c>
    </row>
    <row r="236" spans="5:6" x14ac:dyDescent="0.3">
      <c r="E236" t="s">
        <v>480</v>
      </c>
      <c r="F236" t="s">
        <v>482</v>
      </c>
    </row>
    <row r="237" spans="5:6" x14ac:dyDescent="0.3">
      <c r="E237" t="s">
        <v>480</v>
      </c>
      <c r="F237" t="s">
        <v>483</v>
      </c>
    </row>
    <row r="238" spans="5:6" x14ac:dyDescent="0.3">
      <c r="E238" t="s">
        <v>480</v>
      </c>
      <c r="F238" t="s">
        <v>484</v>
      </c>
    </row>
    <row r="239" spans="5:6" x14ac:dyDescent="0.3">
      <c r="E239" t="s">
        <v>480</v>
      </c>
      <c r="F239" t="s">
        <v>485</v>
      </c>
    </row>
    <row r="240" spans="5:6" x14ac:dyDescent="0.3">
      <c r="E240" t="s">
        <v>480</v>
      </c>
      <c r="F240" t="s">
        <v>486</v>
      </c>
    </row>
    <row r="241" spans="5:6" x14ac:dyDescent="0.3">
      <c r="E241" t="s">
        <v>480</v>
      </c>
      <c r="F241" t="s">
        <v>487</v>
      </c>
    </row>
    <row r="242" spans="5:6" x14ac:dyDescent="0.3">
      <c r="E242" t="s">
        <v>480</v>
      </c>
      <c r="F242" t="s">
        <v>488</v>
      </c>
    </row>
    <row r="243" spans="5:6" x14ac:dyDescent="0.3">
      <c r="E243" t="s">
        <v>480</v>
      </c>
      <c r="F243" t="s">
        <v>489</v>
      </c>
    </row>
    <row r="244" spans="5:6" x14ac:dyDescent="0.3">
      <c r="E244" t="s">
        <v>480</v>
      </c>
      <c r="F244" t="s">
        <v>397</v>
      </c>
    </row>
    <row r="245" spans="5:6" x14ac:dyDescent="0.3">
      <c r="E245" t="s">
        <v>480</v>
      </c>
      <c r="F245" t="s">
        <v>490</v>
      </c>
    </row>
    <row r="246" spans="5:6" x14ac:dyDescent="0.3">
      <c r="E246" t="s">
        <v>480</v>
      </c>
      <c r="F246" t="s">
        <v>491</v>
      </c>
    </row>
    <row r="247" spans="5:6" x14ac:dyDescent="0.3">
      <c r="E247" t="s">
        <v>480</v>
      </c>
      <c r="F247" t="s">
        <v>492</v>
      </c>
    </row>
    <row r="248" spans="5:6" x14ac:dyDescent="0.3">
      <c r="E248" t="s">
        <v>480</v>
      </c>
      <c r="F248" t="s">
        <v>493</v>
      </c>
    </row>
    <row r="249" spans="5:6" x14ac:dyDescent="0.3">
      <c r="E249" t="s">
        <v>480</v>
      </c>
      <c r="F249" t="s">
        <v>494</v>
      </c>
    </row>
    <row r="250" spans="5:6" x14ac:dyDescent="0.3">
      <c r="E250" t="s">
        <v>480</v>
      </c>
      <c r="F250" t="s">
        <v>495</v>
      </c>
    </row>
    <row r="251" spans="5:6" x14ac:dyDescent="0.3">
      <c r="E251" t="s">
        <v>480</v>
      </c>
      <c r="F251" t="s">
        <v>496</v>
      </c>
    </row>
    <row r="252" spans="5:6" x14ac:dyDescent="0.3">
      <c r="E252" t="s">
        <v>480</v>
      </c>
      <c r="F252" t="s">
        <v>497</v>
      </c>
    </row>
    <row r="253" spans="5:6" x14ac:dyDescent="0.3">
      <c r="E253" t="s">
        <v>480</v>
      </c>
      <c r="F253" t="s">
        <v>498</v>
      </c>
    </row>
    <row r="254" spans="5:6" x14ac:dyDescent="0.3">
      <c r="E254" t="s">
        <v>480</v>
      </c>
      <c r="F254" t="s">
        <v>499</v>
      </c>
    </row>
    <row r="255" spans="5:6" x14ac:dyDescent="0.3">
      <c r="E255" t="s">
        <v>500</v>
      </c>
      <c r="F255" t="s">
        <v>501</v>
      </c>
    </row>
    <row r="256" spans="5:6" x14ac:dyDescent="0.3">
      <c r="E256" t="s">
        <v>500</v>
      </c>
      <c r="F256" t="s">
        <v>465</v>
      </c>
    </row>
    <row r="257" spans="5:6" x14ac:dyDescent="0.3">
      <c r="E257" t="s">
        <v>500</v>
      </c>
      <c r="F257" t="s">
        <v>502</v>
      </c>
    </row>
    <row r="258" spans="5:6" x14ac:dyDescent="0.3">
      <c r="E258" t="s">
        <v>500</v>
      </c>
      <c r="F258" t="s">
        <v>503</v>
      </c>
    </row>
    <row r="259" spans="5:6" x14ac:dyDescent="0.3">
      <c r="E259" t="s">
        <v>500</v>
      </c>
      <c r="F259" t="s">
        <v>504</v>
      </c>
    </row>
    <row r="260" spans="5:6" x14ac:dyDescent="0.3">
      <c r="E260" t="s">
        <v>500</v>
      </c>
      <c r="F260" t="s">
        <v>505</v>
      </c>
    </row>
    <row r="261" spans="5:6" x14ac:dyDescent="0.3">
      <c r="E261" t="s">
        <v>500</v>
      </c>
      <c r="F261" t="s">
        <v>506</v>
      </c>
    </row>
    <row r="262" spans="5:6" x14ac:dyDescent="0.3">
      <c r="E262" t="s">
        <v>500</v>
      </c>
      <c r="F262" t="s">
        <v>507</v>
      </c>
    </row>
    <row r="263" spans="5:6" x14ac:dyDescent="0.3">
      <c r="E263" t="s">
        <v>500</v>
      </c>
      <c r="F263" t="s">
        <v>508</v>
      </c>
    </row>
    <row r="264" spans="5:6" x14ac:dyDescent="0.3">
      <c r="E264" t="s">
        <v>500</v>
      </c>
      <c r="F264" t="s">
        <v>509</v>
      </c>
    </row>
    <row r="265" spans="5:6" x14ac:dyDescent="0.3">
      <c r="E265" t="s">
        <v>500</v>
      </c>
      <c r="F265" t="s">
        <v>510</v>
      </c>
    </row>
    <row r="266" spans="5:6" x14ac:dyDescent="0.3">
      <c r="E266" t="s">
        <v>500</v>
      </c>
      <c r="F266" t="s">
        <v>511</v>
      </c>
    </row>
    <row r="267" spans="5:6" x14ac:dyDescent="0.3">
      <c r="E267" t="s">
        <v>500</v>
      </c>
      <c r="F267" t="s">
        <v>512</v>
      </c>
    </row>
    <row r="268" spans="5:6" x14ac:dyDescent="0.3">
      <c r="E268" t="s">
        <v>500</v>
      </c>
      <c r="F268" t="s">
        <v>513</v>
      </c>
    </row>
    <row r="269" spans="5:6" x14ac:dyDescent="0.3">
      <c r="E269" t="s">
        <v>500</v>
      </c>
      <c r="F269" t="s">
        <v>514</v>
      </c>
    </row>
    <row r="270" spans="5:6" x14ac:dyDescent="0.3">
      <c r="E270" t="s">
        <v>500</v>
      </c>
      <c r="F270" t="s">
        <v>515</v>
      </c>
    </row>
    <row r="271" spans="5:6" x14ac:dyDescent="0.3">
      <c r="E271" t="s">
        <v>500</v>
      </c>
      <c r="F271" t="s">
        <v>516</v>
      </c>
    </row>
    <row r="272" spans="5:6" x14ac:dyDescent="0.3">
      <c r="E272" t="s">
        <v>500</v>
      </c>
      <c r="F272" t="s">
        <v>517</v>
      </c>
    </row>
    <row r="273" spans="5:6" x14ac:dyDescent="0.3">
      <c r="E273" t="s">
        <v>500</v>
      </c>
      <c r="F273" t="s">
        <v>518</v>
      </c>
    </row>
    <row r="274" spans="5:6" x14ac:dyDescent="0.3">
      <c r="E274" t="s">
        <v>500</v>
      </c>
      <c r="F274" t="s">
        <v>519</v>
      </c>
    </row>
    <row r="275" spans="5:6" x14ac:dyDescent="0.3">
      <c r="E275" t="s">
        <v>500</v>
      </c>
      <c r="F275" t="s">
        <v>520</v>
      </c>
    </row>
    <row r="276" spans="5:6" x14ac:dyDescent="0.3">
      <c r="E276" t="s">
        <v>500</v>
      </c>
      <c r="F276" t="s">
        <v>521</v>
      </c>
    </row>
    <row r="277" spans="5:6" x14ac:dyDescent="0.3">
      <c r="E277" t="s">
        <v>500</v>
      </c>
      <c r="F277" t="s">
        <v>522</v>
      </c>
    </row>
    <row r="278" spans="5:6" x14ac:dyDescent="0.3">
      <c r="E278" t="s">
        <v>500</v>
      </c>
      <c r="F278" t="s">
        <v>523</v>
      </c>
    </row>
    <row r="279" spans="5:6" x14ac:dyDescent="0.3">
      <c r="E279" t="s">
        <v>500</v>
      </c>
      <c r="F279" t="s">
        <v>524</v>
      </c>
    </row>
    <row r="280" spans="5:6" x14ac:dyDescent="0.3">
      <c r="E280" t="s">
        <v>500</v>
      </c>
      <c r="F280" t="s">
        <v>525</v>
      </c>
    </row>
    <row r="281" spans="5:6" x14ac:dyDescent="0.3">
      <c r="E281" t="s">
        <v>500</v>
      </c>
      <c r="F281" t="s">
        <v>526</v>
      </c>
    </row>
    <row r="282" spans="5:6" x14ac:dyDescent="0.3">
      <c r="E282" t="s">
        <v>500</v>
      </c>
      <c r="F282" t="s">
        <v>527</v>
      </c>
    </row>
    <row r="283" spans="5:6" x14ac:dyDescent="0.3">
      <c r="E283" t="s">
        <v>500</v>
      </c>
      <c r="F283" t="s">
        <v>528</v>
      </c>
    </row>
    <row r="284" spans="5:6" x14ac:dyDescent="0.3">
      <c r="E284" t="s">
        <v>500</v>
      </c>
      <c r="F284" t="s">
        <v>529</v>
      </c>
    </row>
    <row r="285" spans="5:6" x14ac:dyDescent="0.3">
      <c r="E285" t="s">
        <v>500</v>
      </c>
      <c r="F285" t="s">
        <v>530</v>
      </c>
    </row>
    <row r="286" spans="5:6" x14ac:dyDescent="0.3">
      <c r="E286" t="s">
        <v>500</v>
      </c>
      <c r="F286" t="s">
        <v>531</v>
      </c>
    </row>
    <row r="287" spans="5:6" x14ac:dyDescent="0.3">
      <c r="E287" t="s">
        <v>500</v>
      </c>
      <c r="F287" t="s">
        <v>532</v>
      </c>
    </row>
    <row r="288" spans="5:6" x14ac:dyDescent="0.3">
      <c r="E288" t="s">
        <v>500</v>
      </c>
      <c r="F288" t="s">
        <v>533</v>
      </c>
    </row>
    <row r="289" spans="5:6" x14ac:dyDescent="0.3">
      <c r="E289" t="s">
        <v>500</v>
      </c>
      <c r="F289" t="s">
        <v>534</v>
      </c>
    </row>
    <row r="290" spans="5:6" x14ac:dyDescent="0.3">
      <c r="E290" t="s">
        <v>500</v>
      </c>
      <c r="F290" t="s">
        <v>535</v>
      </c>
    </row>
    <row r="291" spans="5:6" x14ac:dyDescent="0.3">
      <c r="E291" t="s">
        <v>536</v>
      </c>
      <c r="F291" t="s">
        <v>537</v>
      </c>
    </row>
    <row r="292" spans="5:6" x14ac:dyDescent="0.3">
      <c r="E292" t="s">
        <v>536</v>
      </c>
      <c r="F292" t="s">
        <v>538</v>
      </c>
    </row>
    <row r="293" spans="5:6" x14ac:dyDescent="0.3">
      <c r="E293" t="s">
        <v>536</v>
      </c>
      <c r="F293" t="s">
        <v>539</v>
      </c>
    </row>
    <row r="294" spans="5:6" x14ac:dyDescent="0.3">
      <c r="E294" t="s">
        <v>536</v>
      </c>
      <c r="F294" t="s">
        <v>540</v>
      </c>
    </row>
    <row r="295" spans="5:6" x14ac:dyDescent="0.3">
      <c r="E295" t="s">
        <v>536</v>
      </c>
      <c r="F295" t="s">
        <v>541</v>
      </c>
    </row>
    <row r="296" spans="5:6" x14ac:dyDescent="0.3">
      <c r="E296" t="s">
        <v>536</v>
      </c>
      <c r="F296" t="s">
        <v>542</v>
      </c>
    </row>
    <row r="297" spans="5:6" x14ac:dyDescent="0.3">
      <c r="E297" t="s">
        <v>536</v>
      </c>
      <c r="F297" t="s">
        <v>543</v>
      </c>
    </row>
    <row r="298" spans="5:6" x14ac:dyDescent="0.3">
      <c r="E298" t="s">
        <v>536</v>
      </c>
      <c r="F298" t="s">
        <v>544</v>
      </c>
    </row>
    <row r="299" spans="5:6" x14ac:dyDescent="0.3">
      <c r="E299" t="s">
        <v>536</v>
      </c>
      <c r="F299" t="s">
        <v>545</v>
      </c>
    </row>
    <row r="300" spans="5:6" x14ac:dyDescent="0.3">
      <c r="E300" t="s">
        <v>536</v>
      </c>
      <c r="F300" t="s">
        <v>546</v>
      </c>
    </row>
    <row r="301" spans="5:6" x14ac:dyDescent="0.3">
      <c r="E301" t="s">
        <v>536</v>
      </c>
      <c r="F301" t="s">
        <v>547</v>
      </c>
    </row>
    <row r="302" spans="5:6" x14ac:dyDescent="0.3">
      <c r="E302" t="s">
        <v>536</v>
      </c>
      <c r="F302" t="s">
        <v>548</v>
      </c>
    </row>
    <row r="303" spans="5:6" x14ac:dyDescent="0.3">
      <c r="E303" t="s">
        <v>536</v>
      </c>
      <c r="F303" t="s">
        <v>549</v>
      </c>
    </row>
    <row r="304" spans="5:6" x14ac:dyDescent="0.3">
      <c r="E304" t="s">
        <v>536</v>
      </c>
      <c r="F304" t="s">
        <v>550</v>
      </c>
    </row>
    <row r="305" spans="5:6" x14ac:dyDescent="0.3">
      <c r="E305" t="s">
        <v>551</v>
      </c>
      <c r="F305" t="s">
        <v>552</v>
      </c>
    </row>
    <row r="306" spans="5:6" x14ac:dyDescent="0.3">
      <c r="E306" t="s">
        <v>551</v>
      </c>
      <c r="F306" t="s">
        <v>553</v>
      </c>
    </row>
    <row r="307" spans="5:6" x14ac:dyDescent="0.3">
      <c r="E307" t="s">
        <v>551</v>
      </c>
      <c r="F307" t="s">
        <v>554</v>
      </c>
    </row>
    <row r="308" spans="5:6" x14ac:dyDescent="0.3">
      <c r="E308" t="s">
        <v>551</v>
      </c>
      <c r="F308" t="s">
        <v>555</v>
      </c>
    </row>
    <row r="309" spans="5:6" x14ac:dyDescent="0.3">
      <c r="E309" t="s">
        <v>551</v>
      </c>
      <c r="F309" t="s">
        <v>556</v>
      </c>
    </row>
    <row r="310" spans="5:6" x14ac:dyDescent="0.3">
      <c r="E310" t="s">
        <v>551</v>
      </c>
      <c r="F310" t="s">
        <v>557</v>
      </c>
    </row>
    <row r="311" spans="5:6" x14ac:dyDescent="0.3">
      <c r="E311" t="s">
        <v>551</v>
      </c>
      <c r="F311" t="s">
        <v>558</v>
      </c>
    </row>
    <row r="312" spans="5:6" x14ac:dyDescent="0.3">
      <c r="E312" t="s">
        <v>551</v>
      </c>
      <c r="F312" t="s">
        <v>559</v>
      </c>
    </row>
    <row r="313" spans="5:6" x14ac:dyDescent="0.3">
      <c r="E313" t="s">
        <v>551</v>
      </c>
      <c r="F313" t="s">
        <v>560</v>
      </c>
    </row>
    <row r="314" spans="5:6" x14ac:dyDescent="0.3">
      <c r="E314" t="s">
        <v>551</v>
      </c>
      <c r="F314" t="s">
        <v>561</v>
      </c>
    </row>
    <row r="315" spans="5:6" x14ac:dyDescent="0.3">
      <c r="E315" t="s">
        <v>551</v>
      </c>
      <c r="F315" t="s">
        <v>562</v>
      </c>
    </row>
    <row r="316" spans="5:6" x14ac:dyDescent="0.3">
      <c r="E316" t="s">
        <v>551</v>
      </c>
      <c r="F316" t="s">
        <v>563</v>
      </c>
    </row>
    <row r="317" spans="5:6" x14ac:dyDescent="0.3">
      <c r="E317" t="s">
        <v>551</v>
      </c>
      <c r="F317" t="s">
        <v>564</v>
      </c>
    </row>
    <row r="318" spans="5:6" x14ac:dyDescent="0.3">
      <c r="E318" t="s">
        <v>551</v>
      </c>
      <c r="F318" t="s">
        <v>565</v>
      </c>
    </row>
    <row r="319" spans="5:6" x14ac:dyDescent="0.3">
      <c r="E319" t="s">
        <v>551</v>
      </c>
      <c r="F319" t="s">
        <v>566</v>
      </c>
    </row>
    <row r="320" spans="5:6" x14ac:dyDescent="0.3">
      <c r="E320" t="s">
        <v>551</v>
      </c>
      <c r="F320" t="s">
        <v>567</v>
      </c>
    </row>
    <row r="321" spans="5:6" x14ac:dyDescent="0.3">
      <c r="E321" t="s">
        <v>551</v>
      </c>
      <c r="F321" t="s">
        <v>568</v>
      </c>
    </row>
    <row r="322" spans="5:6" x14ac:dyDescent="0.3">
      <c r="E322" t="s">
        <v>551</v>
      </c>
      <c r="F322" t="s">
        <v>569</v>
      </c>
    </row>
    <row r="323" spans="5:6" x14ac:dyDescent="0.3">
      <c r="E323" t="s">
        <v>551</v>
      </c>
      <c r="F323" t="s">
        <v>570</v>
      </c>
    </row>
    <row r="324" spans="5:6" x14ac:dyDescent="0.3">
      <c r="E324" t="s">
        <v>551</v>
      </c>
      <c r="F324" t="s">
        <v>571</v>
      </c>
    </row>
    <row r="325" spans="5:6" x14ac:dyDescent="0.3">
      <c r="E325" t="s">
        <v>551</v>
      </c>
      <c r="F325" t="s">
        <v>572</v>
      </c>
    </row>
    <row r="326" spans="5:6" x14ac:dyDescent="0.3">
      <c r="E326" t="s">
        <v>573</v>
      </c>
      <c r="F326" t="s">
        <v>574</v>
      </c>
    </row>
    <row r="327" spans="5:6" x14ac:dyDescent="0.3">
      <c r="E327" t="s">
        <v>573</v>
      </c>
      <c r="F327" t="s">
        <v>575</v>
      </c>
    </row>
    <row r="328" spans="5:6" x14ac:dyDescent="0.3">
      <c r="E328" t="s">
        <v>573</v>
      </c>
      <c r="F328" t="s">
        <v>576</v>
      </c>
    </row>
    <row r="329" spans="5:6" x14ac:dyDescent="0.3">
      <c r="E329" t="s">
        <v>573</v>
      </c>
      <c r="F329" t="s">
        <v>577</v>
      </c>
    </row>
    <row r="330" spans="5:6" x14ac:dyDescent="0.3">
      <c r="E330" t="s">
        <v>573</v>
      </c>
      <c r="F330" t="s">
        <v>388</v>
      </c>
    </row>
    <row r="331" spans="5:6" x14ac:dyDescent="0.3">
      <c r="E331" t="s">
        <v>573</v>
      </c>
      <c r="F331" t="s">
        <v>578</v>
      </c>
    </row>
    <row r="332" spans="5:6" x14ac:dyDescent="0.3">
      <c r="E332" t="s">
        <v>573</v>
      </c>
      <c r="F332" t="s">
        <v>579</v>
      </c>
    </row>
    <row r="333" spans="5:6" x14ac:dyDescent="0.3">
      <c r="E333" t="s">
        <v>573</v>
      </c>
      <c r="F333" t="s">
        <v>580</v>
      </c>
    </row>
    <row r="334" spans="5:6" x14ac:dyDescent="0.3">
      <c r="E334" t="s">
        <v>573</v>
      </c>
      <c r="F334" t="s">
        <v>581</v>
      </c>
    </row>
    <row r="335" spans="5:6" x14ac:dyDescent="0.3">
      <c r="E335" t="s">
        <v>573</v>
      </c>
      <c r="F335" t="s">
        <v>582</v>
      </c>
    </row>
    <row r="336" spans="5:6" x14ac:dyDescent="0.3">
      <c r="E336" t="s">
        <v>573</v>
      </c>
      <c r="F336" t="s">
        <v>583</v>
      </c>
    </row>
    <row r="337" spans="5:6" x14ac:dyDescent="0.3">
      <c r="E337" t="s">
        <v>573</v>
      </c>
      <c r="F337" t="s">
        <v>584</v>
      </c>
    </row>
    <row r="338" spans="5:6" x14ac:dyDescent="0.3">
      <c r="E338" t="s">
        <v>573</v>
      </c>
      <c r="F338" t="s">
        <v>585</v>
      </c>
    </row>
    <row r="339" spans="5:6" x14ac:dyDescent="0.3">
      <c r="E339" t="s">
        <v>573</v>
      </c>
      <c r="F339" t="s">
        <v>586</v>
      </c>
    </row>
    <row r="340" spans="5:6" x14ac:dyDescent="0.3">
      <c r="E340" t="s">
        <v>573</v>
      </c>
      <c r="F340" t="s">
        <v>587</v>
      </c>
    </row>
    <row r="341" spans="5:6" x14ac:dyDescent="0.3">
      <c r="E341" t="s">
        <v>573</v>
      </c>
      <c r="F341" t="s">
        <v>588</v>
      </c>
    </row>
    <row r="342" spans="5:6" x14ac:dyDescent="0.3">
      <c r="E342" t="s">
        <v>573</v>
      </c>
      <c r="F342" t="s">
        <v>399</v>
      </c>
    </row>
    <row r="343" spans="5:6" x14ac:dyDescent="0.3">
      <c r="E343" t="s">
        <v>573</v>
      </c>
      <c r="F343" t="s">
        <v>589</v>
      </c>
    </row>
    <row r="344" spans="5:6" x14ac:dyDescent="0.3">
      <c r="E344" t="s">
        <v>573</v>
      </c>
      <c r="F344" t="s">
        <v>590</v>
      </c>
    </row>
    <row r="345" spans="5:6" x14ac:dyDescent="0.3">
      <c r="E345" t="s">
        <v>573</v>
      </c>
      <c r="F345" t="s">
        <v>591</v>
      </c>
    </row>
    <row r="346" spans="5:6" x14ac:dyDescent="0.3">
      <c r="E346" t="s">
        <v>573</v>
      </c>
      <c r="F346" t="s">
        <v>592</v>
      </c>
    </row>
    <row r="347" spans="5:6" x14ac:dyDescent="0.3">
      <c r="E347" t="s">
        <v>573</v>
      </c>
      <c r="F347" t="s">
        <v>593</v>
      </c>
    </row>
    <row r="348" spans="5:6" x14ac:dyDescent="0.3">
      <c r="E348" t="s">
        <v>573</v>
      </c>
      <c r="F348" t="s">
        <v>594</v>
      </c>
    </row>
    <row r="349" spans="5:6" x14ac:dyDescent="0.3">
      <c r="E349" t="s">
        <v>573</v>
      </c>
      <c r="F349" t="s">
        <v>595</v>
      </c>
    </row>
    <row r="350" spans="5:6" x14ac:dyDescent="0.3">
      <c r="E350" t="s">
        <v>573</v>
      </c>
      <c r="F350" t="s">
        <v>260</v>
      </c>
    </row>
    <row r="351" spans="5:6" x14ac:dyDescent="0.3">
      <c r="E351" t="s">
        <v>573</v>
      </c>
      <c r="F351" t="s">
        <v>596</v>
      </c>
    </row>
    <row r="352" spans="5:6" x14ac:dyDescent="0.3">
      <c r="E352" t="s">
        <v>573</v>
      </c>
      <c r="F352" t="s">
        <v>597</v>
      </c>
    </row>
    <row r="353" spans="5:6" x14ac:dyDescent="0.3">
      <c r="E353" t="s">
        <v>573</v>
      </c>
      <c r="F353" t="s">
        <v>598</v>
      </c>
    </row>
    <row r="354" spans="5:6" x14ac:dyDescent="0.3">
      <c r="E354" t="s">
        <v>573</v>
      </c>
      <c r="F354" t="s">
        <v>599</v>
      </c>
    </row>
    <row r="355" spans="5:6" x14ac:dyDescent="0.3">
      <c r="E355" t="s">
        <v>573</v>
      </c>
      <c r="F355" t="s">
        <v>600</v>
      </c>
    </row>
    <row r="356" spans="5:6" x14ac:dyDescent="0.3">
      <c r="E356" t="s">
        <v>573</v>
      </c>
      <c r="F356" t="s">
        <v>601</v>
      </c>
    </row>
    <row r="357" spans="5:6" x14ac:dyDescent="0.3">
      <c r="E357" t="s">
        <v>573</v>
      </c>
      <c r="F357" t="s">
        <v>602</v>
      </c>
    </row>
    <row r="358" spans="5:6" x14ac:dyDescent="0.3">
      <c r="E358" t="s">
        <v>573</v>
      </c>
      <c r="F358" t="s">
        <v>603</v>
      </c>
    </row>
    <row r="359" spans="5:6" x14ac:dyDescent="0.3">
      <c r="E359" t="s">
        <v>573</v>
      </c>
      <c r="F359" t="s">
        <v>604</v>
      </c>
    </row>
    <row r="360" spans="5:6" x14ac:dyDescent="0.3">
      <c r="E360" t="s">
        <v>573</v>
      </c>
      <c r="F360" t="s">
        <v>605</v>
      </c>
    </row>
    <row r="361" spans="5:6" x14ac:dyDescent="0.3">
      <c r="E361" t="s">
        <v>606</v>
      </c>
      <c r="F361" t="s">
        <v>607</v>
      </c>
    </row>
    <row r="362" spans="5:6" x14ac:dyDescent="0.3">
      <c r="E362" t="s">
        <v>606</v>
      </c>
      <c r="F362" t="s">
        <v>608</v>
      </c>
    </row>
    <row r="363" spans="5:6" x14ac:dyDescent="0.3">
      <c r="E363" t="s">
        <v>606</v>
      </c>
      <c r="F363" t="s">
        <v>609</v>
      </c>
    </row>
    <row r="364" spans="5:6" x14ac:dyDescent="0.3">
      <c r="E364" t="s">
        <v>606</v>
      </c>
      <c r="F364" t="s">
        <v>610</v>
      </c>
    </row>
    <row r="365" spans="5:6" x14ac:dyDescent="0.3">
      <c r="E365" t="s">
        <v>606</v>
      </c>
      <c r="F365" t="s">
        <v>611</v>
      </c>
    </row>
    <row r="366" spans="5:6" x14ac:dyDescent="0.3">
      <c r="E366" t="s">
        <v>606</v>
      </c>
      <c r="F366" t="s">
        <v>612</v>
      </c>
    </row>
    <row r="367" spans="5:6" x14ac:dyDescent="0.3">
      <c r="E367" t="s">
        <v>606</v>
      </c>
      <c r="F367" t="s">
        <v>613</v>
      </c>
    </row>
    <row r="368" spans="5:6" x14ac:dyDescent="0.3">
      <c r="E368" t="s">
        <v>606</v>
      </c>
      <c r="F368" t="s">
        <v>614</v>
      </c>
    </row>
    <row r="369" spans="5:6" x14ac:dyDescent="0.3">
      <c r="E369" t="s">
        <v>606</v>
      </c>
      <c r="F369" t="s">
        <v>615</v>
      </c>
    </row>
    <row r="370" spans="5:6" x14ac:dyDescent="0.3">
      <c r="E370" t="s">
        <v>606</v>
      </c>
      <c r="F370" t="s">
        <v>616</v>
      </c>
    </row>
    <row r="371" spans="5:6" x14ac:dyDescent="0.3">
      <c r="E371" t="s">
        <v>606</v>
      </c>
      <c r="F371" t="s">
        <v>617</v>
      </c>
    </row>
    <row r="372" spans="5:6" x14ac:dyDescent="0.3">
      <c r="E372" t="s">
        <v>606</v>
      </c>
      <c r="F372" t="s">
        <v>618</v>
      </c>
    </row>
    <row r="373" spans="5:6" x14ac:dyDescent="0.3">
      <c r="E373" t="s">
        <v>606</v>
      </c>
      <c r="F373" t="s">
        <v>619</v>
      </c>
    </row>
    <row r="374" spans="5:6" x14ac:dyDescent="0.3">
      <c r="E374" t="s">
        <v>606</v>
      </c>
      <c r="F374" t="s">
        <v>620</v>
      </c>
    </row>
    <row r="375" spans="5:6" x14ac:dyDescent="0.3">
      <c r="E375" t="s">
        <v>606</v>
      </c>
      <c r="F375" t="s">
        <v>621</v>
      </c>
    </row>
    <row r="376" spans="5:6" x14ac:dyDescent="0.3">
      <c r="E376" t="s">
        <v>606</v>
      </c>
      <c r="F376" t="s">
        <v>622</v>
      </c>
    </row>
    <row r="377" spans="5:6" x14ac:dyDescent="0.3">
      <c r="E377" t="s">
        <v>606</v>
      </c>
      <c r="F377" t="s">
        <v>623</v>
      </c>
    </row>
    <row r="378" spans="5:6" x14ac:dyDescent="0.3">
      <c r="E378" t="s">
        <v>606</v>
      </c>
      <c r="F378" t="s">
        <v>624</v>
      </c>
    </row>
    <row r="379" spans="5:6" x14ac:dyDescent="0.3">
      <c r="E379" t="s">
        <v>606</v>
      </c>
      <c r="F379" t="s">
        <v>625</v>
      </c>
    </row>
    <row r="380" spans="5:6" x14ac:dyDescent="0.3">
      <c r="E380" t="s">
        <v>606</v>
      </c>
      <c r="F380" t="s">
        <v>626</v>
      </c>
    </row>
    <row r="381" spans="5:6" x14ac:dyDescent="0.3">
      <c r="E381" t="s">
        <v>606</v>
      </c>
      <c r="F381" t="s">
        <v>627</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20</vt:i4>
      </vt:variant>
      <vt:variant>
        <vt:lpstr>Nazwane zakresy</vt:lpstr>
      </vt:variant>
      <vt:variant>
        <vt:i4>36</vt:i4>
      </vt:variant>
    </vt:vector>
  </HeadingPairs>
  <TitlesOfParts>
    <vt:vector size="56" baseType="lpstr">
      <vt:lpstr>Wybór</vt:lpstr>
      <vt:lpstr>Wniosek art 3 budowa</vt:lpstr>
      <vt:lpstr>Wniosek art 3 remontlubprzebudo</vt:lpstr>
      <vt:lpstr>Wniosek inne </vt:lpstr>
      <vt:lpstr>Wniosek kupno</vt:lpstr>
      <vt:lpstr>Wniosek art 5 budowa</vt:lpstr>
      <vt:lpstr>Wniosek art 5a budowa</vt:lpstr>
      <vt:lpstr>Wnioski art 5 inne</vt:lpstr>
      <vt:lpstr>Wnioski art 5a inne</vt:lpstr>
      <vt:lpstr>Wniosek SAN</vt:lpstr>
      <vt:lpstr>Noclegownia</vt:lpstr>
      <vt:lpstr>Schronisko</vt:lpstr>
      <vt:lpstr>Ogrzewalnia</vt:lpstr>
      <vt:lpstr>Budowa_Ogrzewalni_mieszane</vt:lpstr>
      <vt:lpstr>Przedsięwzięcia infrast powiat</vt:lpstr>
      <vt:lpstr>Przedsięwzięcia infrast gzm</vt:lpstr>
      <vt:lpstr>Słowniki</vt:lpstr>
      <vt:lpstr>Słownik N_S_O</vt:lpstr>
      <vt:lpstr>Słownik Infrasr</vt:lpstr>
      <vt:lpstr>Słownik woj_powiaty</vt:lpstr>
      <vt:lpstr>Słowniki!_edn1</vt:lpstr>
      <vt:lpstr>Słowniki!_edn10</vt:lpstr>
      <vt:lpstr>Słowniki!_edn11</vt:lpstr>
      <vt:lpstr>Słowniki!_edn12</vt:lpstr>
      <vt:lpstr>Słowniki!_edn2</vt:lpstr>
      <vt:lpstr>Słowniki!_edn3</vt:lpstr>
      <vt:lpstr>Słowniki!_edn4</vt:lpstr>
      <vt:lpstr>Słowniki!_edn5</vt:lpstr>
      <vt:lpstr>Słowniki!_edn6</vt:lpstr>
      <vt:lpstr>Słowniki!_edn7</vt:lpstr>
      <vt:lpstr>Słowniki!_edn8</vt:lpstr>
      <vt:lpstr>Słowniki!_edn9</vt:lpstr>
      <vt:lpstr>Słowniki!_ednref1</vt:lpstr>
      <vt:lpstr>Słowniki!_ftn1</vt:lpstr>
      <vt:lpstr>Słowniki!_ftnref1</vt:lpstr>
      <vt:lpstr>Słowniki!_Hlk108901557</vt:lpstr>
      <vt:lpstr>'Wniosek art 5 budowa'!_Hlk146545562</vt:lpstr>
      <vt:lpstr>Słowniki!_Hlk53499634</vt:lpstr>
      <vt:lpstr>Słowniki!_Hlk59545887</vt:lpstr>
      <vt:lpstr>Słowniki!_Hlk63413254</vt:lpstr>
      <vt:lpstr>ListaRob</vt:lpstr>
      <vt:lpstr>Budowa_Ogrzewalni_mieszane!Obszar_wydruku</vt:lpstr>
      <vt:lpstr>Noclegownia!Obszar_wydruku</vt:lpstr>
      <vt:lpstr>Ogrzewalnia!Obszar_wydruku</vt:lpstr>
      <vt:lpstr>'Przedsięwzięcia infrast gzm'!Obszar_wydruku</vt:lpstr>
      <vt:lpstr>'Przedsięwzięcia infrast powiat'!Obszar_wydruku</vt:lpstr>
      <vt:lpstr>Schronisko!Obszar_wydruku</vt:lpstr>
      <vt:lpstr>'Wniosek art 3 budowa'!Obszar_wydruku</vt:lpstr>
      <vt:lpstr>'Wniosek art 3 remontlubprzebudo'!Obszar_wydruku</vt:lpstr>
      <vt:lpstr>'Wniosek art 5 budowa'!Obszar_wydruku</vt:lpstr>
      <vt:lpstr>'Wniosek art 5a budowa'!Obszar_wydruku</vt:lpstr>
      <vt:lpstr>'Wniosek inne '!Obszar_wydruku</vt:lpstr>
      <vt:lpstr>'Wniosek kupno'!Obszar_wydruku</vt:lpstr>
      <vt:lpstr>'Wniosek SAN'!Obszar_wydruku</vt:lpstr>
      <vt:lpstr>'Wnioski art 5 inne'!Obszar_wydruku</vt:lpstr>
      <vt:lpstr>'Wnioski art 5a inne'!Obszar_wydruku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2026-06-11T10:07:12Z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d642cb-f5ac-4f9c-8f91-3377ed972e0d_Enabled">
    <vt:lpwstr>True</vt:lpwstr>
  </property>
  <property fmtid="{D5CDD505-2E9C-101B-9397-08002B2CF9AE}" pid="3" name="MSIP_Label_ffd642cb-f5ac-4f9c-8f91-3377ed972e0d_SiteId">
    <vt:lpwstr>29bb5b9c-200a-4906-89ef-c651c86ab301</vt:lpwstr>
  </property>
  <property fmtid="{D5CDD505-2E9C-101B-9397-08002B2CF9AE}" pid="4" name="MSIP_Label_ffd642cb-f5ac-4f9c-8f91-3377ed972e0d_Owner">
    <vt:lpwstr>Mariusz.Kempka@bgk.pl</vt:lpwstr>
  </property>
  <property fmtid="{D5CDD505-2E9C-101B-9397-08002B2CF9AE}" pid="5" name="MSIP_Label_ffd642cb-f5ac-4f9c-8f91-3377ed972e0d_SetDate">
    <vt:lpwstr>2019-05-23T06:26:59.3698495Z</vt:lpwstr>
  </property>
  <property fmtid="{D5CDD505-2E9C-101B-9397-08002B2CF9AE}" pid="6" name="MSIP_Label_ffd642cb-f5ac-4f9c-8f91-3377ed972e0d_Name">
    <vt:lpwstr>Wewnętrzne</vt:lpwstr>
  </property>
  <property fmtid="{D5CDD505-2E9C-101B-9397-08002B2CF9AE}" pid="7" name="MSIP_Label_ffd642cb-f5ac-4f9c-8f91-3377ed972e0d_Application">
    <vt:lpwstr>Microsoft Azure Information Protection</vt:lpwstr>
  </property>
  <property fmtid="{D5CDD505-2E9C-101B-9397-08002B2CF9AE}" pid="8" name="MSIP_Label_ffd642cb-f5ac-4f9c-8f91-3377ed972e0d_Extended_MSFT_Method">
    <vt:lpwstr>Manual</vt:lpwstr>
  </property>
  <property fmtid="{D5CDD505-2E9C-101B-9397-08002B2CF9AE}" pid="9" name="MSIP_Label_c668bcff-e2d1-47e2-adc1-b3354af02961_Enabled">
    <vt:lpwstr>true</vt:lpwstr>
  </property>
  <property fmtid="{D5CDD505-2E9C-101B-9397-08002B2CF9AE}" pid="10" name="MSIP_Label_c668bcff-e2d1-47e2-adc1-b3354af02961_SetDate">
    <vt:lpwstr>2022-08-29T09:46:13Z</vt:lpwstr>
  </property>
  <property fmtid="{D5CDD505-2E9C-101B-9397-08002B2CF9AE}" pid="11" name="MSIP_Label_c668bcff-e2d1-47e2-adc1-b3354af02961_Method">
    <vt:lpwstr>Privileged</vt:lpwstr>
  </property>
  <property fmtid="{D5CDD505-2E9C-101B-9397-08002B2CF9AE}" pid="12" name="MSIP_Label_c668bcff-e2d1-47e2-adc1-b3354af02961_Name">
    <vt:lpwstr>c668bcff-e2d1-47e2-adc1-b3354af02961</vt:lpwstr>
  </property>
  <property fmtid="{D5CDD505-2E9C-101B-9397-08002B2CF9AE}" pid="13" name="MSIP_Label_c668bcff-e2d1-47e2-adc1-b3354af02961_SiteId">
    <vt:lpwstr>29bb5b9c-200a-4906-89ef-c651c86ab301</vt:lpwstr>
  </property>
  <property fmtid="{D5CDD505-2E9C-101B-9397-08002B2CF9AE}" pid="14" name="MSIP_Label_c668bcff-e2d1-47e2-adc1-b3354af02961_ContentBits">
    <vt:lpwstr>0</vt:lpwstr>
  </property>
</Properties>
</file>